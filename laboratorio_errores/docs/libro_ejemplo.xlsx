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inomial" sheetId="2" state="visible" r:id="rId4"/>
    <sheet name="Curva_beta" sheetId="3" state="visible" r:id="rId5"/>
    <sheet name="Prueba_Z" sheetId="4" state="visible" r:id="rId6"/>
    <sheet name="Monte_Carlo" sheetId="5" state="visible" r:id="rId7"/>
    <sheet name="Tus_da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<sst xmlns="http://schemas.openxmlformats.org/spreadsheetml/2006/main" count="5109" uniqueCount="94">
  <si>
    <t xml:space="preserve">El costo de equivocarse: errores tipo I y tipo II</t>
  </si>
  <si>
    <t xml:space="preserve">Libro de comprobación generado por la aplicación (Wackerly, Mendenhall y Scheaffer, 7.ª ed., cap. 10)</t>
  </si>
  <si>
    <t xml:space="preserve">Cómo se usa</t>
  </si>
  <si>
    <t xml:space="preserve">1. Las celdas AMARILLAS con número azul son entradas: cámbialas y Excel recalcula todo.</t>
  </si>
  <si>
    <t xml:space="preserve">2. Las celdas blancas son fórmulas de Excel, no números copiados de Python.</t>
  </si>
  <si>
    <t xml:space="preserve">3. Compara los resultados con la aplicación: deben coincidir (salvo redondeo).</t>
  </si>
  <si>
    <t xml:space="preserve">4. Puedes volver a subir este libro a la aplicación (página «Excel»): la app lee las</t>
  </si>
  <si>
    <t xml:space="preserve">   entradas de las hojas Binomial y Prueba_Z, y las observaciones de la hoja Tus_datos.</t>
  </si>
  <si>
    <t xml:space="preserve">Hojas</t>
  </si>
  <si>
    <t xml:space="preserve">Binomial: ejemplo de Jones. α = P(Y ∈ RR | p0), β = P(Y ∉ RR | p1), potencia = 1 − β.</t>
  </si>
  <si>
    <t xml:space="preserve">Curva_beta: β(p) para muchos valores verdaderos p (toda la alternativa compuesta).</t>
  </si>
  <si>
    <t xml:space="preserve">Prueba_Z: prueba Z para una media con σ conocida; frontera k, α, β, potencia y n requerido.</t>
  </si>
  <si>
    <t xml:space="preserve">Monte_Carlo: medias simuladas por la app; Excel aplica la regla y cuenta errores.</t>
  </si>
  <si>
    <t xml:space="preserve">Tus_datos: pega una columna de observaciones y Excel hace la prueba Z.</t>
  </si>
  <si>
    <t xml:space="preserve">Funciones usadas (nombre en Excel en español)</t>
  </si>
  <si>
    <t xml:space="preserve">BINOMDIST = DISTR.BINOM · NORMSINV = DISTR.NORM.ESTAND.INV · NORMDIST = DISTR.NORM ·</t>
  </si>
  <si>
    <t xml:space="preserve">NORMSDIST = DISTR.NORM.ESTAND · COUNTIFS = CONTAR.SI.CONJUNTO</t>
  </si>
  <si>
    <t xml:space="preserve">Módulo 1 · El ejemplo binomial (Jones)</t>
  </si>
  <si>
    <t xml:space="preserve">Y ~ Binomial(n, p). Cola inferior: Ha: p &lt; p0, RR = {y ≤ c}. Cola superior: Ha: p &gt; p0, RR = {y ≥ c}.</t>
  </si>
  <si>
    <t xml:space="preserve">Entradas</t>
  </si>
  <si>
    <t xml:space="preserve">n (votantes)</t>
  </si>
  <si>
    <t xml:space="preserve">p0 (bajo H0)</t>
  </si>
  <si>
    <t xml:space="preserve">p1 (alternativa específica)</t>
  </si>
  <si>
    <t xml:space="preserve">c (umbral de rechazo)</t>
  </si>
  <si>
    <t xml:space="preserve">cola</t>
  </si>
  <si>
    <t xml:space="preserve">inferior</t>
  </si>
  <si>
    <t xml:space="preserve">Resultados</t>
  </si>
  <si>
    <t xml:space="preserve">α = P(Y ∈ RR | p0)</t>
  </si>
  <si>
    <t xml:space="preserve">β(p1) = P(Y ∉ RR | p1)</t>
  </si>
  <si>
    <t xml:space="preserve">Potencia en p1 = 1 − β(p1)</t>
  </si>
  <si>
    <t xml:space="preserve">y</t>
  </si>
  <si>
    <t xml:space="preserve">P(Y = y | p0)</t>
  </si>
  <si>
    <t xml:space="preserve">P(Y = y | p1)</t>
  </si>
  <si>
    <t xml:space="preserve">Región</t>
  </si>
  <si>
    <t xml:space="preserve">Suma de control (debe dar 1):</t>
  </si>
  <si>
    <t xml:space="preserve">β(p) para toda la alternativa compuesta</t>
  </si>
  <si>
    <t xml:space="preserve">Usa n, c y la cola de la hoja Binomial. Solo los p que están en Ha son errores tipo II.</t>
  </si>
  <si>
    <t xml:space="preserve">p verdadero</t>
  </si>
  <si>
    <t xml:space="preserve">β(p)</t>
  </si>
  <si>
    <t xml:space="preserve">Potencia 1 − β(p)</t>
  </si>
  <si>
    <t xml:space="preserve">¿p en Ha?</t>
  </si>
  <si>
    <t xml:space="preserve">Módulo 2 · Prueba Z para una media (σ conocida)</t>
  </si>
  <si>
    <t xml:space="preserve">Superior: Ha: μ &gt; μ0, RR = {ȳ &gt; k}. Inferior: Ha: μ &lt; μ0, RR = {ȳ &lt; k}. k = μ0 ± z_α·σ/√n.</t>
  </si>
  <si>
    <t xml:space="preserve">Mover la frontera a mano</t>
  </si>
  <si>
    <t xml:space="preserve">μ0 (media bajo H0)</t>
  </si>
  <si>
    <t xml:space="preserve">k propuesto</t>
  </si>
  <si>
    <t xml:space="preserve">μ1 (alternativa específica)</t>
  </si>
  <si>
    <t xml:space="preserve">α(k)</t>
  </si>
  <si>
    <t xml:space="preserve">σ (conocida)</t>
  </si>
  <si>
    <t xml:space="preserve">β(k)</t>
  </si>
  <si>
    <t xml:space="preserve">n</t>
  </si>
  <si>
    <t xml:space="preserve">α</t>
  </si>
  <si>
    <t xml:space="preserve">Si k se aleja de μ0 hacia Ha, α(k) baja y β(k) sube.</t>
  </si>
  <si>
    <t xml:space="preserve">EE = σ/√n</t>
  </si>
  <si>
    <t xml:space="preserve">z_α  (P(Z &gt; z_α) = α)</t>
  </si>
  <si>
    <t xml:space="preserve">Frontera k</t>
  </si>
  <si>
    <t xml:space="preserve">α comprobado = P(Ȳ ∈ RR | μ0)</t>
  </si>
  <si>
    <t xml:space="preserve">β(μ1) = P(Ȳ ∉ RR | μ1)</t>
  </si>
  <si>
    <t xml:space="preserve">Potencia en μ1 = 1 − β</t>
  </si>
  <si>
    <t xml:space="preserve">Tamaño muestral (Sección 10.4)</t>
  </si>
  <si>
    <t xml:space="preserve">β deseado en μ1</t>
  </si>
  <si>
    <t xml:space="preserve">z_β</t>
  </si>
  <si>
    <t xml:space="preserve">n = (z_α + z_β)² σ² / (μ1 − μ0)²</t>
  </si>
  <si>
    <t xml:space="preserve">Módulo 3 · Monte Carlo (prueba Z)</t>
  </si>
  <si>
    <t xml:space="preserve">Las medias vienen de la app. La decisión y el tipo de error los calcula Excel con las entradas de abajo.</t>
  </si>
  <si>
    <t xml:space="preserve">Parámetros usados</t>
  </si>
  <si>
    <t xml:space="preserve">Resumen calculado por Excel</t>
  </si>
  <si>
    <t xml:space="preserve">μ0</t>
  </si>
  <si>
    <t xml:space="preserve">Experimentos</t>
  </si>
  <si>
    <t xml:space="preserve">Errores</t>
  </si>
  <si>
    <t xml:space="preserve">Frecuencia</t>
  </si>
  <si>
    <t xml:space="preserve">Teórica</t>
  </si>
  <si>
    <t xml:space="preserve">μ1</t>
  </si>
  <si>
    <t xml:space="preserve">H0 verdadera → error tipo I</t>
  </si>
  <si>
    <t xml:space="preserve">σ</t>
  </si>
  <si>
    <t xml:space="preserve">Ha verdadera → error tipo II</t>
  </si>
  <si>
    <t xml:space="preserve">Error Monte Carlo de la frecuencia (tipo I)</t>
  </si>
  <si>
    <t xml:space="preserve">Error Monte Carlo de la frecuencia (tipo II)</t>
  </si>
  <si>
    <t xml:space="preserve">z_α</t>
  </si>
  <si>
    <t xml:space="preserve">Experimento</t>
  </si>
  <si>
    <t xml:space="preserve">Estado verdadero</t>
  </si>
  <si>
    <t xml:space="preserve">Media muestral ȳ</t>
  </si>
  <si>
    <t xml:space="preserve">z</t>
  </si>
  <si>
    <t xml:space="preserve">Decisión</t>
  </si>
  <si>
    <t xml:space="preserve">Resultado</t>
  </si>
  <si>
    <t xml:space="preserve">H0 verdadera</t>
  </si>
  <si>
    <t xml:space="preserve">Ha verdadera</t>
  </si>
  <si>
    <t xml:space="preserve">observacion</t>
  </si>
  <si>
    <t xml:space="preserve">Pega tus observaciones en la columna A (una por fila, desde A2).</t>
  </si>
  <si>
    <t xml:space="preserve">Los valores de ejemplo son simulados: bórralos y pon los tuyos.</t>
  </si>
  <si>
    <t xml:space="preserve">Resultados (fórmulas de Excel)</t>
  </si>
  <si>
    <t xml:space="preserve">ȳ</t>
  </si>
  <si>
    <t xml:space="preserve">z = (ȳ − μ0)/EE</t>
  </si>
  <si>
    <t xml:space="preserve">Valor 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</si>
</sst>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0"/>
    <numFmt numFmtId="167" formatCode="0.0000"/>
    <numFmt numFmtId="168" formatCode="0.00000"/>
    <numFmt numFmtId="169" formatCode="0.000000"/>
    <numFmt numFmtId="170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9"/>
      <name val="Arial"/>
      <family val="0"/>
      <charset val="1"/>
    </font>
    <font>
      <i val="true"/>
      <sz val="10"/>
      <color rgb="FF55606E"/>
      <name val="Arial"/>
      <family val="0"/>
      <charset val="1"/>
    </font>
    <font>
      <b val="true"/>
      <sz val="10"/>
      <color rgb="FF1B2A49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1B2A49"/>
        <bgColor rgb="FF1F29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C0504D"/>
      <rgbColor rgb="FFFFF2B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5606E"/>
      <rgbColor rgb="FF87A44B"/>
      <rgbColor rgb="FF1B2A49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Distribuciones de Y bajo p0 y bajo p1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Binomial!B15</c:f>
              <c:strCache>
                <c:ptCount val="1"/>
                <c:pt idx="0">
                  <c:v>P(Y = y | p0)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Binomial!$A$16:$A$31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Binomial!$B$16:$B$31</c:f>
              <c:numCache>
                <c:formatCode>0.00000</c:formatCode>
                <c:ptCount val="16"/>
                <c:pt idx="0">
                  <c:v>3.0517578125E-005</c:v>
                </c:pt>
                <c:pt idx="1">
                  <c:v>0.000457763671875</c:v>
                </c:pt>
                <c:pt idx="2">
                  <c:v>0.003204345703125</c:v>
                </c:pt>
                <c:pt idx="3">
                  <c:v>0.013885498046875</c:v>
                </c:pt>
                <c:pt idx="4">
                  <c:v>0.041656494140625</c:v>
                </c:pt>
                <c:pt idx="5">
                  <c:v>0.091644287109375</c:v>
                </c:pt>
                <c:pt idx="6">
                  <c:v>0.152740478515625</c:v>
                </c:pt>
                <c:pt idx="7">
                  <c:v>0.196380615234375</c:v>
                </c:pt>
                <c:pt idx="8">
                  <c:v>0.196380615234375</c:v>
                </c:pt>
                <c:pt idx="9">
                  <c:v>0.152740478515625</c:v>
                </c:pt>
                <c:pt idx="10">
                  <c:v>0.091644287109375</c:v>
                </c:pt>
                <c:pt idx="11">
                  <c:v>0.041656494140625</c:v>
                </c:pt>
                <c:pt idx="12">
                  <c:v>0.013885498046875</c:v>
                </c:pt>
                <c:pt idx="13">
                  <c:v>0.003204345703125</c:v>
                </c:pt>
                <c:pt idx="14">
                  <c:v>0.000457763671875</c:v>
                </c:pt>
                <c:pt idx="15">
                  <c:v>3.0517578125E-005</c:v>
                </c:pt>
              </c:numCache>
            </c:numRef>
          </c:val>
        </c:ser>
        <c:ser>
          <c:idx val="1"/>
          <c:order val="1"/>
          <c:tx>
            <c:strRef>
              <c:f>Binomial!C15</c:f>
              <c:strCache>
                <c:ptCount val="1"/>
                <c:pt idx="0">
                  <c:v>P(Y = y | p1)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Binomial!$A$16:$A$31</c:f>
              <c:strCach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strCache>
            </c:strRef>
          </c:cat>
          <c:val>
            <c:numRef>
              <c:f>Binomial!$C$16:$C$31</c:f>
              <c:numCache>
                <c:formatCode>0.00000</c:formatCode>
                <c:ptCount val="16"/>
                <c:pt idx="0">
                  <c:v>0.004747561509943</c:v>
                </c:pt>
                <c:pt idx="1">
                  <c:v>0.030520038278205</c:v>
                </c:pt>
                <c:pt idx="2">
                  <c:v>0.0915601148346149</c:v>
                </c:pt>
                <c:pt idx="3">
                  <c:v>0.170040213264285</c:v>
                </c:pt>
                <c:pt idx="4">
                  <c:v>0.218623131339795</c:v>
                </c:pt>
                <c:pt idx="5">
                  <c:v>0.206130380977521</c:v>
                </c:pt>
                <c:pt idx="6">
                  <c:v>0.147235986412515</c:v>
                </c:pt>
                <c:pt idx="7">
                  <c:v>0.081130033329345</c:v>
                </c:pt>
                <c:pt idx="8">
                  <c:v>0.034770014284005</c:v>
                </c:pt>
                <c:pt idx="9">
                  <c:v>0.011590004761335</c:v>
                </c:pt>
                <c:pt idx="10">
                  <c:v>0.002980286938629</c:v>
                </c:pt>
                <c:pt idx="11">
                  <c:v>0.000580575377655</c:v>
                </c:pt>
                <c:pt idx="12">
                  <c:v>8.2939339665E-005</c:v>
                </c:pt>
                <c:pt idx="13">
                  <c:v>8.202791835E-006</c:v>
                </c:pt>
                <c:pt idx="14">
                  <c:v>5.02211745E-007</c:v>
                </c:pt>
                <c:pt idx="15">
                  <c:v>1.4348907E-008</c:v>
                </c:pt>
              </c:numCache>
            </c:numRef>
          </c:val>
        </c:ser>
        <c:gapWidth val="150"/>
        <c:overlap val="0"/>
        <c:axId val="92640346"/>
        <c:axId val="3669392"/>
      </c:barChart>
      <c:catAx>
        <c:axId val="92640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9392"/>
        <c:crosses val="autoZero"/>
        <c:auto val="1"/>
        <c:lblAlgn val="ctr"/>
        <c:lblOffset val="100"/>
        <c:noMultiLvlLbl val="0"/>
      </c:catAx>
      <c:valAx>
        <c:axId val="3669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40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β(p) y potencia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Curva_beta!B4</c:f>
              <c:strCache>
                <c:ptCount val="1"/>
                <c:pt idx="0">
                  <c:v>β(p)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Curva_beta!$A$5:$A$103</c:f>
              <c:numCache>
                <c:formatCode>0.00</c:formatCode>
                <c:ptCount val="9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0.07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</c:v>
                </c:pt>
                <c:pt idx="28">
                  <c:v>0.29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</c:v>
                </c:pt>
                <c:pt idx="55">
                  <c:v>0.56</c:v>
                </c:pt>
                <c:pt idx="56">
                  <c:v>0.57</c:v>
                </c:pt>
                <c:pt idx="57">
                  <c:v>0.58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</c:numCache>
            </c:numRef>
          </c:xVal>
          <c:yVal>
            <c:numRef>
              <c:f>Curva_beta!$B$5:$B$103</c:f>
              <c:numCache>
                <c:formatCode>0.0000</c:formatCode>
                <c:ptCount val="99"/>
                <c:pt idx="0">
                  <c:v>0.000415802701875689</c:v>
                </c:pt>
                <c:pt idx="1">
                  <c:v>0.00303937456320136</c:v>
                </c:pt>
                <c:pt idx="2">
                  <c:v>0.00937142598529084</c:v>
                </c:pt>
                <c:pt idx="3">
                  <c:v>0.0202918030638783</c:v>
                </c:pt>
                <c:pt idx="4">
                  <c:v>0.0362002386427298</c:v>
                </c:pt>
                <c:pt idx="5">
                  <c:v>0.0571333238276316</c:v>
                </c:pt>
                <c:pt idx="6">
                  <c:v>0.0828609539745669</c:v>
                </c:pt>
                <c:pt idx="7">
                  <c:v>0.112965131812731</c:v>
                </c:pt>
                <c:pt idx="8">
                  <c:v>0.146903674591317</c:v>
                </c:pt>
                <c:pt idx="9">
                  <c:v>0.184061069106391</c:v>
                </c:pt>
                <c:pt idx="10">
                  <c:v>0.223788445513925</c:v>
                </c:pt>
                <c:pt idx="11">
                  <c:v>0.265434395486834</c:v>
                </c:pt>
                <c:pt idx="12">
                  <c:v>0.308368140213651</c:v>
                </c:pt>
                <c:pt idx="13">
                  <c:v>0.351996356809036</c:v>
                </c:pt>
                <c:pt idx="14">
                  <c:v>0.395774795905183</c:v>
                </c:pt>
                <c:pt idx="15">
                  <c:v>0.439215666653848</c:v>
                </c:pt>
                <c:pt idx="16">
                  <c:v>0.481891626359804</c:v>
                </c:pt>
                <c:pt idx="17">
                  <c:v>0.523437088882873</c:v>
                </c:pt>
                <c:pt idx="18">
                  <c:v>0.563547457300849</c:v>
                </c:pt>
                <c:pt idx="19">
                  <c:v>0.601976790745088</c:v>
                </c:pt>
                <c:pt idx="20">
                  <c:v>0.638534331535209</c:v>
                </c:pt>
                <c:pt idx="21">
                  <c:v>0.673080245578868</c:v>
                </c:pt>
                <c:pt idx="22">
                  <c:v>0.705520865389943</c:v>
                </c:pt>
                <c:pt idx="23">
                  <c:v>0.735803670023509</c:v>
                </c:pt>
                <c:pt idx="24">
                  <c:v>0.763912188820541</c:v>
                </c:pt>
                <c:pt idx="25">
                  <c:v>0.789860975267506</c:v>
                </c:pt>
                <c:pt idx="26">
                  <c:v>0.813690762745544</c:v>
                </c:pt>
                <c:pt idx="27">
                  <c:v>0.835463884777257</c:v>
                </c:pt>
                <c:pt idx="28">
                  <c:v>0.855260017944769</c:v>
                </c:pt>
                <c:pt idx="29">
                  <c:v>0.873172285377237</c:v>
                </c:pt>
                <c:pt idx="30">
                  <c:v>0.889303742069718</c:v>
                </c:pt>
                <c:pt idx="31">
                  <c:v>0.903764249828508</c:v>
                </c:pt>
                <c:pt idx="32">
                  <c:v>0.916667738917386</c:v>
                </c:pt>
                <c:pt idx="33">
                  <c:v>0.928129845123976</c:v>
                </c:pt>
                <c:pt idx="34">
                  <c:v>0.938265904634715</c:v>
                </c:pt>
                <c:pt idx="35">
                  <c:v>0.947189284495955</c:v>
                </c:pt>
                <c:pt idx="36">
                  <c:v>0.955010023276534</c:v>
                </c:pt>
                <c:pt idx="37">
                  <c:v>0.961833754593381</c:v>
                </c:pt>
                <c:pt idx="38">
                  <c:v>0.967760885204097</c:v>
                </c:pt>
                <c:pt idx="39">
                  <c:v>0.972885999222784</c:v>
                </c:pt>
                <c:pt idx="40">
                  <c:v>0.977297460514435</c:v>
                </c:pt>
                <c:pt idx="41">
                  <c:v>0.981077186327543</c:v>
                </c:pt>
                <c:pt idx="42">
                  <c:v>0.984300566611754</c:v>
                </c:pt>
                <c:pt idx="43">
                  <c:v>0.987036505132549</c:v>
                </c:pt>
                <c:pt idx="44">
                  <c:v>0.989347560348899</c:v>
                </c:pt>
                <c:pt idx="45">
                  <c:v>0.991290165987529</c:v>
                </c:pt>
                <c:pt idx="46">
                  <c:v>0.992914913266326</c:v>
                </c:pt>
                <c:pt idx="47">
                  <c:v>0.994266878738208</c:v>
                </c:pt>
                <c:pt idx="48">
                  <c:v>0.995385983704115</c:v>
                </c:pt>
                <c:pt idx="49">
                  <c:v>0.996307373046875</c:v>
                </c:pt>
                <c:pt idx="50">
                  <c:v>0.997061803141639</c:v>
                </c:pt>
                <c:pt idx="51">
                  <c:v>0.997676030184808</c:v>
                </c:pt>
                <c:pt idx="52">
                  <c:v>0.998173191839308</c:v>
                </c:pt>
                <c:pt idx="53">
                  <c:v>0.998573176511813</c:v>
                </c:pt>
                <c:pt idx="54">
                  <c:v>0.998892975853391</c:v>
                </c:pt>
                <c:pt idx="55">
                  <c:v>0.999147017208864</c:v>
                </c:pt>
                <c:pt idx="56">
                  <c:v>0.999347473734427</c:v>
                </c:pt>
                <c:pt idx="57">
                  <c:v>0.999504550762726</c:v>
                </c:pt>
                <c:pt idx="58">
                  <c:v>0.999626747726206</c:v>
                </c:pt>
                <c:pt idx="59">
                  <c:v>0.999721095561216</c:v>
                </c:pt>
                <c:pt idx="60">
                  <c:v>0.999793370016</c:v>
                </c:pt>
                <c:pt idx="61">
                  <c:v>0.999848281684962</c:v>
                </c:pt>
                <c:pt idx="62">
                  <c:v>0.999889643899461</c:v>
                </c:pt>
                <c:pt idx="63">
                  <c:v>0.999920519831899</c:v>
                </c:pt>
                <c:pt idx="64">
                  <c:v>0.999943350325</c:v>
                </c:pt>
                <c:pt idx="65">
                  <c:v>0.999960064051696</c:v>
                </c:pt>
                <c:pt idx="66">
                  <c:v>0.999972171652061</c:v>
                </c:pt>
                <c:pt idx="67">
                  <c:v>0.99998084549125</c:v>
                </c:pt>
                <c:pt idx="68">
                  <c:v>0.999986986644283</c:v>
                </c:pt>
                <c:pt idx="69">
                  <c:v>0.999991280647513</c:v>
                </c:pt>
                <c:pt idx="70">
                  <c:v>0.999994243469213</c:v>
                </c:pt>
                <c:pt idx="71">
                  <c:v>0.999996259049206</c:v>
                </c:pt>
                <c:pt idx="72">
                  <c:v>0.999997609644921</c:v>
                </c:pt>
                <c:pt idx="73">
                  <c:v>0.99999850010339</c:v>
                </c:pt>
                <c:pt idx="74">
                  <c:v>0.999999077059329</c:v>
                </c:pt>
                <c:pt idx="75">
                  <c:v>0.999999443941774</c:v>
                </c:pt>
                <c:pt idx="76">
                  <c:v>0.999999672558322</c:v>
                </c:pt>
                <c:pt idx="77">
                  <c:v>0.999999811918868</c:v>
                </c:pt>
                <c:pt idx="78">
                  <c:v>0.999999894861311</c:v>
                </c:pt>
                <c:pt idx="79">
                  <c:v>0.999999942950912</c:v>
                </c:pt>
                <c:pt idx="80">
                  <c:v>0.999999970043515</c:v>
                </c:pt>
                <c:pt idx="81">
                  <c:v>0.999999984830803</c:v>
                </c:pt>
                <c:pt idx="82">
                  <c:v>0.99999999262308</c:v>
                </c:pt>
                <c:pt idx="83">
                  <c:v>0.999999996571428</c:v>
                </c:pt>
                <c:pt idx="84">
                  <c:v>0.999999998485909</c:v>
                </c:pt>
                <c:pt idx="85">
                  <c:v>0.999999999369127</c:v>
                </c:pt>
                <c:pt idx="86">
                  <c:v>0.999999999754102</c:v>
                </c:pt>
                <c:pt idx="87">
                  <c:v>0.999999999911292</c:v>
                </c:pt>
                <c:pt idx="88">
                  <c:v>0.999999999970776</c:v>
                </c:pt>
                <c:pt idx="89">
                  <c:v>0.999999999991359</c:v>
                </c:pt>
                <c:pt idx="90">
                  <c:v>0.999999999997758</c:v>
                </c:pt>
                <c:pt idx="91">
                  <c:v>0.999999999999505</c:v>
                </c:pt>
                <c:pt idx="92">
                  <c:v>0.999999999999911</c:v>
                </c:pt>
                <c:pt idx="93">
                  <c:v>0.999999999999988</c:v>
                </c:pt>
                <c:pt idx="94">
                  <c:v>0.999999999999999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Curva_beta!C4</c:f>
              <c:strCache>
                <c:ptCount val="1"/>
                <c:pt idx="0">
                  <c:v>Potencia 1 − β(p)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Curva_beta!$A$5:$A$103</c:f>
              <c:numCache>
                <c:formatCode>0.00</c:formatCode>
                <c:ptCount val="9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0.07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</c:v>
                </c:pt>
                <c:pt idx="28">
                  <c:v>0.29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</c:v>
                </c:pt>
                <c:pt idx="55">
                  <c:v>0.56</c:v>
                </c:pt>
                <c:pt idx="56">
                  <c:v>0.57</c:v>
                </c:pt>
                <c:pt idx="57">
                  <c:v>0.58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</c:numCache>
            </c:numRef>
          </c:xVal>
          <c:yVal>
            <c:numRef>
              <c:f>Curva_beta!$C$5:$C$103</c:f>
              <c:numCache>
                <c:formatCode>0.0000</c:formatCode>
                <c:ptCount val="99"/>
                <c:pt idx="0">
                  <c:v>0.999584197298124</c:v>
                </c:pt>
                <c:pt idx="1">
                  <c:v>0.996960625436799</c:v>
                </c:pt>
                <c:pt idx="2">
                  <c:v>0.990628574014709</c:v>
                </c:pt>
                <c:pt idx="3">
                  <c:v>0.979708196936122</c:v>
                </c:pt>
                <c:pt idx="4">
                  <c:v>0.96379976135727</c:v>
                </c:pt>
                <c:pt idx="5">
                  <c:v>0.942866676172368</c:v>
                </c:pt>
                <c:pt idx="6">
                  <c:v>0.917139046025433</c:v>
                </c:pt>
                <c:pt idx="7">
                  <c:v>0.887034868187269</c:v>
                </c:pt>
                <c:pt idx="8">
                  <c:v>0.853096325408683</c:v>
                </c:pt>
                <c:pt idx="9">
                  <c:v>0.815938930893609</c:v>
                </c:pt>
                <c:pt idx="10">
                  <c:v>0.776211554486075</c:v>
                </c:pt>
                <c:pt idx="11">
                  <c:v>0.734565604513166</c:v>
                </c:pt>
                <c:pt idx="12">
                  <c:v>0.691631859786349</c:v>
                </c:pt>
                <c:pt idx="13">
                  <c:v>0.648003643190965</c:v>
                </c:pt>
                <c:pt idx="14">
                  <c:v>0.604225204094817</c:v>
                </c:pt>
                <c:pt idx="15">
                  <c:v>0.560784333346152</c:v>
                </c:pt>
                <c:pt idx="16">
                  <c:v>0.518108373640196</c:v>
                </c:pt>
                <c:pt idx="17">
                  <c:v>0.476562911117127</c:v>
                </c:pt>
                <c:pt idx="18">
                  <c:v>0.436452542699151</c:v>
                </c:pt>
                <c:pt idx="19">
                  <c:v>0.398023209254912</c:v>
                </c:pt>
                <c:pt idx="20">
                  <c:v>0.361465668464791</c:v>
                </c:pt>
                <c:pt idx="21">
                  <c:v>0.326919754421132</c:v>
                </c:pt>
                <c:pt idx="22">
                  <c:v>0.294479134610057</c:v>
                </c:pt>
                <c:pt idx="23">
                  <c:v>0.264196329976491</c:v>
                </c:pt>
                <c:pt idx="24">
                  <c:v>0.236087811179459</c:v>
                </c:pt>
                <c:pt idx="25">
                  <c:v>0.210139024732494</c:v>
                </c:pt>
                <c:pt idx="26">
                  <c:v>0.186309237254456</c:v>
                </c:pt>
                <c:pt idx="27">
                  <c:v>0.164536115222743</c:v>
                </c:pt>
                <c:pt idx="28">
                  <c:v>0.144739982055231</c:v>
                </c:pt>
                <c:pt idx="29">
                  <c:v>0.126827714622763</c:v>
                </c:pt>
                <c:pt idx="30">
                  <c:v>0.110696257930282</c:v>
                </c:pt>
                <c:pt idx="31">
                  <c:v>0.0962357501714918</c:v>
                </c:pt>
                <c:pt idx="32">
                  <c:v>0.0833322610826143</c:v>
                </c:pt>
                <c:pt idx="33">
                  <c:v>0.0718701548760244</c:v>
                </c:pt>
                <c:pt idx="34">
                  <c:v>0.061734095365285</c:v>
                </c:pt>
                <c:pt idx="35">
                  <c:v>0.0528107155040455</c:v>
                </c:pt>
                <c:pt idx="36">
                  <c:v>0.0449899767234656</c:v>
                </c:pt>
                <c:pt idx="37">
                  <c:v>0.0381662454066193</c:v>
                </c:pt>
                <c:pt idx="38">
                  <c:v>0.0322391147959034</c:v>
                </c:pt>
                <c:pt idx="39">
                  <c:v>0.027114000777216</c:v>
                </c:pt>
                <c:pt idx="40">
                  <c:v>0.0227025394855649</c:v>
                </c:pt>
                <c:pt idx="41">
                  <c:v>0.018922813672457</c:v>
                </c:pt>
                <c:pt idx="42">
                  <c:v>0.0156994333882458</c:v>
                </c:pt>
                <c:pt idx="43">
                  <c:v>0.0129634948674507</c:v>
                </c:pt>
                <c:pt idx="44">
                  <c:v>0.0106524396511013</c:v>
                </c:pt>
                <c:pt idx="45">
                  <c:v>0.00870983401247083</c:v>
                </c:pt>
                <c:pt idx="46">
                  <c:v>0.00708508673367414</c:v>
                </c:pt>
                <c:pt idx="47">
                  <c:v>0.00573312126179193</c:v>
                </c:pt>
                <c:pt idx="48">
                  <c:v>0.00461401629588532</c:v>
                </c:pt>
                <c:pt idx="49">
                  <c:v>0.003692626953125</c:v>
                </c:pt>
                <c:pt idx="50">
                  <c:v>0.00293819685836072</c:v>
                </c:pt>
                <c:pt idx="51">
                  <c:v>0.00232396981519201</c:v>
                </c:pt>
                <c:pt idx="52">
                  <c:v>0.0018268081606917</c:v>
                </c:pt>
                <c:pt idx="53">
                  <c:v>0.0014268234881869</c:v>
                </c:pt>
                <c:pt idx="54">
                  <c:v>0.00110702414660901</c:v>
                </c:pt>
                <c:pt idx="55">
                  <c:v>0.000852982791136547</c:v>
                </c:pt>
                <c:pt idx="56">
                  <c:v>0.000652526265573328</c:v>
                </c:pt>
                <c:pt idx="57">
                  <c:v>0.00049544923727407</c:v>
                </c:pt>
                <c:pt idx="58">
                  <c:v>0.000373252273794145</c:v>
                </c:pt>
                <c:pt idx="59">
                  <c:v>0.000278904438783978</c:v>
                </c:pt>
                <c:pt idx="60">
                  <c:v>0.000206629984000228</c:v>
                </c:pt>
                <c:pt idx="61">
                  <c:v>0.000151718315038463</c:v>
                </c:pt>
                <c:pt idx="62">
                  <c:v>0.000110356100538556</c:v>
                </c:pt>
                <c:pt idx="63">
                  <c:v>7.94801681011093E-005</c:v>
                </c:pt>
                <c:pt idx="64">
                  <c:v>5.66496749996315E-005</c:v>
                </c:pt>
                <c:pt idx="65">
                  <c:v>3.99359483042039E-005</c:v>
                </c:pt>
                <c:pt idx="66">
                  <c:v>2.78283479386854E-005</c:v>
                </c:pt>
                <c:pt idx="67">
                  <c:v>1.91545087503409E-005</c:v>
                </c:pt>
                <c:pt idx="68">
                  <c:v>1.30133557167955E-005</c:v>
                </c:pt>
                <c:pt idx="69">
                  <c:v>8.71935248702993E-006</c:v>
                </c:pt>
                <c:pt idx="70">
                  <c:v>5.75653078749294E-006</c:v>
                </c:pt>
                <c:pt idx="71">
                  <c:v>3.74095079425096E-006</c:v>
                </c:pt>
                <c:pt idx="72">
                  <c:v>2.39035507887397E-006</c:v>
                </c:pt>
                <c:pt idx="73">
                  <c:v>1.49989661024641E-006</c:v>
                </c:pt>
                <c:pt idx="74">
                  <c:v>9.22940671443939E-007</c:v>
                </c:pt>
                <c:pt idx="75">
                  <c:v>5.5605822568694E-007</c:v>
                </c:pt>
                <c:pt idx="76">
                  <c:v>3.27441678105167E-007</c:v>
                </c:pt>
                <c:pt idx="77">
                  <c:v>1.88081132113105E-007</c:v>
                </c:pt>
                <c:pt idx="78">
                  <c:v>1.05138688977213E-007</c:v>
                </c:pt>
                <c:pt idx="79">
                  <c:v>5.70490880091867E-008</c:v>
                </c:pt>
                <c:pt idx="80">
                  <c:v>2.99564848482703E-008</c:v>
                </c:pt>
                <c:pt idx="81">
                  <c:v>1.51691967875678E-008</c:v>
                </c:pt>
                <c:pt idx="82">
                  <c:v>7.37691985275291E-009</c:v>
                </c:pt>
                <c:pt idx="83">
                  <c:v>3.4285724259675E-009</c:v>
                </c:pt>
                <c:pt idx="84">
                  <c:v>1.5140910747391E-009</c:v>
                </c:pt>
                <c:pt idx="85">
                  <c:v>6.30873020490697E-010</c:v>
                </c:pt>
                <c:pt idx="86">
                  <c:v>2.45897968653708E-010</c:v>
                </c:pt>
                <c:pt idx="87">
                  <c:v>8.8708485002087E-011</c:v>
                </c:pt>
                <c:pt idx="88">
                  <c:v>2.92238455656957E-011</c:v>
                </c:pt>
                <c:pt idx="89">
                  <c:v>8.64097682296006E-012</c:v>
                </c:pt>
                <c:pt idx="90">
                  <c:v>2.24165130902065E-012</c:v>
                </c:pt>
                <c:pt idx="91">
                  <c:v>4.9471537977297E-013</c:v>
                </c:pt>
                <c:pt idx="92">
                  <c:v>8.8928864272475E-014</c:v>
                </c:pt>
                <c:pt idx="93">
                  <c:v>1.22124532708767E-014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</c:ser>
        <c:axId val="51964080"/>
        <c:axId val="93088662"/>
      </c:scatterChart>
      <c:valAx>
        <c:axId val="519640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verdadero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88662"/>
        <c:crosses val="autoZero"/>
        <c:crossBetween val="midCat"/>
      </c:valAx>
      <c:valAx>
        <c:axId val="93088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640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16</xdr:row>
      <xdr:rowOff>160560</xdr:rowOff>
    </xdr:from>
    <xdr:to>
      <xdr:col>11</xdr:col>
      <xdr:colOff>587520</xdr:colOff>
      <xdr:row>31</xdr:row>
      <xdr:rowOff>182880</xdr:rowOff>
    </xdr:to>
    <xdr:graphicFrame>
      <xdr:nvGraphicFramePr>
        <xdr:cNvPr id="0" name="Chart 1"/>
        <xdr:cNvGraphicFramePr/>
      </xdr:nvGraphicFramePr>
      <xdr:xfrm>
        <a:off x="5497920" y="323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19</xdr:row>
      <xdr:rowOff>162000</xdr:rowOff>
    </xdr:to>
    <xdr:graphicFrame>
      <xdr:nvGraphicFramePr>
        <xdr:cNvPr id="1" name="Chart 1"/>
        <xdr:cNvGraphicFramePr/>
      </xdr:nvGraphicFramePr>
      <xdr:xfrm>
        <a:off x="448812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3" customFormat="false" ht="15" hidden="false" customHeight="false" outlineLevel="0" collapsed="false">
      <c r="A3" s="5" t="s">
        <v>19</v>
      </c>
    </row>
    <row r="4" customFormat="false" ht="15" hidden="false" customHeight="false" outlineLevel="0" collapsed="false">
      <c r="A4" s="4" t="s">
        <v>20</v>
      </c>
      <c r="B4" s="6" t="n">
        <v>15</v>
      </c>
    </row>
    <row r="5" customFormat="false" ht="15" hidden="false" customHeight="false" outlineLevel="0" collapsed="false">
      <c r="A5" s="4" t="s">
        <v>21</v>
      </c>
      <c r="B5" s="7" t="n">
        <v>0.5</v>
      </c>
    </row>
    <row r="6" customFormat="false" ht="15" hidden="false" customHeight="false" outlineLevel="0" collapsed="false">
      <c r="A6" s="4" t="s">
        <v>22</v>
      </c>
      <c r="B6" s="7" t="n">
        <v>0.3</v>
      </c>
    </row>
    <row r="7" customFormat="false" ht="15" hidden="false" customHeight="false" outlineLevel="0" collapsed="false">
      <c r="A7" s="4" t="s">
        <v>23</v>
      </c>
      <c r="B7" s="6" t="n">
        <v>2</v>
      </c>
    </row>
    <row r="8" customFormat="false" ht="15" hidden="false" customHeight="false" outlineLevel="0" collapsed="false">
      <c r="A8" s="4" t="s">
        <v>24</v>
      </c>
      <c r="B8" s="8" t="s">
        <v>25</v>
      </c>
    </row>
    <row r="10" customFormat="false" ht="15" hidden="false" customHeight="false" outlineLevel="0" collapsed="false">
      <c r="A10" s="5" t="s">
        <v>26</v>
      </c>
    </row>
    <row r="11" customFormat="false" ht="15" hidden="false" customHeight="false" outlineLevel="0" collapsed="false">
      <c r="A11" s="4" t="s">
        <v>27</v>
      </c>
      <c r="B11" s="9" t="n">
        <f aca="false">IF($B$8="inferior",BINOMDIST($B$7,$B$4,$B$5,TRUE()),IF($B$7&lt;=0,1,1-BINOMDIST($B$7-1,$B$4,$B$5,TRUE())))</f>
        <v>0.003692626953125</v>
      </c>
    </row>
    <row r="12" customFormat="false" ht="15" hidden="false" customHeight="false" outlineLevel="0" collapsed="false">
      <c r="A12" s="4" t="s">
        <v>28</v>
      </c>
      <c r="B12" s="9" t="n">
        <f aca="false">1-IF($B$8="inferior",BINOMDIST($B$7,$B$4,$B$6,TRUE()),IF($B$7&lt;=0,1,1-BINOMDIST($B$7-1,$B$4,$B$6,TRUE())))</f>
        <v>0.873172285377237</v>
      </c>
    </row>
    <row r="13" customFormat="false" ht="15" hidden="false" customHeight="false" outlineLevel="0" collapsed="false">
      <c r="A13" s="4" t="s">
        <v>29</v>
      </c>
      <c r="B13" s="9" t="n">
        <f aca="false">1-B12</f>
        <v>0.126827714622763</v>
      </c>
    </row>
    <row r="15" customFormat="false" ht="15" hidden="false" customHeight="false" outlineLevel="0" collapsed="false">
      <c r="A15" s="10" t="s">
        <v>30</v>
      </c>
      <c r="B15" s="10" t="s">
        <v>31</v>
      </c>
      <c r="C15" s="10" t="s">
        <v>32</v>
      </c>
      <c r="D15" s="10" t="s">
        <v>33</v>
      </c>
      <c r="F15" s="4" t="s">
        <v>34</v>
      </c>
    </row>
    <row r="16" customFormat="false" ht="15" hidden="false" customHeight="false" outlineLevel="0" collapsed="false">
      <c r="A16" s="4" t="n">
        <v>0</v>
      </c>
      <c r="B16" s="11" t="n">
        <f aca="false">IF(A16&gt;$B$4,"",BINOMDIST(A16,$B$4,$B$5,FALSE()))</f>
        <v>3.0517578125E-005</v>
      </c>
      <c r="C16" s="11" t="n">
        <f aca="false">IF(A16&gt;$B$4,"",BINOMDIST(A16,$B$4,$B$6,FALSE()))</f>
        <v>0.004747561509943</v>
      </c>
      <c r="D16" s="4" t="str">
        <f aca="false">IF(A16&gt;$B$4,"",IF(OR(AND($B$8="inferior",A16&lt;=$B$7),AND($B$8="superior",A16&gt;=$B$7)),"Rechazo","No rechazo"))</f>
        <v>Rechazo</v>
      </c>
      <c r="F16" s="12" t="n">
        <f aca="false">SUM(B16:B116)</f>
        <v>1</v>
      </c>
    </row>
    <row r="17" customFormat="false" ht="15" hidden="false" customHeight="false" outlineLevel="0" collapsed="false">
      <c r="A17" s="4" t="n">
        <v>1</v>
      </c>
      <c r="B17" s="11" t="n">
        <f aca="false">IF(A17&gt;$B$4,"",BINOMDIST(A17,$B$4,$B$5,FALSE()))</f>
        <v>0.000457763671875</v>
      </c>
      <c r="C17" s="11" t="n">
        <f aca="false">IF(A17&gt;$B$4,"",BINOMDIST(A17,$B$4,$B$6,FALSE()))</f>
        <v>0.030520038278205</v>
      </c>
      <c r="D17" s="4" t="str">
        <f aca="false">IF(A17&gt;$B$4,"",IF(OR(AND($B$8="inferior",A17&lt;=$B$7),AND($B$8="superior",A17&gt;=$B$7)),"Rechazo","No rechazo"))</f>
        <v>Rechazo</v>
      </c>
    </row>
    <row r="18" customFormat="false" ht="15" hidden="false" customHeight="false" outlineLevel="0" collapsed="false">
      <c r="A18" s="4" t="n">
        <v>2</v>
      </c>
      <c r="B18" s="11" t="n">
        <f aca="false">IF(A18&gt;$B$4,"",BINOMDIST(A18,$B$4,$B$5,FALSE()))</f>
        <v>0.003204345703125</v>
      </c>
      <c r="C18" s="11" t="n">
        <f aca="false">IF(A18&gt;$B$4,"",BINOMDIST(A18,$B$4,$B$6,FALSE()))</f>
        <v>0.0915601148346149</v>
      </c>
      <c r="D18" s="4" t="str">
        <f aca="false">IF(A18&gt;$B$4,"",IF(OR(AND($B$8="inferior",A18&lt;=$B$7),AND($B$8="superior",A18&gt;=$B$7)),"Rechazo","No rechazo"))</f>
        <v>Rechazo</v>
      </c>
    </row>
    <row r="19" customFormat="false" ht="15" hidden="false" customHeight="false" outlineLevel="0" collapsed="false">
      <c r="A19" s="4" t="n">
        <v>3</v>
      </c>
      <c r="B19" s="11" t="n">
        <f aca="false">IF(A19&gt;$B$4,"",BINOMDIST(A19,$B$4,$B$5,FALSE()))</f>
        <v>0.013885498046875</v>
      </c>
      <c r="C19" s="11" t="n">
        <f aca="false">IF(A19&gt;$B$4,"",BINOMDIST(A19,$B$4,$B$6,FALSE()))</f>
        <v>0.170040213264285</v>
      </c>
      <c r="D19" s="4" t="str">
        <f aca="false">IF(A19&gt;$B$4,"",IF(OR(AND($B$8="inferior",A19&lt;=$B$7),AND($B$8="superior",A19&gt;=$B$7)),"Rechazo","No rechazo"))</f>
        <v>No rechazo</v>
      </c>
    </row>
    <row r="20" customFormat="false" ht="15" hidden="false" customHeight="false" outlineLevel="0" collapsed="false">
      <c r="A20" s="4" t="n">
        <v>4</v>
      </c>
      <c r="B20" s="11" t="n">
        <f aca="false">IF(A20&gt;$B$4,"",BINOMDIST(A20,$B$4,$B$5,FALSE()))</f>
        <v>0.041656494140625</v>
      </c>
      <c r="C20" s="11" t="n">
        <f aca="false">IF(A20&gt;$B$4,"",BINOMDIST(A20,$B$4,$B$6,FALSE()))</f>
        <v>0.218623131339795</v>
      </c>
      <c r="D20" s="4" t="str">
        <f aca="false">IF(A20&gt;$B$4,"",IF(OR(AND($B$8="inferior",A20&lt;=$B$7),AND($B$8="superior",A20&gt;=$B$7)),"Rechazo","No rechazo"))</f>
        <v>No rechazo</v>
      </c>
    </row>
    <row r="21" customFormat="false" ht="15" hidden="false" customHeight="false" outlineLevel="0" collapsed="false">
      <c r="A21" s="4" t="n">
        <v>5</v>
      </c>
      <c r="B21" s="11" t="n">
        <f aca="false">IF(A21&gt;$B$4,"",BINOMDIST(A21,$B$4,$B$5,FALSE()))</f>
        <v>0.091644287109375</v>
      </c>
      <c r="C21" s="11" t="n">
        <f aca="false">IF(A21&gt;$B$4,"",BINOMDIST(A21,$B$4,$B$6,FALSE()))</f>
        <v>0.206130380977521</v>
      </c>
      <c r="D21" s="4" t="str">
        <f aca="false">IF(A21&gt;$B$4,"",IF(OR(AND($B$8="inferior",A21&lt;=$B$7),AND($B$8="superior",A21&gt;=$B$7)),"Rechazo","No rechazo"))</f>
        <v>No rechazo</v>
      </c>
    </row>
    <row r="22" customFormat="false" ht="15" hidden="false" customHeight="false" outlineLevel="0" collapsed="false">
      <c r="A22" s="4" t="n">
        <v>6</v>
      </c>
      <c r="B22" s="11" t="n">
        <f aca="false">IF(A22&gt;$B$4,"",BINOMDIST(A22,$B$4,$B$5,FALSE()))</f>
        <v>0.152740478515625</v>
      </c>
      <c r="C22" s="11" t="n">
        <f aca="false">IF(A22&gt;$B$4,"",BINOMDIST(A22,$B$4,$B$6,FALSE()))</f>
        <v>0.147235986412515</v>
      </c>
      <c r="D22" s="4" t="str">
        <f aca="false">IF(A22&gt;$B$4,"",IF(OR(AND($B$8="inferior",A22&lt;=$B$7),AND($B$8="superior",A22&gt;=$B$7)),"Rechazo","No rechazo"))</f>
        <v>No rechazo</v>
      </c>
    </row>
    <row r="23" customFormat="false" ht="15" hidden="false" customHeight="false" outlineLevel="0" collapsed="false">
      <c r="A23" s="4" t="n">
        <v>7</v>
      </c>
      <c r="B23" s="11" t="n">
        <f aca="false">IF(A23&gt;$B$4,"",BINOMDIST(A23,$B$4,$B$5,FALSE()))</f>
        <v>0.196380615234375</v>
      </c>
      <c r="C23" s="11" t="n">
        <f aca="false">IF(A23&gt;$B$4,"",BINOMDIST(A23,$B$4,$B$6,FALSE()))</f>
        <v>0.081130033329345</v>
      </c>
      <c r="D23" s="4" t="str">
        <f aca="false">IF(A23&gt;$B$4,"",IF(OR(AND($B$8="inferior",A23&lt;=$B$7),AND($B$8="superior",A23&gt;=$B$7)),"Rechazo","No rechazo"))</f>
        <v>No rechazo</v>
      </c>
    </row>
    <row r="24" customFormat="false" ht="15" hidden="false" customHeight="false" outlineLevel="0" collapsed="false">
      <c r="A24" s="4" t="n">
        <v>8</v>
      </c>
      <c r="B24" s="11" t="n">
        <f aca="false">IF(A24&gt;$B$4,"",BINOMDIST(A24,$B$4,$B$5,FALSE()))</f>
        <v>0.196380615234375</v>
      </c>
      <c r="C24" s="11" t="n">
        <f aca="false">IF(A24&gt;$B$4,"",BINOMDIST(A24,$B$4,$B$6,FALSE()))</f>
        <v>0.034770014284005</v>
      </c>
      <c r="D24" s="4" t="str">
        <f aca="false">IF(A24&gt;$B$4,"",IF(OR(AND($B$8="inferior",A24&lt;=$B$7),AND($B$8="superior",A24&gt;=$B$7)),"Rechazo","No rechazo"))</f>
        <v>No rechazo</v>
      </c>
    </row>
    <row r="25" customFormat="false" ht="15" hidden="false" customHeight="false" outlineLevel="0" collapsed="false">
      <c r="A25" s="4" t="n">
        <v>9</v>
      </c>
      <c r="B25" s="11" t="n">
        <f aca="false">IF(A25&gt;$B$4,"",BINOMDIST(A25,$B$4,$B$5,FALSE()))</f>
        <v>0.152740478515625</v>
      </c>
      <c r="C25" s="11" t="n">
        <f aca="false">IF(A25&gt;$B$4,"",BINOMDIST(A25,$B$4,$B$6,FALSE()))</f>
        <v>0.011590004761335</v>
      </c>
      <c r="D25" s="4" t="str">
        <f aca="false">IF(A25&gt;$B$4,"",IF(OR(AND($B$8="inferior",A25&lt;=$B$7),AND($B$8="superior",A25&gt;=$B$7)),"Rechazo","No rechazo"))</f>
        <v>No rechazo</v>
      </c>
    </row>
    <row r="26" customFormat="false" ht="15" hidden="false" customHeight="false" outlineLevel="0" collapsed="false">
      <c r="A26" s="4" t="n">
        <v>10</v>
      </c>
      <c r="B26" s="11" t="n">
        <f aca="false">IF(A26&gt;$B$4,"",BINOMDIST(A26,$B$4,$B$5,FALSE()))</f>
        <v>0.091644287109375</v>
      </c>
      <c r="C26" s="11" t="n">
        <f aca="false">IF(A26&gt;$B$4,"",BINOMDIST(A26,$B$4,$B$6,FALSE()))</f>
        <v>0.002980286938629</v>
      </c>
      <c r="D26" s="4" t="str">
        <f aca="false">IF(A26&gt;$B$4,"",IF(OR(AND($B$8="inferior",A26&lt;=$B$7),AND($B$8="superior",A26&gt;=$B$7)),"Rechazo","No rechazo"))</f>
        <v>No rechazo</v>
      </c>
    </row>
    <row r="27" customFormat="false" ht="15" hidden="false" customHeight="false" outlineLevel="0" collapsed="false">
      <c r="A27" s="4" t="n">
        <v>11</v>
      </c>
      <c r="B27" s="11" t="n">
        <f aca="false">IF(A27&gt;$B$4,"",BINOMDIST(A27,$B$4,$B$5,FALSE()))</f>
        <v>0.041656494140625</v>
      </c>
      <c r="C27" s="11" t="n">
        <f aca="false">IF(A27&gt;$B$4,"",BINOMDIST(A27,$B$4,$B$6,FALSE()))</f>
        <v>0.000580575377655</v>
      </c>
      <c r="D27" s="4" t="str">
        <f aca="false">IF(A27&gt;$B$4,"",IF(OR(AND($B$8="inferior",A27&lt;=$B$7),AND($B$8="superior",A27&gt;=$B$7)),"Rechazo","No rechazo"))</f>
        <v>No rechazo</v>
      </c>
    </row>
    <row r="28" customFormat="false" ht="15" hidden="false" customHeight="false" outlineLevel="0" collapsed="false">
      <c r="A28" s="4" t="n">
        <v>12</v>
      </c>
      <c r="B28" s="11" t="n">
        <f aca="false">IF(A28&gt;$B$4,"",BINOMDIST(A28,$B$4,$B$5,FALSE()))</f>
        <v>0.013885498046875</v>
      </c>
      <c r="C28" s="11" t="n">
        <f aca="false">IF(A28&gt;$B$4,"",BINOMDIST(A28,$B$4,$B$6,FALSE()))</f>
        <v>8.2939339665E-005</v>
      </c>
      <c r="D28" s="4" t="str">
        <f aca="false">IF(A28&gt;$B$4,"",IF(OR(AND($B$8="inferior",A28&lt;=$B$7),AND($B$8="superior",A28&gt;=$B$7)),"Rechazo","No rechazo"))</f>
        <v>No rechazo</v>
      </c>
    </row>
    <row r="29" customFormat="false" ht="15" hidden="false" customHeight="false" outlineLevel="0" collapsed="false">
      <c r="A29" s="4" t="n">
        <v>13</v>
      </c>
      <c r="B29" s="11" t="n">
        <f aca="false">IF(A29&gt;$B$4,"",BINOMDIST(A29,$B$4,$B$5,FALSE()))</f>
        <v>0.003204345703125</v>
      </c>
      <c r="C29" s="11" t="n">
        <f aca="false">IF(A29&gt;$B$4,"",BINOMDIST(A29,$B$4,$B$6,FALSE()))</f>
        <v>8.202791835E-006</v>
      </c>
      <c r="D29" s="4" t="str">
        <f aca="false">IF(A29&gt;$B$4,"",IF(OR(AND($B$8="inferior",A29&lt;=$B$7),AND($B$8="superior",A29&gt;=$B$7)),"Rechazo","No rechazo"))</f>
        <v>No rechazo</v>
      </c>
    </row>
    <row r="30" customFormat="false" ht="15" hidden="false" customHeight="false" outlineLevel="0" collapsed="false">
      <c r="A30" s="4" t="n">
        <v>14</v>
      </c>
      <c r="B30" s="11" t="n">
        <f aca="false">IF(A30&gt;$B$4,"",BINOMDIST(A30,$B$4,$B$5,FALSE()))</f>
        <v>0.000457763671875</v>
      </c>
      <c r="C30" s="11" t="n">
        <f aca="false">IF(A30&gt;$B$4,"",BINOMDIST(A30,$B$4,$B$6,FALSE()))</f>
        <v>5.02211745E-007</v>
      </c>
      <c r="D30" s="4" t="str">
        <f aca="false">IF(A30&gt;$B$4,"",IF(OR(AND($B$8="inferior",A30&lt;=$B$7),AND($B$8="superior",A30&gt;=$B$7)),"Rechazo","No rechazo"))</f>
        <v>No rechazo</v>
      </c>
    </row>
    <row r="31" customFormat="false" ht="15" hidden="false" customHeight="false" outlineLevel="0" collapsed="false">
      <c r="A31" s="4" t="n">
        <v>15</v>
      </c>
      <c r="B31" s="11" t="n">
        <f aca="false">IF(A31&gt;$B$4,"",BINOMDIST(A31,$B$4,$B$5,FALSE()))</f>
        <v>3.0517578125E-005</v>
      </c>
      <c r="C31" s="11" t="n">
        <f aca="false">IF(A31&gt;$B$4,"",BINOMDIST(A31,$B$4,$B$6,FALSE()))</f>
        <v>1.4348907E-008</v>
      </c>
      <c r="D31" s="4" t="str">
        <f aca="false">IF(A31&gt;$B$4,"",IF(OR(AND($B$8="inferior",A31&lt;=$B$7),AND($B$8="superior",A31&gt;=$B$7)),"Rechazo","No rechazo"))</f>
        <v>No rechazo</v>
      </c>
    </row>
    <row r="32" customFormat="false" ht="15" hidden="false" customHeight="false" outlineLevel="0" collapsed="false">
      <c r="A32" s="4" t="n">
        <v>16</v>
      </c>
      <c r="B32" s="11" t="str">
        <f aca="false">IF(A32&gt;$B$4,"",BINOMDIST(A32,$B$4,$B$5,FALSE()))</f>
        <v/>
      </c>
      <c r="C32" s="11" t="str">
        <f aca="false">IF(A32&gt;$B$4,"",BINOMDIST(A32,$B$4,$B$6,FALSE()))</f>
        <v/>
      </c>
      <c r="D32" s="4" t="str">
        <f aca="false">IF(A32&gt;$B$4,"",IF(OR(AND($B$8="inferior",A32&lt;=$B$7),AND($B$8="superior",A32&gt;=$B$7)),"Rechazo","No rechazo"))</f>
        <v/>
      </c>
    </row>
    <row r="33" customFormat="false" ht="15" hidden="false" customHeight="false" outlineLevel="0" collapsed="false">
      <c r="A33" s="4" t="n">
        <v>17</v>
      </c>
      <c r="B33" s="11" t="str">
        <f aca="false">IF(A33&gt;$B$4,"",BINOMDIST(A33,$B$4,$B$5,FALSE()))</f>
        <v/>
      </c>
      <c r="C33" s="11" t="str">
        <f aca="false">IF(A33&gt;$B$4,"",BINOMDIST(A33,$B$4,$B$6,FALSE()))</f>
        <v/>
      </c>
      <c r="D33" s="4" t="str">
        <f aca="false">IF(A33&gt;$B$4,"",IF(OR(AND($B$8="inferior",A33&lt;=$B$7),AND($B$8="superior",A33&gt;=$B$7)),"Rechazo","No rechazo"))</f>
        <v/>
      </c>
    </row>
    <row r="34" customFormat="false" ht="15" hidden="false" customHeight="false" outlineLevel="0" collapsed="false">
      <c r="A34" s="4" t="n">
        <v>18</v>
      </c>
      <c r="B34" s="11" t="str">
        <f aca="false">IF(A34&gt;$B$4,"",BINOMDIST(A34,$B$4,$B$5,FALSE()))</f>
        <v/>
      </c>
      <c r="C34" s="11" t="str">
        <f aca="false">IF(A34&gt;$B$4,"",BINOMDIST(A34,$B$4,$B$6,FALSE()))</f>
        <v/>
      </c>
      <c r="D34" s="4" t="str">
        <f aca="false">IF(A34&gt;$B$4,"",IF(OR(AND($B$8="inferior",A34&lt;=$B$7),AND($B$8="superior",A34&gt;=$B$7)),"Rechazo","No rechazo"))</f>
        <v/>
      </c>
    </row>
    <row r="35" customFormat="false" ht="15" hidden="false" customHeight="false" outlineLevel="0" collapsed="false">
      <c r="A35" s="4" t="n">
        <v>19</v>
      </c>
      <c r="B35" s="11" t="str">
        <f aca="false">IF(A35&gt;$B$4,"",BINOMDIST(A35,$B$4,$B$5,FALSE()))</f>
        <v/>
      </c>
      <c r="C35" s="11" t="str">
        <f aca="false">IF(A35&gt;$B$4,"",BINOMDIST(A35,$B$4,$B$6,FALSE()))</f>
        <v/>
      </c>
      <c r="D35" s="4" t="str">
        <f aca="false">IF(A35&gt;$B$4,"",IF(OR(AND($B$8="inferior",A35&lt;=$B$7),AND($B$8="superior",A35&gt;=$B$7)),"Rechazo","No rechazo"))</f>
        <v/>
      </c>
    </row>
    <row r="36" customFormat="false" ht="15" hidden="false" customHeight="false" outlineLevel="0" collapsed="false">
      <c r="A36" s="4" t="n">
        <v>20</v>
      </c>
      <c r="B36" s="11" t="str">
        <f aca="false">IF(A36&gt;$B$4,"",BINOMDIST(A36,$B$4,$B$5,FALSE()))</f>
        <v/>
      </c>
      <c r="C36" s="11" t="str">
        <f aca="false">IF(A36&gt;$B$4,"",BINOMDIST(A36,$B$4,$B$6,FALSE()))</f>
        <v/>
      </c>
      <c r="D36" s="4" t="str">
        <f aca="false">IF(A36&gt;$B$4,"",IF(OR(AND($B$8="inferior",A36&lt;=$B$7),AND($B$8="superior",A36&gt;=$B$7)),"Rechazo","No rechazo"))</f>
        <v/>
      </c>
    </row>
    <row r="37" customFormat="false" ht="15" hidden="false" customHeight="false" outlineLevel="0" collapsed="false">
      <c r="A37" s="4" t="n">
        <v>21</v>
      </c>
      <c r="B37" s="11" t="str">
        <f aca="false">IF(A37&gt;$B$4,"",BINOMDIST(A37,$B$4,$B$5,FALSE()))</f>
        <v/>
      </c>
      <c r="C37" s="11" t="str">
        <f aca="false">IF(A37&gt;$B$4,"",BINOMDIST(A37,$B$4,$B$6,FALSE()))</f>
        <v/>
      </c>
      <c r="D37" s="4" t="str">
        <f aca="false">IF(A37&gt;$B$4,"",IF(OR(AND($B$8="inferior",A37&lt;=$B$7),AND($B$8="superior",A37&gt;=$B$7)),"Rechazo","No rechazo"))</f>
        <v/>
      </c>
    </row>
    <row r="38" customFormat="false" ht="15" hidden="false" customHeight="false" outlineLevel="0" collapsed="false">
      <c r="A38" s="4" t="n">
        <v>22</v>
      </c>
      <c r="B38" s="11" t="str">
        <f aca="false">IF(A38&gt;$B$4,"",BINOMDIST(A38,$B$4,$B$5,FALSE()))</f>
        <v/>
      </c>
      <c r="C38" s="11" t="str">
        <f aca="false">IF(A38&gt;$B$4,"",BINOMDIST(A38,$B$4,$B$6,FALSE()))</f>
        <v/>
      </c>
      <c r="D38" s="4" t="str">
        <f aca="false">IF(A38&gt;$B$4,"",IF(OR(AND($B$8="inferior",A38&lt;=$B$7),AND($B$8="superior",A38&gt;=$B$7)),"Rechazo","No rechazo"))</f>
        <v/>
      </c>
    </row>
    <row r="39" customFormat="false" ht="15" hidden="false" customHeight="false" outlineLevel="0" collapsed="false">
      <c r="A39" s="4" t="n">
        <v>23</v>
      </c>
      <c r="B39" s="11" t="str">
        <f aca="false">IF(A39&gt;$B$4,"",BINOMDIST(A39,$B$4,$B$5,FALSE()))</f>
        <v/>
      </c>
      <c r="C39" s="11" t="str">
        <f aca="false">IF(A39&gt;$B$4,"",BINOMDIST(A39,$B$4,$B$6,FALSE()))</f>
        <v/>
      </c>
      <c r="D39" s="4" t="str">
        <f aca="false">IF(A39&gt;$B$4,"",IF(OR(AND($B$8="inferior",A39&lt;=$B$7),AND($B$8="superior",A39&gt;=$B$7)),"Rechazo","No rechazo"))</f>
        <v/>
      </c>
    </row>
    <row r="40" customFormat="false" ht="15" hidden="false" customHeight="false" outlineLevel="0" collapsed="false">
      <c r="A40" s="4" t="n">
        <v>24</v>
      </c>
      <c r="B40" s="11" t="str">
        <f aca="false">IF(A40&gt;$B$4,"",BINOMDIST(A40,$B$4,$B$5,FALSE()))</f>
        <v/>
      </c>
      <c r="C40" s="11" t="str">
        <f aca="false">IF(A40&gt;$B$4,"",BINOMDIST(A40,$B$4,$B$6,FALSE()))</f>
        <v/>
      </c>
      <c r="D40" s="4" t="str">
        <f aca="false">IF(A40&gt;$B$4,"",IF(OR(AND($B$8="inferior",A40&lt;=$B$7),AND($B$8="superior",A40&gt;=$B$7)),"Rechazo","No rechazo"))</f>
        <v/>
      </c>
    </row>
    <row r="41" customFormat="false" ht="15" hidden="false" customHeight="false" outlineLevel="0" collapsed="false">
      <c r="A41" s="4" t="n">
        <v>25</v>
      </c>
      <c r="B41" s="11" t="str">
        <f aca="false">IF(A41&gt;$B$4,"",BINOMDIST(A41,$B$4,$B$5,FALSE()))</f>
        <v/>
      </c>
      <c r="C41" s="11" t="str">
        <f aca="false">IF(A41&gt;$B$4,"",BINOMDIST(A41,$B$4,$B$6,FALSE()))</f>
        <v/>
      </c>
      <c r="D41" s="4" t="str">
        <f aca="false">IF(A41&gt;$B$4,"",IF(OR(AND($B$8="inferior",A41&lt;=$B$7),AND($B$8="superior",A41&gt;=$B$7)),"Rechazo","No rechazo"))</f>
        <v/>
      </c>
    </row>
    <row r="42" customFormat="false" ht="15" hidden="false" customHeight="false" outlineLevel="0" collapsed="false">
      <c r="A42" s="4" t="n">
        <v>26</v>
      </c>
      <c r="B42" s="11" t="str">
        <f aca="false">IF(A42&gt;$B$4,"",BINOMDIST(A42,$B$4,$B$5,FALSE()))</f>
        <v/>
      </c>
      <c r="C42" s="11" t="str">
        <f aca="false">IF(A42&gt;$B$4,"",BINOMDIST(A42,$B$4,$B$6,FALSE()))</f>
        <v/>
      </c>
      <c r="D42" s="4" t="str">
        <f aca="false">IF(A42&gt;$B$4,"",IF(OR(AND($B$8="inferior",A42&lt;=$B$7),AND($B$8="superior",A42&gt;=$B$7)),"Rechazo","No rechazo"))</f>
        <v/>
      </c>
    </row>
    <row r="43" customFormat="false" ht="15" hidden="false" customHeight="false" outlineLevel="0" collapsed="false">
      <c r="A43" s="4" t="n">
        <v>27</v>
      </c>
      <c r="B43" s="11" t="str">
        <f aca="false">IF(A43&gt;$B$4,"",BINOMDIST(A43,$B$4,$B$5,FALSE()))</f>
        <v/>
      </c>
      <c r="C43" s="11" t="str">
        <f aca="false">IF(A43&gt;$B$4,"",BINOMDIST(A43,$B$4,$B$6,FALSE()))</f>
        <v/>
      </c>
      <c r="D43" s="4" t="str">
        <f aca="false">IF(A43&gt;$B$4,"",IF(OR(AND($B$8="inferior",A43&lt;=$B$7),AND($B$8="superior",A43&gt;=$B$7)),"Rechazo","No rechazo"))</f>
        <v/>
      </c>
    </row>
    <row r="44" customFormat="false" ht="15" hidden="false" customHeight="false" outlineLevel="0" collapsed="false">
      <c r="A44" s="4" t="n">
        <v>28</v>
      </c>
      <c r="B44" s="11" t="str">
        <f aca="false">IF(A44&gt;$B$4,"",BINOMDIST(A44,$B$4,$B$5,FALSE()))</f>
        <v/>
      </c>
      <c r="C44" s="11" t="str">
        <f aca="false">IF(A44&gt;$B$4,"",BINOMDIST(A44,$B$4,$B$6,FALSE()))</f>
        <v/>
      </c>
      <c r="D44" s="4" t="str">
        <f aca="false">IF(A44&gt;$B$4,"",IF(OR(AND($B$8="inferior",A44&lt;=$B$7),AND($B$8="superior",A44&gt;=$B$7)),"Rechazo","No rechazo"))</f>
        <v/>
      </c>
    </row>
    <row r="45" customFormat="false" ht="15" hidden="false" customHeight="false" outlineLevel="0" collapsed="false">
      <c r="A45" s="4" t="n">
        <v>29</v>
      </c>
      <c r="B45" s="11" t="str">
        <f aca="false">IF(A45&gt;$B$4,"",BINOMDIST(A45,$B$4,$B$5,FALSE()))</f>
        <v/>
      </c>
      <c r="C45" s="11" t="str">
        <f aca="false">IF(A45&gt;$B$4,"",BINOMDIST(A45,$B$4,$B$6,FALSE()))</f>
        <v/>
      </c>
      <c r="D45" s="4" t="str">
        <f aca="false">IF(A45&gt;$B$4,"",IF(OR(AND($B$8="inferior",A45&lt;=$B$7),AND($B$8="superior",A45&gt;=$B$7)),"Rechazo","No rechazo"))</f>
        <v/>
      </c>
    </row>
    <row r="46" customFormat="false" ht="15" hidden="false" customHeight="false" outlineLevel="0" collapsed="false">
      <c r="A46" s="4" t="n">
        <v>30</v>
      </c>
      <c r="B46" s="11" t="str">
        <f aca="false">IF(A46&gt;$B$4,"",BINOMDIST(A46,$B$4,$B$5,FALSE()))</f>
        <v/>
      </c>
      <c r="C46" s="11" t="str">
        <f aca="false">IF(A46&gt;$B$4,"",BINOMDIST(A46,$B$4,$B$6,FALSE()))</f>
        <v/>
      </c>
      <c r="D46" s="4" t="str">
        <f aca="false">IF(A46&gt;$B$4,"",IF(OR(AND($B$8="inferior",A46&lt;=$B$7),AND($B$8="superior",A46&gt;=$B$7)),"Rechazo","No rechazo"))</f>
        <v/>
      </c>
    </row>
    <row r="47" customFormat="false" ht="15" hidden="false" customHeight="false" outlineLevel="0" collapsed="false">
      <c r="A47" s="4" t="n">
        <v>31</v>
      </c>
      <c r="B47" s="11" t="str">
        <f aca="false">IF(A47&gt;$B$4,"",BINOMDIST(A47,$B$4,$B$5,FALSE()))</f>
        <v/>
      </c>
      <c r="C47" s="11" t="str">
        <f aca="false">IF(A47&gt;$B$4,"",BINOMDIST(A47,$B$4,$B$6,FALSE()))</f>
        <v/>
      </c>
      <c r="D47" s="4" t="str">
        <f aca="false">IF(A47&gt;$B$4,"",IF(OR(AND($B$8="inferior",A47&lt;=$B$7),AND($B$8="superior",A47&gt;=$B$7)),"Rechazo","No rechazo"))</f>
        <v/>
      </c>
    </row>
    <row r="48" customFormat="false" ht="15" hidden="false" customHeight="false" outlineLevel="0" collapsed="false">
      <c r="A48" s="4" t="n">
        <v>32</v>
      </c>
      <c r="B48" s="11" t="str">
        <f aca="false">IF(A48&gt;$B$4,"",BINOMDIST(A48,$B$4,$B$5,FALSE()))</f>
        <v/>
      </c>
      <c r="C48" s="11" t="str">
        <f aca="false">IF(A48&gt;$B$4,"",BINOMDIST(A48,$B$4,$B$6,FALSE()))</f>
        <v/>
      </c>
      <c r="D48" s="4" t="str">
        <f aca="false">IF(A48&gt;$B$4,"",IF(OR(AND($B$8="inferior",A48&lt;=$B$7),AND($B$8="superior",A48&gt;=$B$7)),"Rechazo","No rechazo"))</f>
        <v/>
      </c>
    </row>
    <row r="49" customFormat="false" ht="15" hidden="false" customHeight="false" outlineLevel="0" collapsed="false">
      <c r="A49" s="4" t="n">
        <v>33</v>
      </c>
      <c r="B49" s="11" t="str">
        <f aca="false">IF(A49&gt;$B$4,"",BINOMDIST(A49,$B$4,$B$5,FALSE()))</f>
        <v/>
      </c>
      <c r="C49" s="11" t="str">
        <f aca="false">IF(A49&gt;$B$4,"",BINOMDIST(A49,$B$4,$B$6,FALSE()))</f>
        <v/>
      </c>
      <c r="D49" s="4" t="str">
        <f aca="false">IF(A49&gt;$B$4,"",IF(OR(AND($B$8="inferior",A49&lt;=$B$7),AND($B$8="superior",A49&gt;=$B$7)),"Rechazo","No rechazo"))</f>
        <v/>
      </c>
    </row>
    <row r="50" customFormat="false" ht="15" hidden="false" customHeight="false" outlineLevel="0" collapsed="false">
      <c r="A50" s="4" t="n">
        <v>34</v>
      </c>
      <c r="B50" s="11" t="str">
        <f aca="false">IF(A50&gt;$B$4,"",BINOMDIST(A50,$B$4,$B$5,FALSE()))</f>
        <v/>
      </c>
      <c r="C50" s="11" t="str">
        <f aca="false">IF(A50&gt;$B$4,"",BINOMDIST(A50,$B$4,$B$6,FALSE()))</f>
        <v/>
      </c>
      <c r="D50" s="4" t="str">
        <f aca="false">IF(A50&gt;$B$4,"",IF(OR(AND($B$8="inferior",A50&lt;=$B$7),AND($B$8="superior",A50&gt;=$B$7)),"Rechazo","No rechazo"))</f>
        <v/>
      </c>
    </row>
    <row r="51" customFormat="false" ht="15" hidden="false" customHeight="false" outlineLevel="0" collapsed="false">
      <c r="A51" s="4" t="n">
        <v>35</v>
      </c>
      <c r="B51" s="11" t="str">
        <f aca="false">IF(A51&gt;$B$4,"",BINOMDIST(A51,$B$4,$B$5,FALSE()))</f>
        <v/>
      </c>
      <c r="C51" s="11" t="str">
        <f aca="false">IF(A51&gt;$B$4,"",BINOMDIST(A51,$B$4,$B$6,FALSE()))</f>
        <v/>
      </c>
      <c r="D51" s="4" t="str">
        <f aca="false">IF(A51&gt;$B$4,"",IF(OR(AND($B$8="inferior",A51&lt;=$B$7),AND($B$8="superior",A51&gt;=$B$7)),"Rechazo","No rechazo"))</f>
        <v/>
      </c>
    </row>
    <row r="52" customFormat="false" ht="15" hidden="false" customHeight="false" outlineLevel="0" collapsed="false">
      <c r="A52" s="4" t="n">
        <v>36</v>
      </c>
      <c r="B52" s="11" t="str">
        <f aca="false">IF(A52&gt;$B$4,"",BINOMDIST(A52,$B$4,$B$5,FALSE()))</f>
        <v/>
      </c>
      <c r="C52" s="11" t="str">
        <f aca="false">IF(A52&gt;$B$4,"",BINOMDIST(A52,$B$4,$B$6,FALSE()))</f>
        <v/>
      </c>
      <c r="D52" s="4" t="str">
        <f aca="false">IF(A52&gt;$B$4,"",IF(OR(AND($B$8="inferior",A52&lt;=$B$7),AND($B$8="superior",A52&gt;=$B$7)),"Rechazo","No rechazo"))</f>
        <v/>
      </c>
    </row>
    <row r="53" customFormat="false" ht="15" hidden="false" customHeight="false" outlineLevel="0" collapsed="false">
      <c r="A53" s="4" t="n">
        <v>37</v>
      </c>
      <c r="B53" s="11" t="str">
        <f aca="false">IF(A53&gt;$B$4,"",BINOMDIST(A53,$B$4,$B$5,FALSE()))</f>
        <v/>
      </c>
      <c r="C53" s="11" t="str">
        <f aca="false">IF(A53&gt;$B$4,"",BINOMDIST(A53,$B$4,$B$6,FALSE()))</f>
        <v/>
      </c>
      <c r="D53" s="4" t="str">
        <f aca="false">IF(A53&gt;$B$4,"",IF(OR(AND($B$8="inferior",A53&lt;=$B$7),AND($B$8="superior",A53&gt;=$B$7)),"Rechazo","No rechazo"))</f>
        <v/>
      </c>
    </row>
    <row r="54" customFormat="false" ht="15" hidden="false" customHeight="false" outlineLevel="0" collapsed="false">
      <c r="A54" s="4" t="n">
        <v>38</v>
      </c>
      <c r="B54" s="11" t="str">
        <f aca="false">IF(A54&gt;$B$4,"",BINOMDIST(A54,$B$4,$B$5,FALSE()))</f>
        <v/>
      </c>
      <c r="C54" s="11" t="str">
        <f aca="false">IF(A54&gt;$B$4,"",BINOMDIST(A54,$B$4,$B$6,FALSE()))</f>
        <v/>
      </c>
      <c r="D54" s="4" t="str">
        <f aca="false">IF(A54&gt;$B$4,"",IF(OR(AND($B$8="inferior",A54&lt;=$B$7),AND($B$8="superior",A54&gt;=$B$7)),"Rechazo","No rechazo"))</f>
        <v/>
      </c>
    </row>
    <row r="55" customFormat="false" ht="15" hidden="false" customHeight="false" outlineLevel="0" collapsed="false">
      <c r="A55" s="4" t="n">
        <v>39</v>
      </c>
      <c r="B55" s="11" t="str">
        <f aca="false">IF(A55&gt;$B$4,"",BINOMDIST(A55,$B$4,$B$5,FALSE()))</f>
        <v/>
      </c>
      <c r="C55" s="11" t="str">
        <f aca="false">IF(A55&gt;$B$4,"",BINOMDIST(A55,$B$4,$B$6,FALSE()))</f>
        <v/>
      </c>
      <c r="D55" s="4" t="str">
        <f aca="false">IF(A55&gt;$B$4,"",IF(OR(AND($B$8="inferior",A55&lt;=$B$7),AND($B$8="superior",A55&gt;=$B$7)),"Rechazo","No rechazo"))</f>
        <v/>
      </c>
    </row>
    <row r="56" customFormat="false" ht="15" hidden="false" customHeight="false" outlineLevel="0" collapsed="false">
      <c r="A56" s="4" t="n">
        <v>40</v>
      </c>
      <c r="B56" s="11" t="str">
        <f aca="false">IF(A56&gt;$B$4,"",BINOMDIST(A56,$B$4,$B$5,FALSE()))</f>
        <v/>
      </c>
      <c r="C56" s="11" t="str">
        <f aca="false">IF(A56&gt;$B$4,"",BINOMDIST(A56,$B$4,$B$6,FALSE()))</f>
        <v/>
      </c>
      <c r="D56" s="4" t="str">
        <f aca="false">IF(A56&gt;$B$4,"",IF(OR(AND($B$8="inferior",A56&lt;=$B$7),AND($B$8="superior",A56&gt;=$B$7)),"Rechazo","No rechazo"))</f>
        <v/>
      </c>
    </row>
    <row r="57" customFormat="false" ht="15" hidden="false" customHeight="false" outlineLevel="0" collapsed="false">
      <c r="A57" s="4" t="n">
        <v>41</v>
      </c>
      <c r="B57" s="11" t="str">
        <f aca="false">IF(A57&gt;$B$4,"",BINOMDIST(A57,$B$4,$B$5,FALSE()))</f>
        <v/>
      </c>
      <c r="C57" s="11" t="str">
        <f aca="false">IF(A57&gt;$B$4,"",BINOMDIST(A57,$B$4,$B$6,FALSE()))</f>
        <v/>
      </c>
      <c r="D57" s="4" t="str">
        <f aca="false">IF(A57&gt;$B$4,"",IF(OR(AND($B$8="inferior",A57&lt;=$B$7),AND($B$8="superior",A57&gt;=$B$7)),"Rechazo","No rechazo"))</f>
        <v/>
      </c>
    </row>
    <row r="58" customFormat="false" ht="15" hidden="false" customHeight="false" outlineLevel="0" collapsed="false">
      <c r="A58" s="4" t="n">
        <v>42</v>
      </c>
      <c r="B58" s="11" t="str">
        <f aca="false">IF(A58&gt;$B$4,"",BINOMDIST(A58,$B$4,$B$5,FALSE()))</f>
        <v/>
      </c>
      <c r="C58" s="11" t="str">
        <f aca="false">IF(A58&gt;$B$4,"",BINOMDIST(A58,$B$4,$B$6,FALSE()))</f>
        <v/>
      </c>
      <c r="D58" s="4" t="str">
        <f aca="false">IF(A58&gt;$B$4,"",IF(OR(AND($B$8="inferior",A58&lt;=$B$7),AND($B$8="superior",A58&gt;=$B$7)),"Rechazo","No rechazo"))</f>
        <v/>
      </c>
    </row>
    <row r="59" customFormat="false" ht="15" hidden="false" customHeight="false" outlineLevel="0" collapsed="false">
      <c r="A59" s="4" t="n">
        <v>43</v>
      </c>
      <c r="B59" s="11" t="str">
        <f aca="false">IF(A59&gt;$B$4,"",BINOMDIST(A59,$B$4,$B$5,FALSE()))</f>
        <v/>
      </c>
      <c r="C59" s="11" t="str">
        <f aca="false">IF(A59&gt;$B$4,"",BINOMDIST(A59,$B$4,$B$6,FALSE()))</f>
        <v/>
      </c>
      <c r="D59" s="4" t="str">
        <f aca="false">IF(A59&gt;$B$4,"",IF(OR(AND($B$8="inferior",A59&lt;=$B$7),AND($B$8="superior",A59&gt;=$B$7)),"Rechazo","No rechazo"))</f>
        <v/>
      </c>
    </row>
    <row r="60" customFormat="false" ht="15" hidden="false" customHeight="false" outlineLevel="0" collapsed="false">
      <c r="A60" s="4" t="n">
        <v>44</v>
      </c>
      <c r="B60" s="11" t="str">
        <f aca="false">IF(A60&gt;$B$4,"",BINOMDIST(A60,$B$4,$B$5,FALSE()))</f>
        <v/>
      </c>
      <c r="C60" s="11" t="str">
        <f aca="false">IF(A60&gt;$B$4,"",BINOMDIST(A60,$B$4,$B$6,FALSE()))</f>
        <v/>
      </c>
      <c r="D60" s="4" t="str">
        <f aca="false">IF(A60&gt;$B$4,"",IF(OR(AND($B$8="inferior",A60&lt;=$B$7),AND($B$8="superior",A60&gt;=$B$7)),"Rechazo","No rechazo"))</f>
        <v/>
      </c>
    </row>
    <row r="61" customFormat="false" ht="15" hidden="false" customHeight="false" outlineLevel="0" collapsed="false">
      <c r="A61" s="4" t="n">
        <v>45</v>
      </c>
      <c r="B61" s="11" t="str">
        <f aca="false">IF(A61&gt;$B$4,"",BINOMDIST(A61,$B$4,$B$5,FALSE()))</f>
        <v/>
      </c>
      <c r="C61" s="11" t="str">
        <f aca="false">IF(A61&gt;$B$4,"",BINOMDIST(A61,$B$4,$B$6,FALSE()))</f>
        <v/>
      </c>
      <c r="D61" s="4" t="str">
        <f aca="false">IF(A61&gt;$B$4,"",IF(OR(AND($B$8="inferior",A61&lt;=$B$7),AND($B$8="superior",A61&gt;=$B$7)),"Rechazo","No rechazo"))</f>
        <v/>
      </c>
    </row>
    <row r="62" customFormat="false" ht="15" hidden="false" customHeight="false" outlineLevel="0" collapsed="false">
      <c r="A62" s="4" t="n">
        <v>46</v>
      </c>
      <c r="B62" s="11" t="str">
        <f aca="false">IF(A62&gt;$B$4,"",BINOMDIST(A62,$B$4,$B$5,FALSE()))</f>
        <v/>
      </c>
      <c r="C62" s="11" t="str">
        <f aca="false">IF(A62&gt;$B$4,"",BINOMDIST(A62,$B$4,$B$6,FALSE()))</f>
        <v/>
      </c>
      <c r="D62" s="4" t="str">
        <f aca="false">IF(A62&gt;$B$4,"",IF(OR(AND($B$8="inferior",A62&lt;=$B$7),AND($B$8="superior",A62&gt;=$B$7)),"Rechazo","No rechazo"))</f>
        <v/>
      </c>
    </row>
    <row r="63" customFormat="false" ht="15" hidden="false" customHeight="false" outlineLevel="0" collapsed="false">
      <c r="A63" s="4" t="n">
        <v>47</v>
      </c>
      <c r="B63" s="11" t="str">
        <f aca="false">IF(A63&gt;$B$4,"",BINOMDIST(A63,$B$4,$B$5,FALSE()))</f>
        <v/>
      </c>
      <c r="C63" s="11" t="str">
        <f aca="false">IF(A63&gt;$B$4,"",BINOMDIST(A63,$B$4,$B$6,FALSE()))</f>
        <v/>
      </c>
      <c r="D63" s="4" t="str">
        <f aca="false">IF(A63&gt;$B$4,"",IF(OR(AND($B$8="inferior",A63&lt;=$B$7),AND($B$8="superior",A63&gt;=$B$7)),"Rechazo","No rechazo"))</f>
        <v/>
      </c>
    </row>
    <row r="64" customFormat="false" ht="15" hidden="false" customHeight="false" outlineLevel="0" collapsed="false">
      <c r="A64" s="4" t="n">
        <v>48</v>
      </c>
      <c r="B64" s="11" t="str">
        <f aca="false">IF(A64&gt;$B$4,"",BINOMDIST(A64,$B$4,$B$5,FALSE()))</f>
        <v/>
      </c>
      <c r="C64" s="11" t="str">
        <f aca="false">IF(A64&gt;$B$4,"",BINOMDIST(A64,$B$4,$B$6,FALSE()))</f>
        <v/>
      </c>
      <c r="D64" s="4" t="str">
        <f aca="false">IF(A64&gt;$B$4,"",IF(OR(AND($B$8="inferior",A64&lt;=$B$7),AND($B$8="superior",A64&gt;=$B$7)),"Rechazo","No rechazo"))</f>
        <v/>
      </c>
    </row>
    <row r="65" customFormat="false" ht="15" hidden="false" customHeight="false" outlineLevel="0" collapsed="false">
      <c r="A65" s="4" t="n">
        <v>49</v>
      </c>
      <c r="B65" s="11" t="str">
        <f aca="false">IF(A65&gt;$B$4,"",BINOMDIST(A65,$B$4,$B$5,FALSE()))</f>
        <v/>
      </c>
      <c r="C65" s="11" t="str">
        <f aca="false">IF(A65&gt;$B$4,"",BINOMDIST(A65,$B$4,$B$6,FALSE()))</f>
        <v/>
      </c>
      <c r="D65" s="4" t="str">
        <f aca="false">IF(A65&gt;$B$4,"",IF(OR(AND($B$8="inferior",A65&lt;=$B$7),AND($B$8="superior",A65&gt;=$B$7)),"Rechazo","No rechazo"))</f>
        <v/>
      </c>
    </row>
    <row r="66" customFormat="false" ht="15" hidden="false" customHeight="false" outlineLevel="0" collapsed="false">
      <c r="A66" s="4" t="n">
        <v>50</v>
      </c>
      <c r="B66" s="11" t="str">
        <f aca="false">IF(A66&gt;$B$4,"",BINOMDIST(A66,$B$4,$B$5,FALSE()))</f>
        <v/>
      </c>
      <c r="C66" s="11" t="str">
        <f aca="false">IF(A66&gt;$B$4,"",BINOMDIST(A66,$B$4,$B$6,FALSE()))</f>
        <v/>
      </c>
      <c r="D66" s="4" t="str">
        <f aca="false">IF(A66&gt;$B$4,"",IF(OR(AND($B$8="inferior",A66&lt;=$B$7),AND($B$8="superior",A66&gt;=$B$7)),"Rechazo","No rechazo"))</f>
        <v/>
      </c>
    </row>
    <row r="67" customFormat="false" ht="15" hidden="false" customHeight="false" outlineLevel="0" collapsed="false">
      <c r="A67" s="4" t="n">
        <v>51</v>
      </c>
      <c r="B67" s="11" t="str">
        <f aca="false">IF(A67&gt;$B$4,"",BINOMDIST(A67,$B$4,$B$5,FALSE()))</f>
        <v/>
      </c>
      <c r="C67" s="11" t="str">
        <f aca="false">IF(A67&gt;$B$4,"",BINOMDIST(A67,$B$4,$B$6,FALSE()))</f>
        <v/>
      </c>
      <c r="D67" s="4" t="str">
        <f aca="false">IF(A67&gt;$B$4,"",IF(OR(AND($B$8="inferior",A67&lt;=$B$7),AND($B$8="superior",A67&gt;=$B$7)),"Rechazo","No rechazo"))</f>
        <v/>
      </c>
    </row>
    <row r="68" customFormat="false" ht="15" hidden="false" customHeight="false" outlineLevel="0" collapsed="false">
      <c r="A68" s="4" t="n">
        <v>52</v>
      </c>
      <c r="B68" s="11" t="str">
        <f aca="false">IF(A68&gt;$B$4,"",BINOMDIST(A68,$B$4,$B$5,FALSE()))</f>
        <v/>
      </c>
      <c r="C68" s="11" t="str">
        <f aca="false">IF(A68&gt;$B$4,"",BINOMDIST(A68,$B$4,$B$6,FALSE()))</f>
        <v/>
      </c>
      <c r="D68" s="4" t="str">
        <f aca="false">IF(A68&gt;$B$4,"",IF(OR(AND($B$8="inferior",A68&lt;=$B$7),AND($B$8="superior",A68&gt;=$B$7)),"Rechazo","No rechazo"))</f>
        <v/>
      </c>
    </row>
    <row r="69" customFormat="false" ht="15" hidden="false" customHeight="false" outlineLevel="0" collapsed="false">
      <c r="A69" s="4" t="n">
        <v>53</v>
      </c>
      <c r="B69" s="11" t="str">
        <f aca="false">IF(A69&gt;$B$4,"",BINOMDIST(A69,$B$4,$B$5,FALSE()))</f>
        <v/>
      </c>
      <c r="C69" s="11" t="str">
        <f aca="false">IF(A69&gt;$B$4,"",BINOMDIST(A69,$B$4,$B$6,FALSE()))</f>
        <v/>
      </c>
      <c r="D69" s="4" t="str">
        <f aca="false">IF(A69&gt;$B$4,"",IF(OR(AND($B$8="inferior",A69&lt;=$B$7),AND($B$8="superior",A69&gt;=$B$7)),"Rechazo","No rechazo"))</f>
        <v/>
      </c>
    </row>
    <row r="70" customFormat="false" ht="15" hidden="false" customHeight="false" outlineLevel="0" collapsed="false">
      <c r="A70" s="4" t="n">
        <v>54</v>
      </c>
      <c r="B70" s="11" t="str">
        <f aca="false">IF(A70&gt;$B$4,"",BINOMDIST(A70,$B$4,$B$5,FALSE()))</f>
        <v/>
      </c>
      <c r="C70" s="11" t="str">
        <f aca="false">IF(A70&gt;$B$4,"",BINOMDIST(A70,$B$4,$B$6,FALSE()))</f>
        <v/>
      </c>
      <c r="D70" s="4" t="str">
        <f aca="false">IF(A70&gt;$B$4,"",IF(OR(AND($B$8="inferior",A70&lt;=$B$7),AND($B$8="superior",A70&gt;=$B$7)),"Rechazo","No rechazo"))</f>
        <v/>
      </c>
    </row>
    <row r="71" customFormat="false" ht="15" hidden="false" customHeight="false" outlineLevel="0" collapsed="false">
      <c r="A71" s="4" t="n">
        <v>55</v>
      </c>
      <c r="B71" s="11" t="str">
        <f aca="false">IF(A71&gt;$B$4,"",BINOMDIST(A71,$B$4,$B$5,FALSE()))</f>
        <v/>
      </c>
      <c r="C71" s="11" t="str">
        <f aca="false">IF(A71&gt;$B$4,"",BINOMDIST(A71,$B$4,$B$6,FALSE()))</f>
        <v/>
      </c>
      <c r="D71" s="4" t="str">
        <f aca="false">IF(A71&gt;$B$4,"",IF(OR(AND($B$8="inferior",A71&lt;=$B$7),AND($B$8="superior",A71&gt;=$B$7)),"Rechazo","No rechazo"))</f>
        <v/>
      </c>
    </row>
    <row r="72" customFormat="false" ht="15" hidden="false" customHeight="false" outlineLevel="0" collapsed="false">
      <c r="A72" s="4" t="n">
        <v>56</v>
      </c>
      <c r="B72" s="11" t="str">
        <f aca="false">IF(A72&gt;$B$4,"",BINOMDIST(A72,$B$4,$B$5,FALSE()))</f>
        <v/>
      </c>
      <c r="C72" s="11" t="str">
        <f aca="false">IF(A72&gt;$B$4,"",BINOMDIST(A72,$B$4,$B$6,FALSE()))</f>
        <v/>
      </c>
      <c r="D72" s="4" t="str">
        <f aca="false">IF(A72&gt;$B$4,"",IF(OR(AND($B$8="inferior",A72&lt;=$B$7),AND($B$8="superior",A72&gt;=$B$7)),"Rechazo","No rechazo"))</f>
        <v/>
      </c>
    </row>
    <row r="73" customFormat="false" ht="15" hidden="false" customHeight="false" outlineLevel="0" collapsed="false">
      <c r="A73" s="4" t="n">
        <v>57</v>
      </c>
      <c r="B73" s="11" t="str">
        <f aca="false">IF(A73&gt;$B$4,"",BINOMDIST(A73,$B$4,$B$5,FALSE()))</f>
        <v/>
      </c>
      <c r="C73" s="11" t="str">
        <f aca="false">IF(A73&gt;$B$4,"",BINOMDIST(A73,$B$4,$B$6,FALSE()))</f>
        <v/>
      </c>
      <c r="D73" s="4" t="str">
        <f aca="false">IF(A73&gt;$B$4,"",IF(OR(AND($B$8="inferior",A73&lt;=$B$7),AND($B$8="superior",A73&gt;=$B$7)),"Rechazo","No rechazo"))</f>
        <v/>
      </c>
    </row>
    <row r="74" customFormat="false" ht="15" hidden="false" customHeight="false" outlineLevel="0" collapsed="false">
      <c r="A74" s="4" t="n">
        <v>58</v>
      </c>
      <c r="B74" s="11" t="str">
        <f aca="false">IF(A74&gt;$B$4,"",BINOMDIST(A74,$B$4,$B$5,FALSE()))</f>
        <v/>
      </c>
      <c r="C74" s="11" t="str">
        <f aca="false">IF(A74&gt;$B$4,"",BINOMDIST(A74,$B$4,$B$6,FALSE()))</f>
        <v/>
      </c>
      <c r="D74" s="4" t="str">
        <f aca="false">IF(A74&gt;$B$4,"",IF(OR(AND($B$8="inferior",A74&lt;=$B$7),AND($B$8="superior",A74&gt;=$B$7)),"Rechazo","No rechazo"))</f>
        <v/>
      </c>
    </row>
    <row r="75" customFormat="false" ht="15" hidden="false" customHeight="false" outlineLevel="0" collapsed="false">
      <c r="A75" s="4" t="n">
        <v>59</v>
      </c>
      <c r="B75" s="11" t="str">
        <f aca="false">IF(A75&gt;$B$4,"",BINOMDIST(A75,$B$4,$B$5,FALSE()))</f>
        <v/>
      </c>
      <c r="C75" s="11" t="str">
        <f aca="false">IF(A75&gt;$B$4,"",BINOMDIST(A75,$B$4,$B$6,FALSE()))</f>
        <v/>
      </c>
      <c r="D75" s="4" t="str">
        <f aca="false">IF(A75&gt;$B$4,"",IF(OR(AND($B$8="inferior",A75&lt;=$B$7),AND($B$8="superior",A75&gt;=$B$7)),"Rechazo","No rechazo"))</f>
        <v/>
      </c>
    </row>
    <row r="76" customFormat="false" ht="15" hidden="false" customHeight="false" outlineLevel="0" collapsed="false">
      <c r="A76" s="4" t="n">
        <v>60</v>
      </c>
      <c r="B76" s="11" t="str">
        <f aca="false">IF(A76&gt;$B$4,"",BINOMDIST(A76,$B$4,$B$5,FALSE()))</f>
        <v/>
      </c>
      <c r="C76" s="11" t="str">
        <f aca="false">IF(A76&gt;$B$4,"",BINOMDIST(A76,$B$4,$B$6,FALSE()))</f>
        <v/>
      </c>
      <c r="D76" s="4" t="str">
        <f aca="false">IF(A76&gt;$B$4,"",IF(OR(AND($B$8="inferior",A76&lt;=$B$7),AND($B$8="superior",A76&gt;=$B$7)),"Rechazo","No rechazo"))</f>
        <v/>
      </c>
    </row>
    <row r="77" customFormat="false" ht="15" hidden="false" customHeight="false" outlineLevel="0" collapsed="false">
      <c r="A77" s="4" t="n">
        <v>61</v>
      </c>
      <c r="B77" s="11" t="str">
        <f aca="false">IF(A77&gt;$B$4,"",BINOMDIST(A77,$B$4,$B$5,FALSE()))</f>
        <v/>
      </c>
      <c r="C77" s="11" t="str">
        <f aca="false">IF(A77&gt;$B$4,"",BINOMDIST(A77,$B$4,$B$6,FALSE()))</f>
        <v/>
      </c>
      <c r="D77" s="4" t="str">
        <f aca="false">IF(A77&gt;$B$4,"",IF(OR(AND($B$8="inferior",A77&lt;=$B$7),AND($B$8="superior",A77&gt;=$B$7)),"Rechazo","No rechazo"))</f>
        <v/>
      </c>
    </row>
    <row r="78" customFormat="false" ht="15" hidden="false" customHeight="false" outlineLevel="0" collapsed="false">
      <c r="A78" s="4" t="n">
        <v>62</v>
      </c>
      <c r="B78" s="11" t="str">
        <f aca="false">IF(A78&gt;$B$4,"",BINOMDIST(A78,$B$4,$B$5,FALSE()))</f>
        <v/>
      </c>
      <c r="C78" s="11" t="str">
        <f aca="false">IF(A78&gt;$B$4,"",BINOMDIST(A78,$B$4,$B$6,FALSE()))</f>
        <v/>
      </c>
      <c r="D78" s="4" t="str">
        <f aca="false">IF(A78&gt;$B$4,"",IF(OR(AND($B$8="inferior",A78&lt;=$B$7),AND($B$8="superior",A78&gt;=$B$7)),"Rechazo","No rechazo"))</f>
        <v/>
      </c>
    </row>
    <row r="79" customFormat="false" ht="15" hidden="false" customHeight="false" outlineLevel="0" collapsed="false">
      <c r="A79" s="4" t="n">
        <v>63</v>
      </c>
      <c r="B79" s="11" t="str">
        <f aca="false">IF(A79&gt;$B$4,"",BINOMDIST(A79,$B$4,$B$5,FALSE()))</f>
        <v/>
      </c>
      <c r="C79" s="11" t="str">
        <f aca="false">IF(A79&gt;$B$4,"",BINOMDIST(A79,$B$4,$B$6,FALSE()))</f>
        <v/>
      </c>
      <c r="D79" s="4" t="str">
        <f aca="false">IF(A79&gt;$B$4,"",IF(OR(AND($B$8="inferior",A79&lt;=$B$7),AND($B$8="superior",A79&gt;=$B$7)),"Rechazo","No rechazo"))</f>
        <v/>
      </c>
    </row>
    <row r="80" customFormat="false" ht="15" hidden="false" customHeight="false" outlineLevel="0" collapsed="false">
      <c r="A80" s="4" t="n">
        <v>64</v>
      </c>
      <c r="B80" s="11" t="str">
        <f aca="false">IF(A80&gt;$B$4,"",BINOMDIST(A80,$B$4,$B$5,FALSE()))</f>
        <v/>
      </c>
      <c r="C80" s="11" t="str">
        <f aca="false">IF(A80&gt;$B$4,"",BINOMDIST(A80,$B$4,$B$6,FALSE()))</f>
        <v/>
      </c>
      <c r="D80" s="4" t="str">
        <f aca="false">IF(A80&gt;$B$4,"",IF(OR(AND($B$8="inferior",A80&lt;=$B$7),AND($B$8="superior",A80&gt;=$B$7)),"Rechazo","No rechazo"))</f>
        <v/>
      </c>
    </row>
    <row r="81" customFormat="false" ht="15" hidden="false" customHeight="false" outlineLevel="0" collapsed="false">
      <c r="A81" s="4" t="n">
        <v>65</v>
      </c>
      <c r="B81" s="11" t="str">
        <f aca="false">IF(A81&gt;$B$4,"",BINOMDIST(A81,$B$4,$B$5,FALSE()))</f>
        <v/>
      </c>
      <c r="C81" s="11" t="str">
        <f aca="false">IF(A81&gt;$B$4,"",BINOMDIST(A81,$B$4,$B$6,FALSE()))</f>
        <v/>
      </c>
      <c r="D81" s="4" t="str">
        <f aca="false">IF(A81&gt;$B$4,"",IF(OR(AND($B$8="inferior",A81&lt;=$B$7),AND($B$8="superior",A81&gt;=$B$7)),"Rechazo","No rechazo"))</f>
        <v/>
      </c>
    </row>
    <row r="82" customFormat="false" ht="15" hidden="false" customHeight="false" outlineLevel="0" collapsed="false">
      <c r="A82" s="4" t="n">
        <v>66</v>
      </c>
      <c r="B82" s="11" t="str">
        <f aca="false">IF(A82&gt;$B$4,"",BINOMDIST(A82,$B$4,$B$5,FALSE()))</f>
        <v/>
      </c>
      <c r="C82" s="11" t="str">
        <f aca="false">IF(A82&gt;$B$4,"",BINOMDIST(A82,$B$4,$B$6,FALSE()))</f>
        <v/>
      </c>
      <c r="D82" s="4" t="str">
        <f aca="false">IF(A82&gt;$B$4,"",IF(OR(AND($B$8="inferior",A82&lt;=$B$7),AND($B$8="superior",A82&gt;=$B$7)),"Rechazo","No rechazo"))</f>
        <v/>
      </c>
    </row>
    <row r="83" customFormat="false" ht="15" hidden="false" customHeight="false" outlineLevel="0" collapsed="false">
      <c r="A83" s="4" t="n">
        <v>67</v>
      </c>
      <c r="B83" s="11" t="str">
        <f aca="false">IF(A83&gt;$B$4,"",BINOMDIST(A83,$B$4,$B$5,FALSE()))</f>
        <v/>
      </c>
      <c r="C83" s="11" t="str">
        <f aca="false">IF(A83&gt;$B$4,"",BINOMDIST(A83,$B$4,$B$6,FALSE()))</f>
        <v/>
      </c>
      <c r="D83" s="4" t="str">
        <f aca="false">IF(A83&gt;$B$4,"",IF(OR(AND($B$8="inferior",A83&lt;=$B$7),AND($B$8="superior",A83&gt;=$B$7)),"Rechazo","No rechazo"))</f>
        <v/>
      </c>
    </row>
    <row r="84" customFormat="false" ht="15" hidden="false" customHeight="false" outlineLevel="0" collapsed="false">
      <c r="A84" s="4" t="n">
        <v>68</v>
      </c>
      <c r="B84" s="11" t="str">
        <f aca="false">IF(A84&gt;$B$4,"",BINOMDIST(A84,$B$4,$B$5,FALSE()))</f>
        <v/>
      </c>
      <c r="C84" s="11" t="str">
        <f aca="false">IF(A84&gt;$B$4,"",BINOMDIST(A84,$B$4,$B$6,FALSE()))</f>
        <v/>
      </c>
      <c r="D84" s="4" t="str">
        <f aca="false">IF(A84&gt;$B$4,"",IF(OR(AND($B$8="inferior",A84&lt;=$B$7),AND($B$8="superior",A84&gt;=$B$7)),"Rechazo","No rechazo"))</f>
        <v/>
      </c>
    </row>
    <row r="85" customFormat="false" ht="15" hidden="false" customHeight="false" outlineLevel="0" collapsed="false">
      <c r="A85" s="4" t="n">
        <v>69</v>
      </c>
      <c r="B85" s="11" t="str">
        <f aca="false">IF(A85&gt;$B$4,"",BINOMDIST(A85,$B$4,$B$5,FALSE()))</f>
        <v/>
      </c>
      <c r="C85" s="11" t="str">
        <f aca="false">IF(A85&gt;$B$4,"",BINOMDIST(A85,$B$4,$B$6,FALSE()))</f>
        <v/>
      </c>
      <c r="D85" s="4" t="str">
        <f aca="false">IF(A85&gt;$B$4,"",IF(OR(AND($B$8="inferior",A85&lt;=$B$7),AND($B$8="superior",A85&gt;=$B$7)),"Rechazo","No rechazo"))</f>
        <v/>
      </c>
    </row>
    <row r="86" customFormat="false" ht="15" hidden="false" customHeight="false" outlineLevel="0" collapsed="false">
      <c r="A86" s="4" t="n">
        <v>70</v>
      </c>
      <c r="B86" s="11" t="str">
        <f aca="false">IF(A86&gt;$B$4,"",BINOMDIST(A86,$B$4,$B$5,FALSE()))</f>
        <v/>
      </c>
      <c r="C86" s="11" t="str">
        <f aca="false">IF(A86&gt;$B$4,"",BINOMDIST(A86,$B$4,$B$6,FALSE()))</f>
        <v/>
      </c>
      <c r="D86" s="4" t="str">
        <f aca="false">IF(A86&gt;$B$4,"",IF(OR(AND($B$8="inferior",A86&lt;=$B$7),AND($B$8="superior",A86&gt;=$B$7)),"Rechazo","No rechazo"))</f>
        <v/>
      </c>
    </row>
    <row r="87" customFormat="false" ht="15" hidden="false" customHeight="false" outlineLevel="0" collapsed="false">
      <c r="A87" s="4" t="n">
        <v>71</v>
      </c>
      <c r="B87" s="11" t="str">
        <f aca="false">IF(A87&gt;$B$4,"",BINOMDIST(A87,$B$4,$B$5,FALSE()))</f>
        <v/>
      </c>
      <c r="C87" s="11" t="str">
        <f aca="false">IF(A87&gt;$B$4,"",BINOMDIST(A87,$B$4,$B$6,FALSE()))</f>
        <v/>
      </c>
      <c r="D87" s="4" t="str">
        <f aca="false">IF(A87&gt;$B$4,"",IF(OR(AND($B$8="inferior",A87&lt;=$B$7),AND($B$8="superior",A87&gt;=$B$7)),"Rechazo","No rechazo"))</f>
        <v/>
      </c>
    </row>
    <row r="88" customFormat="false" ht="15" hidden="false" customHeight="false" outlineLevel="0" collapsed="false">
      <c r="A88" s="4" t="n">
        <v>72</v>
      </c>
      <c r="B88" s="11" t="str">
        <f aca="false">IF(A88&gt;$B$4,"",BINOMDIST(A88,$B$4,$B$5,FALSE()))</f>
        <v/>
      </c>
      <c r="C88" s="11" t="str">
        <f aca="false">IF(A88&gt;$B$4,"",BINOMDIST(A88,$B$4,$B$6,FALSE()))</f>
        <v/>
      </c>
      <c r="D88" s="4" t="str">
        <f aca="false">IF(A88&gt;$B$4,"",IF(OR(AND($B$8="inferior",A88&lt;=$B$7),AND($B$8="superior",A88&gt;=$B$7)),"Rechazo","No rechazo"))</f>
        <v/>
      </c>
    </row>
    <row r="89" customFormat="false" ht="15" hidden="false" customHeight="false" outlineLevel="0" collapsed="false">
      <c r="A89" s="4" t="n">
        <v>73</v>
      </c>
      <c r="B89" s="11" t="str">
        <f aca="false">IF(A89&gt;$B$4,"",BINOMDIST(A89,$B$4,$B$5,FALSE()))</f>
        <v/>
      </c>
      <c r="C89" s="11" t="str">
        <f aca="false">IF(A89&gt;$B$4,"",BINOMDIST(A89,$B$4,$B$6,FALSE()))</f>
        <v/>
      </c>
      <c r="D89" s="4" t="str">
        <f aca="false">IF(A89&gt;$B$4,"",IF(OR(AND($B$8="inferior",A89&lt;=$B$7),AND($B$8="superior",A89&gt;=$B$7)),"Rechazo","No rechazo"))</f>
        <v/>
      </c>
    </row>
    <row r="90" customFormat="false" ht="15" hidden="false" customHeight="false" outlineLevel="0" collapsed="false">
      <c r="A90" s="4" t="n">
        <v>74</v>
      </c>
      <c r="B90" s="11" t="str">
        <f aca="false">IF(A90&gt;$B$4,"",BINOMDIST(A90,$B$4,$B$5,FALSE()))</f>
        <v/>
      </c>
      <c r="C90" s="11" t="str">
        <f aca="false">IF(A90&gt;$B$4,"",BINOMDIST(A90,$B$4,$B$6,FALSE()))</f>
        <v/>
      </c>
      <c r="D90" s="4" t="str">
        <f aca="false">IF(A90&gt;$B$4,"",IF(OR(AND($B$8="inferior",A90&lt;=$B$7),AND($B$8="superior",A90&gt;=$B$7)),"Rechazo","No rechazo"))</f>
        <v/>
      </c>
    </row>
    <row r="91" customFormat="false" ht="15" hidden="false" customHeight="false" outlineLevel="0" collapsed="false">
      <c r="A91" s="4" t="n">
        <v>75</v>
      </c>
      <c r="B91" s="11" t="str">
        <f aca="false">IF(A91&gt;$B$4,"",BINOMDIST(A91,$B$4,$B$5,FALSE()))</f>
        <v/>
      </c>
      <c r="C91" s="11" t="str">
        <f aca="false">IF(A91&gt;$B$4,"",BINOMDIST(A91,$B$4,$B$6,FALSE()))</f>
        <v/>
      </c>
      <c r="D91" s="4" t="str">
        <f aca="false">IF(A91&gt;$B$4,"",IF(OR(AND($B$8="inferior",A91&lt;=$B$7),AND($B$8="superior",A91&gt;=$B$7)),"Rechazo","No rechazo"))</f>
        <v/>
      </c>
    </row>
    <row r="92" customFormat="false" ht="15" hidden="false" customHeight="false" outlineLevel="0" collapsed="false">
      <c r="A92" s="4" t="n">
        <v>76</v>
      </c>
      <c r="B92" s="11" t="str">
        <f aca="false">IF(A92&gt;$B$4,"",BINOMDIST(A92,$B$4,$B$5,FALSE()))</f>
        <v/>
      </c>
      <c r="C92" s="11" t="str">
        <f aca="false">IF(A92&gt;$B$4,"",BINOMDIST(A92,$B$4,$B$6,FALSE()))</f>
        <v/>
      </c>
      <c r="D92" s="4" t="str">
        <f aca="false">IF(A92&gt;$B$4,"",IF(OR(AND($B$8="inferior",A92&lt;=$B$7),AND($B$8="superior",A92&gt;=$B$7)),"Rechazo","No rechazo"))</f>
        <v/>
      </c>
    </row>
    <row r="93" customFormat="false" ht="15" hidden="false" customHeight="false" outlineLevel="0" collapsed="false">
      <c r="A93" s="4" t="n">
        <v>77</v>
      </c>
      <c r="B93" s="11" t="str">
        <f aca="false">IF(A93&gt;$B$4,"",BINOMDIST(A93,$B$4,$B$5,FALSE()))</f>
        <v/>
      </c>
      <c r="C93" s="11" t="str">
        <f aca="false">IF(A93&gt;$B$4,"",BINOMDIST(A93,$B$4,$B$6,FALSE()))</f>
        <v/>
      </c>
      <c r="D93" s="4" t="str">
        <f aca="false">IF(A93&gt;$B$4,"",IF(OR(AND($B$8="inferior",A93&lt;=$B$7),AND($B$8="superior",A93&gt;=$B$7)),"Rechazo","No rechazo"))</f>
        <v/>
      </c>
    </row>
    <row r="94" customFormat="false" ht="15" hidden="false" customHeight="false" outlineLevel="0" collapsed="false">
      <c r="A94" s="4" t="n">
        <v>78</v>
      </c>
      <c r="B94" s="11" t="str">
        <f aca="false">IF(A94&gt;$B$4,"",BINOMDIST(A94,$B$4,$B$5,FALSE()))</f>
        <v/>
      </c>
      <c r="C94" s="11" t="str">
        <f aca="false">IF(A94&gt;$B$4,"",BINOMDIST(A94,$B$4,$B$6,FALSE()))</f>
        <v/>
      </c>
      <c r="D94" s="4" t="str">
        <f aca="false">IF(A94&gt;$B$4,"",IF(OR(AND($B$8="inferior",A94&lt;=$B$7),AND($B$8="superior",A94&gt;=$B$7)),"Rechazo","No rechazo"))</f>
        <v/>
      </c>
    </row>
    <row r="95" customFormat="false" ht="15" hidden="false" customHeight="false" outlineLevel="0" collapsed="false">
      <c r="A95" s="4" t="n">
        <v>79</v>
      </c>
      <c r="B95" s="11" t="str">
        <f aca="false">IF(A95&gt;$B$4,"",BINOMDIST(A95,$B$4,$B$5,FALSE()))</f>
        <v/>
      </c>
      <c r="C95" s="11" t="str">
        <f aca="false">IF(A95&gt;$B$4,"",BINOMDIST(A95,$B$4,$B$6,FALSE()))</f>
        <v/>
      </c>
      <c r="D95" s="4" t="str">
        <f aca="false">IF(A95&gt;$B$4,"",IF(OR(AND($B$8="inferior",A95&lt;=$B$7),AND($B$8="superior",A95&gt;=$B$7)),"Rechazo","No rechazo"))</f>
        <v/>
      </c>
    </row>
    <row r="96" customFormat="false" ht="15" hidden="false" customHeight="false" outlineLevel="0" collapsed="false">
      <c r="A96" s="4" t="n">
        <v>80</v>
      </c>
      <c r="B96" s="11" t="str">
        <f aca="false">IF(A96&gt;$B$4,"",BINOMDIST(A96,$B$4,$B$5,FALSE()))</f>
        <v/>
      </c>
      <c r="C96" s="11" t="str">
        <f aca="false">IF(A96&gt;$B$4,"",BINOMDIST(A96,$B$4,$B$6,FALSE()))</f>
        <v/>
      </c>
      <c r="D96" s="4" t="str">
        <f aca="false">IF(A96&gt;$B$4,"",IF(OR(AND($B$8="inferior",A96&lt;=$B$7),AND($B$8="superior",A96&gt;=$B$7)),"Rechazo","No rechazo"))</f>
        <v/>
      </c>
    </row>
    <row r="97" customFormat="false" ht="15" hidden="false" customHeight="false" outlineLevel="0" collapsed="false">
      <c r="A97" s="4" t="n">
        <v>81</v>
      </c>
      <c r="B97" s="11" t="str">
        <f aca="false">IF(A97&gt;$B$4,"",BINOMDIST(A97,$B$4,$B$5,FALSE()))</f>
        <v/>
      </c>
      <c r="C97" s="11" t="str">
        <f aca="false">IF(A97&gt;$B$4,"",BINOMDIST(A97,$B$4,$B$6,FALSE()))</f>
        <v/>
      </c>
      <c r="D97" s="4" t="str">
        <f aca="false">IF(A97&gt;$B$4,"",IF(OR(AND($B$8="inferior",A97&lt;=$B$7),AND($B$8="superior",A97&gt;=$B$7)),"Rechazo","No rechazo"))</f>
        <v/>
      </c>
    </row>
    <row r="98" customFormat="false" ht="15" hidden="false" customHeight="false" outlineLevel="0" collapsed="false">
      <c r="A98" s="4" t="n">
        <v>82</v>
      </c>
      <c r="B98" s="11" t="str">
        <f aca="false">IF(A98&gt;$B$4,"",BINOMDIST(A98,$B$4,$B$5,FALSE()))</f>
        <v/>
      </c>
      <c r="C98" s="11" t="str">
        <f aca="false">IF(A98&gt;$B$4,"",BINOMDIST(A98,$B$4,$B$6,FALSE()))</f>
        <v/>
      </c>
      <c r="D98" s="4" t="str">
        <f aca="false">IF(A98&gt;$B$4,"",IF(OR(AND($B$8="inferior",A98&lt;=$B$7),AND($B$8="superior",A98&gt;=$B$7)),"Rechazo","No rechazo"))</f>
        <v/>
      </c>
    </row>
    <row r="99" customFormat="false" ht="15" hidden="false" customHeight="false" outlineLevel="0" collapsed="false">
      <c r="A99" s="4" t="n">
        <v>83</v>
      </c>
      <c r="B99" s="11" t="str">
        <f aca="false">IF(A99&gt;$B$4,"",BINOMDIST(A99,$B$4,$B$5,FALSE()))</f>
        <v/>
      </c>
      <c r="C99" s="11" t="str">
        <f aca="false">IF(A99&gt;$B$4,"",BINOMDIST(A99,$B$4,$B$6,FALSE()))</f>
        <v/>
      </c>
      <c r="D99" s="4" t="str">
        <f aca="false">IF(A99&gt;$B$4,"",IF(OR(AND($B$8="inferior",A99&lt;=$B$7),AND($B$8="superior",A99&gt;=$B$7)),"Rechazo","No rechazo"))</f>
        <v/>
      </c>
    </row>
    <row r="100" customFormat="false" ht="15" hidden="false" customHeight="false" outlineLevel="0" collapsed="false">
      <c r="A100" s="4" t="n">
        <v>84</v>
      </c>
      <c r="B100" s="11" t="str">
        <f aca="false">IF(A100&gt;$B$4,"",BINOMDIST(A100,$B$4,$B$5,FALSE()))</f>
        <v/>
      </c>
      <c r="C100" s="11" t="str">
        <f aca="false">IF(A100&gt;$B$4,"",BINOMDIST(A100,$B$4,$B$6,FALSE()))</f>
        <v/>
      </c>
      <c r="D100" s="4" t="str">
        <f aca="false">IF(A100&gt;$B$4,"",IF(OR(AND($B$8="inferior",A100&lt;=$B$7),AND($B$8="superior",A100&gt;=$B$7)),"Rechazo","No rechazo"))</f>
        <v/>
      </c>
    </row>
    <row r="101" customFormat="false" ht="15" hidden="false" customHeight="false" outlineLevel="0" collapsed="false">
      <c r="A101" s="4" t="n">
        <v>85</v>
      </c>
      <c r="B101" s="11" t="str">
        <f aca="false">IF(A101&gt;$B$4,"",BINOMDIST(A101,$B$4,$B$5,FALSE()))</f>
        <v/>
      </c>
      <c r="C101" s="11" t="str">
        <f aca="false">IF(A101&gt;$B$4,"",BINOMDIST(A101,$B$4,$B$6,FALSE()))</f>
        <v/>
      </c>
      <c r="D101" s="4" t="str">
        <f aca="false">IF(A101&gt;$B$4,"",IF(OR(AND($B$8="inferior",A101&lt;=$B$7),AND($B$8="superior",A101&gt;=$B$7)),"Rechazo","No rechazo"))</f>
        <v/>
      </c>
    </row>
    <row r="102" customFormat="false" ht="15" hidden="false" customHeight="false" outlineLevel="0" collapsed="false">
      <c r="A102" s="4" t="n">
        <v>86</v>
      </c>
      <c r="B102" s="11" t="str">
        <f aca="false">IF(A102&gt;$B$4,"",BINOMDIST(A102,$B$4,$B$5,FALSE()))</f>
        <v/>
      </c>
      <c r="C102" s="11" t="str">
        <f aca="false">IF(A102&gt;$B$4,"",BINOMDIST(A102,$B$4,$B$6,FALSE()))</f>
        <v/>
      </c>
      <c r="D102" s="4" t="str">
        <f aca="false">IF(A102&gt;$B$4,"",IF(OR(AND($B$8="inferior",A102&lt;=$B$7),AND($B$8="superior",A102&gt;=$B$7)),"Rechazo","No rechazo"))</f>
        <v/>
      </c>
    </row>
    <row r="103" customFormat="false" ht="15" hidden="false" customHeight="false" outlineLevel="0" collapsed="false">
      <c r="A103" s="4" t="n">
        <v>87</v>
      </c>
      <c r="B103" s="11" t="str">
        <f aca="false">IF(A103&gt;$B$4,"",BINOMDIST(A103,$B$4,$B$5,FALSE()))</f>
        <v/>
      </c>
      <c r="C103" s="11" t="str">
        <f aca="false">IF(A103&gt;$B$4,"",BINOMDIST(A103,$B$4,$B$6,FALSE()))</f>
        <v/>
      </c>
      <c r="D103" s="4" t="str">
        <f aca="false">IF(A103&gt;$B$4,"",IF(OR(AND($B$8="inferior",A103&lt;=$B$7),AND($B$8="superior",A103&gt;=$B$7)),"Rechazo","No rechazo"))</f>
        <v/>
      </c>
    </row>
    <row r="104" customFormat="false" ht="15" hidden="false" customHeight="false" outlineLevel="0" collapsed="false">
      <c r="A104" s="4" t="n">
        <v>88</v>
      </c>
      <c r="B104" s="11" t="str">
        <f aca="false">IF(A104&gt;$B$4,"",BINOMDIST(A104,$B$4,$B$5,FALSE()))</f>
        <v/>
      </c>
      <c r="C104" s="11" t="str">
        <f aca="false">IF(A104&gt;$B$4,"",BINOMDIST(A104,$B$4,$B$6,FALSE()))</f>
        <v/>
      </c>
      <c r="D104" s="4" t="str">
        <f aca="false">IF(A104&gt;$B$4,"",IF(OR(AND($B$8="inferior",A104&lt;=$B$7),AND($B$8="superior",A104&gt;=$B$7)),"Rechazo","No rechazo"))</f>
        <v/>
      </c>
    </row>
    <row r="105" customFormat="false" ht="15" hidden="false" customHeight="false" outlineLevel="0" collapsed="false">
      <c r="A105" s="4" t="n">
        <v>89</v>
      </c>
      <c r="B105" s="11" t="str">
        <f aca="false">IF(A105&gt;$B$4,"",BINOMDIST(A105,$B$4,$B$5,FALSE()))</f>
        <v/>
      </c>
      <c r="C105" s="11" t="str">
        <f aca="false">IF(A105&gt;$B$4,"",BINOMDIST(A105,$B$4,$B$6,FALSE()))</f>
        <v/>
      </c>
      <c r="D105" s="4" t="str">
        <f aca="false">IF(A105&gt;$B$4,"",IF(OR(AND($B$8="inferior",A105&lt;=$B$7),AND($B$8="superior",A105&gt;=$B$7)),"Rechazo","No rechazo"))</f>
        <v/>
      </c>
    </row>
    <row r="106" customFormat="false" ht="15" hidden="false" customHeight="false" outlineLevel="0" collapsed="false">
      <c r="A106" s="4" t="n">
        <v>90</v>
      </c>
      <c r="B106" s="11" t="str">
        <f aca="false">IF(A106&gt;$B$4,"",BINOMDIST(A106,$B$4,$B$5,FALSE()))</f>
        <v/>
      </c>
      <c r="C106" s="11" t="str">
        <f aca="false">IF(A106&gt;$B$4,"",BINOMDIST(A106,$B$4,$B$6,FALSE()))</f>
        <v/>
      </c>
      <c r="D106" s="4" t="str">
        <f aca="false">IF(A106&gt;$B$4,"",IF(OR(AND($B$8="inferior",A106&lt;=$B$7),AND($B$8="superior",A106&gt;=$B$7)),"Rechazo","No rechazo"))</f>
        <v/>
      </c>
    </row>
    <row r="107" customFormat="false" ht="15" hidden="false" customHeight="false" outlineLevel="0" collapsed="false">
      <c r="A107" s="4" t="n">
        <v>91</v>
      </c>
      <c r="B107" s="11" t="str">
        <f aca="false">IF(A107&gt;$B$4,"",BINOMDIST(A107,$B$4,$B$5,FALSE()))</f>
        <v/>
      </c>
      <c r="C107" s="11" t="str">
        <f aca="false">IF(A107&gt;$B$4,"",BINOMDIST(A107,$B$4,$B$6,FALSE()))</f>
        <v/>
      </c>
      <c r="D107" s="4" t="str">
        <f aca="false">IF(A107&gt;$B$4,"",IF(OR(AND($B$8="inferior",A107&lt;=$B$7),AND($B$8="superior",A107&gt;=$B$7)),"Rechazo","No rechazo"))</f>
        <v/>
      </c>
    </row>
    <row r="108" customFormat="false" ht="15" hidden="false" customHeight="false" outlineLevel="0" collapsed="false">
      <c r="A108" s="4" t="n">
        <v>92</v>
      </c>
      <c r="B108" s="11" t="str">
        <f aca="false">IF(A108&gt;$B$4,"",BINOMDIST(A108,$B$4,$B$5,FALSE()))</f>
        <v/>
      </c>
      <c r="C108" s="11" t="str">
        <f aca="false">IF(A108&gt;$B$4,"",BINOMDIST(A108,$B$4,$B$6,FALSE()))</f>
        <v/>
      </c>
      <c r="D108" s="4" t="str">
        <f aca="false">IF(A108&gt;$B$4,"",IF(OR(AND($B$8="inferior",A108&lt;=$B$7),AND($B$8="superior",A108&gt;=$B$7)),"Rechazo","No rechazo"))</f>
        <v/>
      </c>
    </row>
    <row r="109" customFormat="false" ht="15" hidden="false" customHeight="false" outlineLevel="0" collapsed="false">
      <c r="A109" s="4" t="n">
        <v>93</v>
      </c>
      <c r="B109" s="11" t="str">
        <f aca="false">IF(A109&gt;$B$4,"",BINOMDIST(A109,$B$4,$B$5,FALSE()))</f>
        <v/>
      </c>
      <c r="C109" s="11" t="str">
        <f aca="false">IF(A109&gt;$B$4,"",BINOMDIST(A109,$B$4,$B$6,FALSE()))</f>
        <v/>
      </c>
      <c r="D109" s="4" t="str">
        <f aca="false">IF(A109&gt;$B$4,"",IF(OR(AND($B$8="inferior",A109&lt;=$B$7),AND($B$8="superior",A109&gt;=$B$7)),"Rechazo","No rechazo"))</f>
        <v/>
      </c>
    </row>
    <row r="110" customFormat="false" ht="15" hidden="false" customHeight="false" outlineLevel="0" collapsed="false">
      <c r="A110" s="4" t="n">
        <v>94</v>
      </c>
      <c r="B110" s="11" t="str">
        <f aca="false">IF(A110&gt;$B$4,"",BINOMDIST(A110,$B$4,$B$5,FALSE()))</f>
        <v/>
      </c>
      <c r="C110" s="11" t="str">
        <f aca="false">IF(A110&gt;$B$4,"",BINOMDIST(A110,$B$4,$B$6,FALSE()))</f>
        <v/>
      </c>
      <c r="D110" s="4" t="str">
        <f aca="false">IF(A110&gt;$B$4,"",IF(OR(AND($B$8="inferior",A110&lt;=$B$7),AND($B$8="superior",A110&gt;=$B$7)),"Rechazo","No rechazo"))</f>
        <v/>
      </c>
    </row>
    <row r="111" customFormat="false" ht="15" hidden="false" customHeight="false" outlineLevel="0" collapsed="false">
      <c r="A111" s="4" t="n">
        <v>95</v>
      </c>
      <c r="B111" s="11" t="str">
        <f aca="false">IF(A111&gt;$B$4,"",BINOMDIST(A111,$B$4,$B$5,FALSE()))</f>
        <v/>
      </c>
      <c r="C111" s="11" t="str">
        <f aca="false">IF(A111&gt;$B$4,"",BINOMDIST(A111,$B$4,$B$6,FALSE()))</f>
        <v/>
      </c>
      <c r="D111" s="4" t="str">
        <f aca="false">IF(A111&gt;$B$4,"",IF(OR(AND($B$8="inferior",A111&lt;=$B$7),AND($B$8="superior",A111&gt;=$B$7)),"Rechazo","No rechazo"))</f>
        <v/>
      </c>
    </row>
    <row r="112" customFormat="false" ht="15" hidden="false" customHeight="false" outlineLevel="0" collapsed="false">
      <c r="A112" s="4" t="n">
        <v>96</v>
      </c>
      <c r="B112" s="11" t="str">
        <f aca="false">IF(A112&gt;$B$4,"",BINOMDIST(A112,$B$4,$B$5,FALSE()))</f>
        <v/>
      </c>
      <c r="C112" s="11" t="str">
        <f aca="false">IF(A112&gt;$B$4,"",BINOMDIST(A112,$B$4,$B$6,FALSE()))</f>
        <v/>
      </c>
      <c r="D112" s="4" t="str">
        <f aca="false">IF(A112&gt;$B$4,"",IF(OR(AND($B$8="inferior",A112&lt;=$B$7),AND($B$8="superior",A112&gt;=$B$7)),"Rechazo","No rechazo"))</f>
        <v/>
      </c>
    </row>
    <row r="113" customFormat="false" ht="15" hidden="false" customHeight="false" outlineLevel="0" collapsed="false">
      <c r="A113" s="4" t="n">
        <v>97</v>
      </c>
      <c r="B113" s="11" t="str">
        <f aca="false">IF(A113&gt;$B$4,"",BINOMDIST(A113,$B$4,$B$5,FALSE()))</f>
        <v/>
      </c>
      <c r="C113" s="11" t="str">
        <f aca="false">IF(A113&gt;$B$4,"",BINOMDIST(A113,$B$4,$B$6,FALSE()))</f>
        <v/>
      </c>
      <c r="D113" s="4" t="str">
        <f aca="false">IF(A113&gt;$B$4,"",IF(OR(AND($B$8="inferior",A113&lt;=$B$7),AND($B$8="superior",A113&gt;=$B$7)),"Rechazo","No rechazo"))</f>
        <v/>
      </c>
    </row>
    <row r="114" customFormat="false" ht="15" hidden="false" customHeight="false" outlineLevel="0" collapsed="false">
      <c r="A114" s="4" t="n">
        <v>98</v>
      </c>
      <c r="B114" s="11" t="str">
        <f aca="false">IF(A114&gt;$B$4,"",BINOMDIST(A114,$B$4,$B$5,FALSE()))</f>
        <v/>
      </c>
      <c r="C114" s="11" t="str">
        <f aca="false">IF(A114&gt;$B$4,"",BINOMDIST(A114,$B$4,$B$6,FALSE()))</f>
        <v/>
      </c>
      <c r="D114" s="4" t="str">
        <f aca="false">IF(A114&gt;$B$4,"",IF(OR(AND($B$8="inferior",A114&lt;=$B$7),AND($B$8="superior",A114&gt;=$B$7)),"Rechazo","No rechazo"))</f>
        <v/>
      </c>
    </row>
    <row r="115" customFormat="false" ht="15" hidden="false" customHeight="false" outlineLevel="0" collapsed="false">
      <c r="A115" s="4" t="n">
        <v>99</v>
      </c>
      <c r="B115" s="11" t="str">
        <f aca="false">IF(A115&gt;$B$4,"",BINOMDIST(A115,$B$4,$B$5,FALSE()))</f>
        <v/>
      </c>
      <c r="C115" s="11" t="str">
        <f aca="false">IF(A115&gt;$B$4,"",BINOMDIST(A115,$B$4,$B$6,FALSE()))</f>
        <v/>
      </c>
      <c r="D115" s="4" t="str">
        <f aca="false">IF(A115&gt;$B$4,"",IF(OR(AND($B$8="inferior",A115&lt;=$B$7),AND($B$8="superior",A115&gt;=$B$7)),"Rechazo","No rechazo"))</f>
        <v/>
      </c>
    </row>
    <row r="116" customFormat="false" ht="15" hidden="false" customHeight="false" outlineLevel="0" collapsed="false">
      <c r="A116" s="4" t="n">
        <v>100</v>
      </c>
      <c r="B116" s="11" t="str">
        <f aca="false">IF(A116&gt;$B$4,"",BINOMDIST(A116,$B$4,$B$5,FALSE()))</f>
        <v/>
      </c>
      <c r="C116" s="11" t="str">
        <f aca="false">IF(A116&gt;$B$4,"",BINOMDIST(A116,$B$4,$B$6,FALSE()))</f>
        <v/>
      </c>
      <c r="D116" s="4" t="str">
        <f aca="false">IF(A116&gt;$B$4,"",IF(OR(AND($B$8="inferior",A116&lt;=$B$7),AND($B$8="superior",A116&gt;=$B$7)),"Rechazo","No rechazo"))</f>
        <v/>
      </c>
    </row>
  </sheetData>
  <dataValidations count="2">
    <dataValidation allowBlank="false" errorStyle="stop" operator="between" showDropDown="false" showErrorMessage="false" showInputMessage="false" sqref="B8" type="list">
      <formula1>"inferior,superior"</formula1>
      <formula2>0</formula2>
    </dataValidation>
    <dataValidation allowBlank="false" errorStyle="stop" operator="between" showDropDown="false" showErrorMessage="false" showInputMessage="false" sqref="B4" type="whole">
      <formula1>1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1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0" t="s">
        <v>37</v>
      </c>
      <c r="B4" s="10" t="s">
        <v>38</v>
      </c>
      <c r="C4" s="10" t="s">
        <v>39</v>
      </c>
      <c r="D4" s="10" t="s">
        <v>40</v>
      </c>
    </row>
    <row r="5" customFormat="false" ht="15" hidden="false" customHeight="false" outlineLevel="0" collapsed="false">
      <c r="A5" s="13" t="n">
        <v>0.01</v>
      </c>
      <c r="B5" s="14" t="n">
        <f aca="false">1-IF(Binomial!$B$8="inferior",BINOMDIST(Binomial!$B$7,Binomial!$B$4,A5,TRUE()),IF(Binomial!$B$7&lt;=0,1,1-BINOMDIST(Binomial!$B$7-1,Binomial!$B$4,A5,TRUE())))</f>
        <v>0.000415802701875689</v>
      </c>
      <c r="C5" s="14" t="n">
        <f aca="false">1-B5</f>
        <v>0.999584197298124</v>
      </c>
      <c r="D5" s="4" t="str">
        <f aca="false">IF(OR(AND(Binomial!$B$8="inferior",A5&lt;Binomial!$B$5),AND(Binomial!$B$8="superior",A5&gt;Binomial!$B$5)),"sí","no")</f>
        <v>sí</v>
      </c>
    </row>
    <row r="6" customFormat="false" ht="15" hidden="false" customHeight="false" outlineLevel="0" collapsed="false">
      <c r="A6" s="13" t="n">
        <v>0.02</v>
      </c>
      <c r="B6" s="14" t="n">
        <f aca="false">1-IF(Binomial!$B$8="inferior",BINOMDIST(Binomial!$B$7,Binomial!$B$4,A6,TRUE()),IF(Binomial!$B$7&lt;=0,1,1-BINOMDIST(Binomial!$B$7-1,Binomial!$B$4,A6,TRUE())))</f>
        <v>0.00303937456320136</v>
      </c>
      <c r="C6" s="14" t="n">
        <f aca="false">1-B6</f>
        <v>0.996960625436799</v>
      </c>
      <c r="D6" s="4" t="str">
        <f aca="false">IF(OR(AND(Binomial!$B$8="inferior",A6&lt;Binomial!$B$5),AND(Binomial!$B$8="superior",A6&gt;Binomial!$B$5)),"sí","no")</f>
        <v>sí</v>
      </c>
    </row>
    <row r="7" customFormat="false" ht="15" hidden="false" customHeight="false" outlineLevel="0" collapsed="false">
      <c r="A7" s="13" t="n">
        <v>0.03</v>
      </c>
      <c r="B7" s="14" t="n">
        <f aca="false">1-IF(Binomial!$B$8="inferior",BINOMDIST(Binomial!$B$7,Binomial!$B$4,A7,TRUE()),IF(Binomial!$B$7&lt;=0,1,1-BINOMDIST(Binomial!$B$7-1,Binomial!$B$4,A7,TRUE())))</f>
        <v>0.00937142598529084</v>
      </c>
      <c r="C7" s="14" t="n">
        <f aca="false">1-B7</f>
        <v>0.990628574014709</v>
      </c>
      <c r="D7" s="4" t="str">
        <f aca="false">IF(OR(AND(Binomial!$B$8="inferior",A7&lt;Binomial!$B$5),AND(Binomial!$B$8="superior",A7&gt;Binomial!$B$5)),"sí","no")</f>
        <v>sí</v>
      </c>
    </row>
    <row r="8" customFormat="false" ht="15" hidden="false" customHeight="false" outlineLevel="0" collapsed="false">
      <c r="A8" s="13" t="n">
        <v>0.04</v>
      </c>
      <c r="B8" s="14" t="n">
        <f aca="false">1-IF(Binomial!$B$8="inferior",BINOMDIST(Binomial!$B$7,Binomial!$B$4,A8,TRUE()),IF(Binomial!$B$7&lt;=0,1,1-BINOMDIST(Binomial!$B$7-1,Binomial!$B$4,A8,TRUE())))</f>
        <v>0.0202918030638783</v>
      </c>
      <c r="C8" s="14" t="n">
        <f aca="false">1-B8</f>
        <v>0.979708196936122</v>
      </c>
      <c r="D8" s="4" t="str">
        <f aca="false">IF(OR(AND(Binomial!$B$8="inferior",A8&lt;Binomial!$B$5),AND(Binomial!$B$8="superior",A8&gt;Binomial!$B$5)),"sí","no")</f>
        <v>sí</v>
      </c>
    </row>
    <row r="9" customFormat="false" ht="15" hidden="false" customHeight="false" outlineLevel="0" collapsed="false">
      <c r="A9" s="13" t="n">
        <v>0.05</v>
      </c>
      <c r="B9" s="14" t="n">
        <f aca="false">1-IF(Binomial!$B$8="inferior",BINOMDIST(Binomial!$B$7,Binomial!$B$4,A9,TRUE()),IF(Binomial!$B$7&lt;=0,1,1-BINOMDIST(Binomial!$B$7-1,Binomial!$B$4,A9,TRUE())))</f>
        <v>0.0362002386427298</v>
      </c>
      <c r="C9" s="14" t="n">
        <f aca="false">1-B9</f>
        <v>0.96379976135727</v>
      </c>
      <c r="D9" s="4" t="str">
        <f aca="false">IF(OR(AND(Binomial!$B$8="inferior",A9&lt;Binomial!$B$5),AND(Binomial!$B$8="superior",A9&gt;Binomial!$B$5)),"sí","no")</f>
        <v>sí</v>
      </c>
    </row>
    <row r="10" customFormat="false" ht="15" hidden="false" customHeight="false" outlineLevel="0" collapsed="false">
      <c r="A10" s="13" t="n">
        <v>0.06</v>
      </c>
      <c r="B10" s="14" t="n">
        <f aca="false">1-IF(Binomial!$B$8="inferior",BINOMDIST(Binomial!$B$7,Binomial!$B$4,A10,TRUE()),IF(Binomial!$B$7&lt;=0,1,1-BINOMDIST(Binomial!$B$7-1,Binomial!$B$4,A10,TRUE())))</f>
        <v>0.0571333238276316</v>
      </c>
      <c r="C10" s="14" t="n">
        <f aca="false">1-B10</f>
        <v>0.942866676172368</v>
      </c>
      <c r="D10" s="4" t="str">
        <f aca="false">IF(OR(AND(Binomial!$B$8="inferior",A10&lt;Binomial!$B$5),AND(Binomial!$B$8="superior",A10&gt;Binomial!$B$5)),"sí","no")</f>
        <v>sí</v>
      </c>
    </row>
    <row r="11" customFormat="false" ht="15" hidden="false" customHeight="false" outlineLevel="0" collapsed="false">
      <c r="A11" s="13" t="n">
        <v>0.07</v>
      </c>
      <c r="B11" s="14" t="n">
        <f aca="false">1-IF(Binomial!$B$8="inferior",BINOMDIST(Binomial!$B$7,Binomial!$B$4,A11,TRUE()),IF(Binomial!$B$7&lt;=0,1,1-BINOMDIST(Binomial!$B$7-1,Binomial!$B$4,A11,TRUE())))</f>
        <v>0.0828609539745669</v>
      </c>
      <c r="C11" s="14" t="n">
        <f aca="false">1-B11</f>
        <v>0.917139046025433</v>
      </c>
      <c r="D11" s="4" t="str">
        <f aca="false">IF(OR(AND(Binomial!$B$8="inferior",A11&lt;Binomial!$B$5),AND(Binomial!$B$8="superior",A11&gt;Binomial!$B$5)),"sí","no")</f>
        <v>sí</v>
      </c>
    </row>
    <row r="12" customFormat="false" ht="15" hidden="false" customHeight="false" outlineLevel="0" collapsed="false">
      <c r="A12" s="13" t="n">
        <v>0.08</v>
      </c>
      <c r="B12" s="14" t="n">
        <f aca="false">1-IF(Binomial!$B$8="inferior",BINOMDIST(Binomial!$B$7,Binomial!$B$4,A12,TRUE()),IF(Binomial!$B$7&lt;=0,1,1-BINOMDIST(Binomial!$B$7-1,Binomial!$B$4,A12,TRUE())))</f>
        <v>0.112965131812731</v>
      </c>
      <c r="C12" s="14" t="n">
        <f aca="false">1-B12</f>
        <v>0.887034868187269</v>
      </c>
      <c r="D12" s="4" t="str">
        <f aca="false">IF(OR(AND(Binomial!$B$8="inferior",A12&lt;Binomial!$B$5),AND(Binomial!$B$8="superior",A12&gt;Binomial!$B$5)),"sí","no")</f>
        <v>sí</v>
      </c>
    </row>
    <row r="13" customFormat="false" ht="15" hidden="false" customHeight="false" outlineLevel="0" collapsed="false">
      <c r="A13" s="13" t="n">
        <v>0.09</v>
      </c>
      <c r="B13" s="14" t="n">
        <f aca="false">1-IF(Binomial!$B$8="inferior",BINOMDIST(Binomial!$B$7,Binomial!$B$4,A13,TRUE()),IF(Binomial!$B$7&lt;=0,1,1-BINOMDIST(Binomial!$B$7-1,Binomial!$B$4,A13,TRUE())))</f>
        <v>0.146903674591317</v>
      </c>
      <c r="C13" s="14" t="n">
        <f aca="false">1-B13</f>
        <v>0.853096325408683</v>
      </c>
      <c r="D13" s="4" t="str">
        <f aca="false">IF(OR(AND(Binomial!$B$8="inferior",A13&lt;Binomial!$B$5),AND(Binomial!$B$8="superior",A13&gt;Binomial!$B$5)),"sí","no")</f>
        <v>sí</v>
      </c>
    </row>
    <row r="14" customFormat="false" ht="15" hidden="false" customHeight="false" outlineLevel="0" collapsed="false">
      <c r="A14" s="13" t="n">
        <v>0.1</v>
      </c>
      <c r="B14" s="14" t="n">
        <f aca="false">1-IF(Binomial!$B$8="inferior",BINOMDIST(Binomial!$B$7,Binomial!$B$4,A14,TRUE()),IF(Binomial!$B$7&lt;=0,1,1-BINOMDIST(Binomial!$B$7-1,Binomial!$B$4,A14,TRUE())))</f>
        <v>0.184061069106391</v>
      </c>
      <c r="C14" s="14" t="n">
        <f aca="false">1-B14</f>
        <v>0.815938930893609</v>
      </c>
      <c r="D14" s="4" t="str">
        <f aca="false">IF(OR(AND(Binomial!$B$8="inferior",A14&lt;Binomial!$B$5),AND(Binomial!$B$8="superior",A14&gt;Binomial!$B$5)),"sí","no")</f>
        <v>sí</v>
      </c>
    </row>
    <row r="15" customFormat="false" ht="15" hidden="false" customHeight="false" outlineLevel="0" collapsed="false">
      <c r="A15" s="13" t="n">
        <v>0.11</v>
      </c>
      <c r="B15" s="14" t="n">
        <f aca="false">1-IF(Binomial!$B$8="inferior",BINOMDIST(Binomial!$B$7,Binomial!$B$4,A15,TRUE()),IF(Binomial!$B$7&lt;=0,1,1-BINOMDIST(Binomial!$B$7-1,Binomial!$B$4,A15,TRUE())))</f>
        <v>0.223788445513925</v>
      </c>
      <c r="C15" s="14" t="n">
        <f aca="false">1-B15</f>
        <v>0.776211554486075</v>
      </c>
      <c r="D15" s="4" t="str">
        <f aca="false">IF(OR(AND(Binomial!$B$8="inferior",A15&lt;Binomial!$B$5),AND(Binomial!$B$8="superior",A15&gt;Binomial!$B$5)),"sí","no")</f>
        <v>sí</v>
      </c>
    </row>
    <row r="16" customFormat="false" ht="15" hidden="false" customHeight="false" outlineLevel="0" collapsed="false">
      <c r="A16" s="13" t="n">
        <v>0.12</v>
      </c>
      <c r="B16" s="14" t="n">
        <f aca="false">1-IF(Binomial!$B$8="inferior",BINOMDIST(Binomial!$B$7,Binomial!$B$4,A16,TRUE()),IF(Binomial!$B$7&lt;=0,1,1-BINOMDIST(Binomial!$B$7-1,Binomial!$B$4,A16,TRUE())))</f>
        <v>0.265434395486834</v>
      </c>
      <c r="C16" s="14" t="n">
        <f aca="false">1-B16</f>
        <v>0.734565604513166</v>
      </c>
      <c r="D16" s="4" t="str">
        <f aca="false">IF(OR(AND(Binomial!$B$8="inferior",A16&lt;Binomial!$B$5),AND(Binomial!$B$8="superior",A16&gt;Binomial!$B$5)),"sí","no")</f>
        <v>sí</v>
      </c>
    </row>
    <row r="17" customFormat="false" ht="15" hidden="false" customHeight="false" outlineLevel="0" collapsed="false">
      <c r="A17" s="13" t="n">
        <v>0.13</v>
      </c>
      <c r="B17" s="14" t="n">
        <f aca="false">1-IF(Binomial!$B$8="inferior",BINOMDIST(Binomial!$B$7,Binomial!$B$4,A17,TRUE()),IF(Binomial!$B$7&lt;=0,1,1-BINOMDIST(Binomial!$B$7-1,Binomial!$B$4,A17,TRUE())))</f>
        <v>0.308368140213651</v>
      </c>
      <c r="C17" s="14" t="n">
        <f aca="false">1-B17</f>
        <v>0.691631859786349</v>
      </c>
      <c r="D17" s="4" t="str">
        <f aca="false">IF(OR(AND(Binomial!$B$8="inferior",A17&lt;Binomial!$B$5),AND(Binomial!$B$8="superior",A17&gt;Binomial!$B$5)),"sí","no")</f>
        <v>sí</v>
      </c>
    </row>
    <row r="18" customFormat="false" ht="15" hidden="false" customHeight="false" outlineLevel="0" collapsed="false">
      <c r="A18" s="13" t="n">
        <v>0.14</v>
      </c>
      <c r="B18" s="14" t="n">
        <f aca="false">1-IF(Binomial!$B$8="inferior",BINOMDIST(Binomial!$B$7,Binomial!$B$4,A18,TRUE()),IF(Binomial!$B$7&lt;=0,1,1-BINOMDIST(Binomial!$B$7-1,Binomial!$B$4,A18,TRUE())))</f>
        <v>0.351996356809036</v>
      </c>
      <c r="C18" s="14" t="n">
        <f aca="false">1-B18</f>
        <v>0.648003643190965</v>
      </c>
      <c r="D18" s="4" t="str">
        <f aca="false">IF(OR(AND(Binomial!$B$8="inferior",A18&lt;Binomial!$B$5),AND(Binomial!$B$8="superior",A18&gt;Binomial!$B$5)),"sí","no")</f>
        <v>sí</v>
      </c>
    </row>
    <row r="19" customFormat="false" ht="15" hidden="false" customHeight="false" outlineLevel="0" collapsed="false">
      <c r="A19" s="13" t="n">
        <v>0.15</v>
      </c>
      <c r="B19" s="14" t="n">
        <f aca="false">1-IF(Binomial!$B$8="inferior",BINOMDIST(Binomial!$B$7,Binomial!$B$4,A19,TRUE()),IF(Binomial!$B$7&lt;=0,1,1-BINOMDIST(Binomial!$B$7-1,Binomial!$B$4,A19,TRUE())))</f>
        <v>0.395774795905183</v>
      </c>
      <c r="C19" s="14" t="n">
        <f aca="false">1-B19</f>
        <v>0.604225204094817</v>
      </c>
      <c r="D19" s="4" t="str">
        <f aca="false">IF(OR(AND(Binomial!$B$8="inferior",A19&lt;Binomial!$B$5),AND(Binomial!$B$8="superior",A19&gt;Binomial!$B$5)),"sí","no")</f>
        <v>sí</v>
      </c>
    </row>
    <row r="20" customFormat="false" ht="15" hidden="false" customHeight="false" outlineLevel="0" collapsed="false">
      <c r="A20" s="13" t="n">
        <v>0.16</v>
      </c>
      <c r="B20" s="14" t="n">
        <f aca="false">1-IF(Binomial!$B$8="inferior",BINOMDIST(Binomial!$B$7,Binomial!$B$4,A20,TRUE()),IF(Binomial!$B$7&lt;=0,1,1-BINOMDIST(Binomial!$B$7-1,Binomial!$B$4,A20,TRUE())))</f>
        <v>0.439215666653848</v>
      </c>
      <c r="C20" s="14" t="n">
        <f aca="false">1-B20</f>
        <v>0.560784333346152</v>
      </c>
      <c r="D20" s="4" t="str">
        <f aca="false">IF(OR(AND(Binomial!$B$8="inferior",A20&lt;Binomial!$B$5),AND(Binomial!$B$8="superior",A20&gt;Binomial!$B$5)),"sí","no")</f>
        <v>sí</v>
      </c>
    </row>
    <row r="21" customFormat="false" ht="15" hidden="false" customHeight="false" outlineLevel="0" collapsed="false">
      <c r="A21" s="13" t="n">
        <v>0.17</v>
      </c>
      <c r="B21" s="14" t="n">
        <f aca="false">1-IF(Binomial!$B$8="inferior",BINOMDIST(Binomial!$B$7,Binomial!$B$4,A21,TRUE()),IF(Binomial!$B$7&lt;=0,1,1-BINOMDIST(Binomial!$B$7-1,Binomial!$B$4,A21,TRUE())))</f>
        <v>0.481891626359804</v>
      </c>
      <c r="C21" s="14" t="n">
        <f aca="false">1-B21</f>
        <v>0.518108373640196</v>
      </c>
      <c r="D21" s="4" t="str">
        <f aca="false">IF(OR(AND(Binomial!$B$8="inferior",A21&lt;Binomial!$B$5),AND(Binomial!$B$8="superior",A21&gt;Binomial!$B$5)),"sí","no")</f>
        <v>sí</v>
      </c>
    </row>
    <row r="22" customFormat="false" ht="15" hidden="false" customHeight="false" outlineLevel="0" collapsed="false">
      <c r="A22" s="13" t="n">
        <v>0.18</v>
      </c>
      <c r="B22" s="14" t="n">
        <f aca="false">1-IF(Binomial!$B$8="inferior",BINOMDIST(Binomial!$B$7,Binomial!$B$4,A22,TRUE()),IF(Binomial!$B$7&lt;=0,1,1-BINOMDIST(Binomial!$B$7-1,Binomial!$B$4,A22,TRUE())))</f>
        <v>0.523437088882873</v>
      </c>
      <c r="C22" s="14" t="n">
        <f aca="false">1-B22</f>
        <v>0.476562911117127</v>
      </c>
      <c r="D22" s="4" t="str">
        <f aca="false">IF(OR(AND(Binomial!$B$8="inferior",A22&lt;Binomial!$B$5),AND(Binomial!$B$8="superior",A22&gt;Binomial!$B$5)),"sí","no")</f>
        <v>sí</v>
      </c>
    </row>
    <row r="23" customFormat="false" ht="15" hidden="false" customHeight="false" outlineLevel="0" collapsed="false">
      <c r="A23" s="13" t="n">
        <v>0.19</v>
      </c>
      <c r="B23" s="14" t="n">
        <f aca="false">1-IF(Binomial!$B$8="inferior",BINOMDIST(Binomial!$B$7,Binomial!$B$4,A23,TRUE()),IF(Binomial!$B$7&lt;=0,1,1-BINOMDIST(Binomial!$B$7-1,Binomial!$B$4,A23,TRUE())))</f>
        <v>0.563547457300849</v>
      </c>
      <c r="C23" s="14" t="n">
        <f aca="false">1-B23</f>
        <v>0.436452542699151</v>
      </c>
      <c r="D23" s="4" t="str">
        <f aca="false">IF(OR(AND(Binomial!$B$8="inferior",A23&lt;Binomial!$B$5),AND(Binomial!$B$8="superior",A23&gt;Binomial!$B$5)),"sí","no")</f>
        <v>sí</v>
      </c>
    </row>
    <row r="24" customFormat="false" ht="15" hidden="false" customHeight="false" outlineLevel="0" collapsed="false">
      <c r="A24" s="13" t="n">
        <v>0.2</v>
      </c>
      <c r="B24" s="14" t="n">
        <f aca="false">1-IF(Binomial!$B$8="inferior",BINOMDIST(Binomial!$B$7,Binomial!$B$4,A24,TRUE()),IF(Binomial!$B$7&lt;=0,1,1-BINOMDIST(Binomial!$B$7-1,Binomial!$B$4,A24,TRUE())))</f>
        <v>0.601976790745088</v>
      </c>
      <c r="C24" s="14" t="n">
        <f aca="false">1-B24</f>
        <v>0.398023209254912</v>
      </c>
      <c r="D24" s="4" t="str">
        <f aca="false">IF(OR(AND(Binomial!$B$8="inferior",A24&lt;Binomial!$B$5),AND(Binomial!$B$8="superior",A24&gt;Binomial!$B$5)),"sí","no")</f>
        <v>sí</v>
      </c>
    </row>
    <row r="25" customFormat="false" ht="15" hidden="false" customHeight="false" outlineLevel="0" collapsed="false">
      <c r="A25" s="13" t="n">
        <v>0.21</v>
      </c>
      <c r="B25" s="14" t="n">
        <f aca="false">1-IF(Binomial!$B$8="inferior",BINOMDIST(Binomial!$B$7,Binomial!$B$4,A25,TRUE()),IF(Binomial!$B$7&lt;=0,1,1-BINOMDIST(Binomial!$B$7-1,Binomial!$B$4,A25,TRUE())))</f>
        <v>0.638534331535209</v>
      </c>
      <c r="C25" s="14" t="n">
        <f aca="false">1-B25</f>
        <v>0.361465668464791</v>
      </c>
      <c r="D25" s="4" t="str">
        <f aca="false">IF(OR(AND(Binomial!$B$8="inferior",A25&lt;Binomial!$B$5),AND(Binomial!$B$8="superior",A25&gt;Binomial!$B$5)),"sí","no")</f>
        <v>sí</v>
      </c>
    </row>
    <row r="26" customFormat="false" ht="15" hidden="false" customHeight="false" outlineLevel="0" collapsed="false">
      <c r="A26" s="13" t="n">
        <v>0.22</v>
      </c>
      <c r="B26" s="14" t="n">
        <f aca="false">1-IF(Binomial!$B$8="inferior",BINOMDIST(Binomial!$B$7,Binomial!$B$4,A26,TRUE()),IF(Binomial!$B$7&lt;=0,1,1-BINOMDIST(Binomial!$B$7-1,Binomial!$B$4,A26,TRUE())))</f>
        <v>0.673080245578868</v>
      </c>
      <c r="C26" s="14" t="n">
        <f aca="false">1-B26</f>
        <v>0.326919754421132</v>
      </c>
      <c r="D26" s="4" t="str">
        <f aca="false">IF(OR(AND(Binomial!$B$8="inferior",A26&lt;Binomial!$B$5),AND(Binomial!$B$8="superior",A26&gt;Binomial!$B$5)),"sí","no")</f>
        <v>sí</v>
      </c>
    </row>
    <row r="27" customFormat="false" ht="15" hidden="false" customHeight="false" outlineLevel="0" collapsed="false">
      <c r="A27" s="13" t="n">
        <v>0.23</v>
      </c>
      <c r="B27" s="14" t="n">
        <f aca="false">1-IF(Binomial!$B$8="inferior",BINOMDIST(Binomial!$B$7,Binomial!$B$4,A27,TRUE()),IF(Binomial!$B$7&lt;=0,1,1-BINOMDIST(Binomial!$B$7-1,Binomial!$B$4,A27,TRUE())))</f>
        <v>0.705520865389943</v>
      </c>
      <c r="C27" s="14" t="n">
        <f aca="false">1-B27</f>
        <v>0.294479134610057</v>
      </c>
      <c r="D27" s="4" t="str">
        <f aca="false">IF(OR(AND(Binomial!$B$8="inferior",A27&lt;Binomial!$B$5),AND(Binomial!$B$8="superior",A27&gt;Binomial!$B$5)),"sí","no")</f>
        <v>sí</v>
      </c>
    </row>
    <row r="28" customFormat="false" ht="15" hidden="false" customHeight="false" outlineLevel="0" collapsed="false">
      <c r="A28" s="13" t="n">
        <v>0.24</v>
      </c>
      <c r="B28" s="14" t="n">
        <f aca="false">1-IF(Binomial!$B$8="inferior",BINOMDIST(Binomial!$B$7,Binomial!$B$4,A28,TRUE()),IF(Binomial!$B$7&lt;=0,1,1-BINOMDIST(Binomial!$B$7-1,Binomial!$B$4,A28,TRUE())))</f>
        <v>0.735803670023509</v>
      </c>
      <c r="C28" s="14" t="n">
        <f aca="false">1-B28</f>
        <v>0.264196329976491</v>
      </c>
      <c r="D28" s="4" t="str">
        <f aca="false">IF(OR(AND(Binomial!$B$8="inferior",A28&lt;Binomial!$B$5),AND(Binomial!$B$8="superior",A28&gt;Binomial!$B$5)),"sí","no")</f>
        <v>sí</v>
      </c>
    </row>
    <row r="29" customFormat="false" ht="15" hidden="false" customHeight="false" outlineLevel="0" collapsed="false">
      <c r="A29" s="13" t="n">
        <v>0.25</v>
      </c>
      <c r="B29" s="14" t="n">
        <f aca="false">1-IF(Binomial!$B$8="inferior",BINOMDIST(Binomial!$B$7,Binomial!$B$4,A29,TRUE()),IF(Binomial!$B$7&lt;=0,1,1-BINOMDIST(Binomial!$B$7-1,Binomial!$B$4,A29,TRUE())))</f>
        <v>0.763912188820541</v>
      </c>
      <c r="C29" s="14" t="n">
        <f aca="false">1-B29</f>
        <v>0.236087811179459</v>
      </c>
      <c r="D29" s="4" t="str">
        <f aca="false">IF(OR(AND(Binomial!$B$8="inferior",A29&lt;Binomial!$B$5),AND(Binomial!$B$8="superior",A29&gt;Binomial!$B$5)),"sí","no")</f>
        <v>sí</v>
      </c>
    </row>
    <row r="30" customFormat="false" ht="15" hidden="false" customHeight="false" outlineLevel="0" collapsed="false">
      <c r="A30" s="13" t="n">
        <v>0.26</v>
      </c>
      <c r="B30" s="14" t="n">
        <f aca="false">1-IF(Binomial!$B$8="inferior",BINOMDIST(Binomial!$B$7,Binomial!$B$4,A30,TRUE()),IF(Binomial!$B$7&lt;=0,1,1-BINOMDIST(Binomial!$B$7-1,Binomial!$B$4,A30,TRUE())))</f>
        <v>0.789860975267506</v>
      </c>
      <c r="C30" s="14" t="n">
        <f aca="false">1-B30</f>
        <v>0.210139024732494</v>
      </c>
      <c r="D30" s="4" t="str">
        <f aca="false">IF(OR(AND(Binomial!$B$8="inferior",A30&lt;Binomial!$B$5),AND(Binomial!$B$8="superior",A30&gt;Binomial!$B$5)),"sí","no")</f>
        <v>sí</v>
      </c>
    </row>
    <row r="31" customFormat="false" ht="15" hidden="false" customHeight="false" outlineLevel="0" collapsed="false">
      <c r="A31" s="13" t="n">
        <v>0.27</v>
      </c>
      <c r="B31" s="14" t="n">
        <f aca="false">1-IF(Binomial!$B$8="inferior",BINOMDIST(Binomial!$B$7,Binomial!$B$4,A31,TRUE()),IF(Binomial!$B$7&lt;=0,1,1-BINOMDIST(Binomial!$B$7-1,Binomial!$B$4,A31,TRUE())))</f>
        <v>0.813690762745544</v>
      </c>
      <c r="C31" s="14" t="n">
        <f aca="false">1-B31</f>
        <v>0.186309237254456</v>
      </c>
      <c r="D31" s="4" t="str">
        <f aca="false">IF(OR(AND(Binomial!$B$8="inferior",A31&lt;Binomial!$B$5),AND(Binomial!$B$8="superior",A31&gt;Binomial!$B$5)),"sí","no")</f>
        <v>sí</v>
      </c>
    </row>
    <row r="32" customFormat="false" ht="15" hidden="false" customHeight="false" outlineLevel="0" collapsed="false">
      <c r="A32" s="13" t="n">
        <v>0.28</v>
      </c>
      <c r="B32" s="14" t="n">
        <f aca="false">1-IF(Binomial!$B$8="inferior",BINOMDIST(Binomial!$B$7,Binomial!$B$4,A32,TRUE()),IF(Binomial!$B$7&lt;=0,1,1-BINOMDIST(Binomial!$B$7-1,Binomial!$B$4,A32,TRUE())))</f>
        <v>0.835463884777257</v>
      </c>
      <c r="C32" s="14" t="n">
        <f aca="false">1-B32</f>
        <v>0.164536115222743</v>
      </c>
      <c r="D32" s="4" t="str">
        <f aca="false">IF(OR(AND(Binomial!$B$8="inferior",A32&lt;Binomial!$B$5),AND(Binomial!$B$8="superior",A32&gt;Binomial!$B$5)),"sí","no")</f>
        <v>sí</v>
      </c>
    </row>
    <row r="33" customFormat="false" ht="15" hidden="false" customHeight="false" outlineLevel="0" collapsed="false">
      <c r="A33" s="13" t="n">
        <v>0.29</v>
      </c>
      <c r="B33" s="14" t="n">
        <f aca="false">1-IF(Binomial!$B$8="inferior",BINOMDIST(Binomial!$B$7,Binomial!$B$4,A33,TRUE()),IF(Binomial!$B$7&lt;=0,1,1-BINOMDIST(Binomial!$B$7-1,Binomial!$B$4,A33,TRUE())))</f>
        <v>0.855260017944769</v>
      </c>
      <c r="C33" s="14" t="n">
        <f aca="false">1-B33</f>
        <v>0.144739982055231</v>
      </c>
      <c r="D33" s="4" t="str">
        <f aca="false">IF(OR(AND(Binomial!$B$8="inferior",A33&lt;Binomial!$B$5),AND(Binomial!$B$8="superior",A33&gt;Binomial!$B$5)),"sí","no")</f>
        <v>sí</v>
      </c>
    </row>
    <row r="34" customFormat="false" ht="15" hidden="false" customHeight="false" outlineLevel="0" collapsed="false">
      <c r="A34" s="13" t="n">
        <v>0.3</v>
      </c>
      <c r="B34" s="14" t="n">
        <f aca="false">1-IF(Binomial!$B$8="inferior",BINOMDIST(Binomial!$B$7,Binomial!$B$4,A34,TRUE()),IF(Binomial!$B$7&lt;=0,1,1-BINOMDIST(Binomial!$B$7-1,Binomial!$B$4,A34,TRUE())))</f>
        <v>0.873172285377237</v>
      </c>
      <c r="C34" s="14" t="n">
        <f aca="false">1-B34</f>
        <v>0.126827714622763</v>
      </c>
      <c r="D34" s="4" t="str">
        <f aca="false">IF(OR(AND(Binomial!$B$8="inferior",A34&lt;Binomial!$B$5),AND(Binomial!$B$8="superior",A34&gt;Binomial!$B$5)),"sí","no")</f>
        <v>sí</v>
      </c>
    </row>
    <row r="35" customFormat="false" ht="15" hidden="false" customHeight="false" outlineLevel="0" collapsed="false">
      <c r="A35" s="13" t="n">
        <v>0.31</v>
      </c>
      <c r="B35" s="14" t="n">
        <f aca="false">1-IF(Binomial!$B$8="inferior",BINOMDIST(Binomial!$B$7,Binomial!$B$4,A35,TRUE()),IF(Binomial!$B$7&lt;=0,1,1-BINOMDIST(Binomial!$B$7-1,Binomial!$B$4,A35,TRUE())))</f>
        <v>0.889303742069718</v>
      </c>
      <c r="C35" s="14" t="n">
        <f aca="false">1-B35</f>
        <v>0.110696257930282</v>
      </c>
      <c r="D35" s="4" t="str">
        <f aca="false">IF(OR(AND(Binomial!$B$8="inferior",A35&lt;Binomial!$B$5),AND(Binomial!$B$8="superior",A35&gt;Binomial!$B$5)),"sí","no")</f>
        <v>sí</v>
      </c>
    </row>
    <row r="36" customFormat="false" ht="15" hidden="false" customHeight="false" outlineLevel="0" collapsed="false">
      <c r="A36" s="13" t="n">
        <v>0.32</v>
      </c>
      <c r="B36" s="14" t="n">
        <f aca="false">1-IF(Binomial!$B$8="inferior",BINOMDIST(Binomial!$B$7,Binomial!$B$4,A36,TRUE()),IF(Binomial!$B$7&lt;=0,1,1-BINOMDIST(Binomial!$B$7-1,Binomial!$B$4,A36,TRUE())))</f>
        <v>0.903764249828508</v>
      </c>
      <c r="C36" s="14" t="n">
        <f aca="false">1-B36</f>
        <v>0.0962357501714918</v>
      </c>
      <c r="D36" s="4" t="str">
        <f aca="false">IF(OR(AND(Binomial!$B$8="inferior",A36&lt;Binomial!$B$5),AND(Binomial!$B$8="superior",A36&gt;Binomial!$B$5)),"sí","no")</f>
        <v>sí</v>
      </c>
    </row>
    <row r="37" customFormat="false" ht="15" hidden="false" customHeight="false" outlineLevel="0" collapsed="false">
      <c r="A37" s="13" t="n">
        <v>0.33</v>
      </c>
      <c r="B37" s="14" t="n">
        <f aca="false">1-IF(Binomial!$B$8="inferior",BINOMDIST(Binomial!$B$7,Binomial!$B$4,A37,TRUE()),IF(Binomial!$B$7&lt;=0,1,1-BINOMDIST(Binomial!$B$7-1,Binomial!$B$4,A37,TRUE())))</f>
        <v>0.916667738917386</v>
      </c>
      <c r="C37" s="14" t="n">
        <f aca="false">1-B37</f>
        <v>0.0833322610826143</v>
      </c>
      <c r="D37" s="4" t="str">
        <f aca="false">IF(OR(AND(Binomial!$B$8="inferior",A37&lt;Binomial!$B$5),AND(Binomial!$B$8="superior",A37&gt;Binomial!$B$5)),"sí","no")</f>
        <v>sí</v>
      </c>
    </row>
    <row r="38" customFormat="false" ht="15" hidden="false" customHeight="false" outlineLevel="0" collapsed="false">
      <c r="A38" s="13" t="n">
        <v>0.34</v>
      </c>
      <c r="B38" s="14" t="n">
        <f aca="false">1-IF(Binomial!$B$8="inferior",BINOMDIST(Binomial!$B$7,Binomial!$B$4,A38,TRUE()),IF(Binomial!$B$7&lt;=0,1,1-BINOMDIST(Binomial!$B$7-1,Binomial!$B$4,A38,TRUE())))</f>
        <v>0.928129845123976</v>
      </c>
      <c r="C38" s="14" t="n">
        <f aca="false">1-B38</f>
        <v>0.0718701548760244</v>
      </c>
      <c r="D38" s="4" t="str">
        <f aca="false">IF(OR(AND(Binomial!$B$8="inferior",A38&lt;Binomial!$B$5),AND(Binomial!$B$8="superior",A38&gt;Binomial!$B$5)),"sí","no")</f>
        <v>sí</v>
      </c>
    </row>
    <row r="39" customFormat="false" ht="15" hidden="false" customHeight="false" outlineLevel="0" collapsed="false">
      <c r="A39" s="13" t="n">
        <v>0.35</v>
      </c>
      <c r="B39" s="14" t="n">
        <f aca="false">1-IF(Binomial!$B$8="inferior",BINOMDIST(Binomial!$B$7,Binomial!$B$4,A39,TRUE()),IF(Binomial!$B$7&lt;=0,1,1-BINOMDIST(Binomial!$B$7-1,Binomial!$B$4,A39,TRUE())))</f>
        <v>0.938265904634715</v>
      </c>
      <c r="C39" s="14" t="n">
        <f aca="false">1-B39</f>
        <v>0.061734095365285</v>
      </c>
      <c r="D39" s="4" t="str">
        <f aca="false">IF(OR(AND(Binomial!$B$8="inferior",A39&lt;Binomial!$B$5),AND(Binomial!$B$8="superior",A39&gt;Binomial!$B$5)),"sí","no")</f>
        <v>sí</v>
      </c>
    </row>
    <row r="40" customFormat="false" ht="15" hidden="false" customHeight="false" outlineLevel="0" collapsed="false">
      <c r="A40" s="13" t="n">
        <v>0.36</v>
      </c>
      <c r="B40" s="14" t="n">
        <f aca="false">1-IF(Binomial!$B$8="inferior",BINOMDIST(Binomial!$B$7,Binomial!$B$4,A40,TRUE()),IF(Binomial!$B$7&lt;=0,1,1-BINOMDIST(Binomial!$B$7-1,Binomial!$B$4,A40,TRUE())))</f>
        <v>0.947189284495955</v>
      </c>
      <c r="C40" s="14" t="n">
        <f aca="false">1-B40</f>
        <v>0.0528107155040455</v>
      </c>
      <c r="D40" s="4" t="str">
        <f aca="false">IF(OR(AND(Binomial!$B$8="inferior",A40&lt;Binomial!$B$5),AND(Binomial!$B$8="superior",A40&gt;Binomial!$B$5)),"sí","no")</f>
        <v>sí</v>
      </c>
    </row>
    <row r="41" customFormat="false" ht="15" hidden="false" customHeight="false" outlineLevel="0" collapsed="false">
      <c r="A41" s="13" t="n">
        <v>0.37</v>
      </c>
      <c r="B41" s="14" t="n">
        <f aca="false">1-IF(Binomial!$B$8="inferior",BINOMDIST(Binomial!$B$7,Binomial!$B$4,A41,TRUE()),IF(Binomial!$B$7&lt;=0,1,1-BINOMDIST(Binomial!$B$7-1,Binomial!$B$4,A41,TRUE())))</f>
        <v>0.955010023276534</v>
      </c>
      <c r="C41" s="14" t="n">
        <f aca="false">1-B41</f>
        <v>0.0449899767234656</v>
      </c>
      <c r="D41" s="4" t="str">
        <f aca="false">IF(OR(AND(Binomial!$B$8="inferior",A41&lt;Binomial!$B$5),AND(Binomial!$B$8="superior",A41&gt;Binomial!$B$5)),"sí","no")</f>
        <v>sí</v>
      </c>
    </row>
    <row r="42" customFormat="false" ht="15" hidden="false" customHeight="false" outlineLevel="0" collapsed="false">
      <c r="A42" s="13" t="n">
        <v>0.38</v>
      </c>
      <c r="B42" s="14" t="n">
        <f aca="false">1-IF(Binomial!$B$8="inferior",BINOMDIST(Binomial!$B$7,Binomial!$B$4,A42,TRUE()),IF(Binomial!$B$7&lt;=0,1,1-BINOMDIST(Binomial!$B$7-1,Binomial!$B$4,A42,TRUE())))</f>
        <v>0.961833754593381</v>
      </c>
      <c r="C42" s="14" t="n">
        <f aca="false">1-B42</f>
        <v>0.0381662454066193</v>
      </c>
      <c r="D42" s="4" t="str">
        <f aca="false">IF(OR(AND(Binomial!$B$8="inferior",A42&lt;Binomial!$B$5),AND(Binomial!$B$8="superior",A42&gt;Binomial!$B$5)),"sí","no")</f>
        <v>sí</v>
      </c>
    </row>
    <row r="43" customFormat="false" ht="15" hidden="false" customHeight="false" outlineLevel="0" collapsed="false">
      <c r="A43" s="13" t="n">
        <v>0.39</v>
      </c>
      <c r="B43" s="14" t="n">
        <f aca="false">1-IF(Binomial!$B$8="inferior",BINOMDIST(Binomial!$B$7,Binomial!$B$4,A43,TRUE()),IF(Binomial!$B$7&lt;=0,1,1-BINOMDIST(Binomial!$B$7-1,Binomial!$B$4,A43,TRUE())))</f>
        <v>0.967760885204097</v>
      </c>
      <c r="C43" s="14" t="n">
        <f aca="false">1-B43</f>
        <v>0.0322391147959034</v>
      </c>
      <c r="D43" s="4" t="str">
        <f aca="false">IF(OR(AND(Binomial!$B$8="inferior",A43&lt;Binomial!$B$5),AND(Binomial!$B$8="superior",A43&gt;Binomial!$B$5)),"sí","no")</f>
        <v>sí</v>
      </c>
    </row>
    <row r="44" customFormat="false" ht="15" hidden="false" customHeight="false" outlineLevel="0" collapsed="false">
      <c r="A44" s="13" t="n">
        <v>0.4</v>
      </c>
      <c r="B44" s="14" t="n">
        <f aca="false">1-IF(Binomial!$B$8="inferior",BINOMDIST(Binomial!$B$7,Binomial!$B$4,A44,TRUE()),IF(Binomial!$B$7&lt;=0,1,1-BINOMDIST(Binomial!$B$7-1,Binomial!$B$4,A44,TRUE())))</f>
        <v>0.972885999222784</v>
      </c>
      <c r="C44" s="14" t="n">
        <f aca="false">1-B44</f>
        <v>0.027114000777216</v>
      </c>
      <c r="D44" s="4" t="str">
        <f aca="false">IF(OR(AND(Binomial!$B$8="inferior",A44&lt;Binomial!$B$5),AND(Binomial!$B$8="superior",A44&gt;Binomial!$B$5)),"sí","no")</f>
        <v>sí</v>
      </c>
    </row>
    <row r="45" customFormat="false" ht="15" hidden="false" customHeight="false" outlineLevel="0" collapsed="false">
      <c r="A45" s="13" t="n">
        <v>0.41</v>
      </c>
      <c r="B45" s="14" t="n">
        <f aca="false">1-IF(Binomial!$B$8="inferior",BINOMDIST(Binomial!$B$7,Binomial!$B$4,A45,TRUE()),IF(Binomial!$B$7&lt;=0,1,1-BINOMDIST(Binomial!$B$7-1,Binomial!$B$4,A45,TRUE())))</f>
        <v>0.977297460514435</v>
      </c>
      <c r="C45" s="14" t="n">
        <f aca="false">1-B45</f>
        <v>0.0227025394855649</v>
      </c>
      <c r="D45" s="4" t="str">
        <f aca="false">IF(OR(AND(Binomial!$B$8="inferior",A45&lt;Binomial!$B$5),AND(Binomial!$B$8="superior",A45&gt;Binomial!$B$5)),"sí","no")</f>
        <v>sí</v>
      </c>
    </row>
    <row r="46" customFormat="false" ht="15" hidden="false" customHeight="false" outlineLevel="0" collapsed="false">
      <c r="A46" s="13" t="n">
        <v>0.42</v>
      </c>
      <c r="B46" s="14" t="n">
        <f aca="false">1-IF(Binomial!$B$8="inferior",BINOMDIST(Binomial!$B$7,Binomial!$B$4,A46,TRUE()),IF(Binomial!$B$7&lt;=0,1,1-BINOMDIST(Binomial!$B$7-1,Binomial!$B$4,A46,TRUE())))</f>
        <v>0.981077186327543</v>
      </c>
      <c r="C46" s="14" t="n">
        <f aca="false">1-B46</f>
        <v>0.018922813672457</v>
      </c>
      <c r="D46" s="4" t="str">
        <f aca="false">IF(OR(AND(Binomial!$B$8="inferior",A46&lt;Binomial!$B$5),AND(Binomial!$B$8="superior",A46&gt;Binomial!$B$5)),"sí","no")</f>
        <v>sí</v>
      </c>
    </row>
    <row r="47" customFormat="false" ht="15" hidden="false" customHeight="false" outlineLevel="0" collapsed="false">
      <c r="A47" s="13" t="n">
        <v>0.43</v>
      </c>
      <c r="B47" s="14" t="n">
        <f aca="false">1-IF(Binomial!$B$8="inferior",BINOMDIST(Binomial!$B$7,Binomial!$B$4,A47,TRUE()),IF(Binomial!$B$7&lt;=0,1,1-BINOMDIST(Binomial!$B$7-1,Binomial!$B$4,A47,TRUE())))</f>
        <v>0.984300566611754</v>
      </c>
      <c r="C47" s="14" t="n">
        <f aca="false">1-B47</f>
        <v>0.0156994333882458</v>
      </c>
      <c r="D47" s="4" t="str">
        <f aca="false">IF(OR(AND(Binomial!$B$8="inferior",A47&lt;Binomial!$B$5),AND(Binomial!$B$8="superior",A47&gt;Binomial!$B$5)),"sí","no")</f>
        <v>sí</v>
      </c>
    </row>
    <row r="48" customFormat="false" ht="15" hidden="false" customHeight="false" outlineLevel="0" collapsed="false">
      <c r="A48" s="13" t="n">
        <v>0.44</v>
      </c>
      <c r="B48" s="14" t="n">
        <f aca="false">1-IF(Binomial!$B$8="inferior",BINOMDIST(Binomial!$B$7,Binomial!$B$4,A48,TRUE()),IF(Binomial!$B$7&lt;=0,1,1-BINOMDIST(Binomial!$B$7-1,Binomial!$B$4,A48,TRUE())))</f>
        <v>0.987036505132549</v>
      </c>
      <c r="C48" s="14" t="n">
        <f aca="false">1-B48</f>
        <v>0.0129634948674507</v>
      </c>
      <c r="D48" s="4" t="str">
        <f aca="false">IF(OR(AND(Binomial!$B$8="inferior",A48&lt;Binomial!$B$5),AND(Binomial!$B$8="superior",A48&gt;Binomial!$B$5)),"sí","no")</f>
        <v>sí</v>
      </c>
    </row>
    <row r="49" customFormat="false" ht="15" hidden="false" customHeight="false" outlineLevel="0" collapsed="false">
      <c r="A49" s="13" t="n">
        <v>0.45</v>
      </c>
      <c r="B49" s="14" t="n">
        <f aca="false">1-IF(Binomial!$B$8="inferior",BINOMDIST(Binomial!$B$7,Binomial!$B$4,A49,TRUE()),IF(Binomial!$B$7&lt;=0,1,1-BINOMDIST(Binomial!$B$7-1,Binomial!$B$4,A49,TRUE())))</f>
        <v>0.989347560348899</v>
      </c>
      <c r="C49" s="14" t="n">
        <f aca="false">1-B49</f>
        <v>0.0106524396511013</v>
      </c>
      <c r="D49" s="4" t="str">
        <f aca="false">IF(OR(AND(Binomial!$B$8="inferior",A49&lt;Binomial!$B$5),AND(Binomial!$B$8="superior",A49&gt;Binomial!$B$5)),"sí","no")</f>
        <v>sí</v>
      </c>
    </row>
    <row r="50" customFormat="false" ht="15" hidden="false" customHeight="false" outlineLevel="0" collapsed="false">
      <c r="A50" s="13" t="n">
        <v>0.46</v>
      </c>
      <c r="B50" s="14" t="n">
        <f aca="false">1-IF(Binomial!$B$8="inferior",BINOMDIST(Binomial!$B$7,Binomial!$B$4,A50,TRUE()),IF(Binomial!$B$7&lt;=0,1,1-BINOMDIST(Binomial!$B$7-1,Binomial!$B$4,A50,TRUE())))</f>
        <v>0.991290165987529</v>
      </c>
      <c r="C50" s="14" t="n">
        <f aca="false">1-B50</f>
        <v>0.00870983401247083</v>
      </c>
      <c r="D50" s="4" t="str">
        <f aca="false">IF(OR(AND(Binomial!$B$8="inferior",A50&lt;Binomial!$B$5),AND(Binomial!$B$8="superior",A50&gt;Binomial!$B$5)),"sí","no")</f>
        <v>sí</v>
      </c>
    </row>
    <row r="51" customFormat="false" ht="15" hidden="false" customHeight="false" outlineLevel="0" collapsed="false">
      <c r="A51" s="13" t="n">
        <v>0.47</v>
      </c>
      <c r="B51" s="14" t="n">
        <f aca="false">1-IF(Binomial!$B$8="inferior",BINOMDIST(Binomial!$B$7,Binomial!$B$4,A51,TRUE()),IF(Binomial!$B$7&lt;=0,1,1-BINOMDIST(Binomial!$B$7-1,Binomial!$B$4,A51,TRUE())))</f>
        <v>0.992914913266326</v>
      </c>
      <c r="C51" s="14" t="n">
        <f aca="false">1-B51</f>
        <v>0.00708508673367414</v>
      </c>
      <c r="D51" s="4" t="str">
        <f aca="false">IF(OR(AND(Binomial!$B$8="inferior",A51&lt;Binomial!$B$5),AND(Binomial!$B$8="superior",A51&gt;Binomial!$B$5)),"sí","no")</f>
        <v>sí</v>
      </c>
    </row>
    <row r="52" customFormat="false" ht="15" hidden="false" customHeight="false" outlineLevel="0" collapsed="false">
      <c r="A52" s="13" t="n">
        <v>0.48</v>
      </c>
      <c r="B52" s="14" t="n">
        <f aca="false">1-IF(Binomial!$B$8="inferior",BINOMDIST(Binomial!$B$7,Binomial!$B$4,A52,TRUE()),IF(Binomial!$B$7&lt;=0,1,1-BINOMDIST(Binomial!$B$7-1,Binomial!$B$4,A52,TRUE())))</f>
        <v>0.994266878738208</v>
      </c>
      <c r="C52" s="14" t="n">
        <f aca="false">1-B52</f>
        <v>0.00573312126179193</v>
      </c>
      <c r="D52" s="4" t="str">
        <f aca="false">IF(OR(AND(Binomial!$B$8="inferior",A52&lt;Binomial!$B$5),AND(Binomial!$B$8="superior",A52&gt;Binomial!$B$5)),"sí","no")</f>
        <v>sí</v>
      </c>
    </row>
    <row r="53" customFormat="false" ht="15" hidden="false" customHeight="false" outlineLevel="0" collapsed="false">
      <c r="A53" s="13" t="n">
        <v>0.49</v>
      </c>
      <c r="B53" s="14" t="n">
        <f aca="false">1-IF(Binomial!$B$8="inferior",BINOMDIST(Binomial!$B$7,Binomial!$B$4,A53,TRUE()),IF(Binomial!$B$7&lt;=0,1,1-BINOMDIST(Binomial!$B$7-1,Binomial!$B$4,A53,TRUE())))</f>
        <v>0.995385983704115</v>
      </c>
      <c r="C53" s="14" t="n">
        <f aca="false">1-B53</f>
        <v>0.00461401629588532</v>
      </c>
      <c r="D53" s="4" t="str">
        <f aca="false">IF(OR(AND(Binomial!$B$8="inferior",A53&lt;Binomial!$B$5),AND(Binomial!$B$8="superior",A53&gt;Binomial!$B$5)),"sí","no")</f>
        <v>sí</v>
      </c>
    </row>
    <row r="54" customFormat="false" ht="15" hidden="false" customHeight="false" outlineLevel="0" collapsed="false">
      <c r="A54" s="13" t="n">
        <v>0.5</v>
      </c>
      <c r="B54" s="14" t="n">
        <f aca="false">1-IF(Binomial!$B$8="inferior",BINOMDIST(Binomial!$B$7,Binomial!$B$4,A54,TRUE()),IF(Binomial!$B$7&lt;=0,1,1-BINOMDIST(Binomial!$B$7-1,Binomial!$B$4,A54,TRUE())))</f>
        <v>0.996307373046875</v>
      </c>
      <c r="C54" s="14" t="n">
        <f aca="false">1-B54</f>
        <v>0.003692626953125</v>
      </c>
      <c r="D54" s="4" t="str">
        <f aca="false">IF(OR(AND(Binomial!$B$8="inferior",A54&lt;Binomial!$B$5),AND(Binomial!$B$8="superior",A54&gt;Binomial!$B$5)),"sí","no")</f>
        <v>no</v>
      </c>
    </row>
    <row r="55" customFormat="false" ht="15" hidden="false" customHeight="false" outlineLevel="0" collapsed="false">
      <c r="A55" s="13" t="n">
        <v>0.51</v>
      </c>
      <c r="B55" s="14" t="n">
        <f aca="false">1-IF(Binomial!$B$8="inferior",BINOMDIST(Binomial!$B$7,Binomial!$B$4,A55,TRUE()),IF(Binomial!$B$7&lt;=0,1,1-BINOMDIST(Binomial!$B$7-1,Binomial!$B$4,A55,TRUE())))</f>
        <v>0.997061803141639</v>
      </c>
      <c r="C55" s="14" t="n">
        <f aca="false">1-B55</f>
        <v>0.00293819685836072</v>
      </c>
      <c r="D55" s="4" t="str">
        <f aca="false">IF(OR(AND(Binomial!$B$8="inferior",A55&lt;Binomial!$B$5),AND(Binomial!$B$8="superior",A55&gt;Binomial!$B$5)),"sí","no")</f>
        <v>no</v>
      </c>
    </row>
    <row r="56" customFormat="false" ht="15" hidden="false" customHeight="false" outlineLevel="0" collapsed="false">
      <c r="A56" s="13" t="n">
        <v>0.52</v>
      </c>
      <c r="B56" s="14" t="n">
        <f aca="false">1-IF(Binomial!$B$8="inferior",BINOMDIST(Binomial!$B$7,Binomial!$B$4,A56,TRUE()),IF(Binomial!$B$7&lt;=0,1,1-BINOMDIST(Binomial!$B$7-1,Binomial!$B$4,A56,TRUE())))</f>
        <v>0.997676030184808</v>
      </c>
      <c r="C56" s="14" t="n">
        <f aca="false">1-B56</f>
        <v>0.00232396981519201</v>
      </c>
      <c r="D56" s="4" t="str">
        <f aca="false">IF(OR(AND(Binomial!$B$8="inferior",A56&lt;Binomial!$B$5),AND(Binomial!$B$8="superior",A56&gt;Binomial!$B$5)),"sí","no")</f>
        <v>no</v>
      </c>
    </row>
    <row r="57" customFormat="false" ht="15" hidden="false" customHeight="false" outlineLevel="0" collapsed="false">
      <c r="A57" s="13" t="n">
        <v>0.53</v>
      </c>
      <c r="B57" s="14" t="n">
        <f aca="false">1-IF(Binomial!$B$8="inferior",BINOMDIST(Binomial!$B$7,Binomial!$B$4,A57,TRUE()),IF(Binomial!$B$7&lt;=0,1,1-BINOMDIST(Binomial!$B$7-1,Binomial!$B$4,A57,TRUE())))</f>
        <v>0.998173191839308</v>
      </c>
      <c r="C57" s="14" t="n">
        <f aca="false">1-B57</f>
        <v>0.0018268081606917</v>
      </c>
      <c r="D57" s="4" t="str">
        <f aca="false">IF(OR(AND(Binomial!$B$8="inferior",A57&lt;Binomial!$B$5),AND(Binomial!$B$8="superior",A57&gt;Binomial!$B$5)),"sí","no")</f>
        <v>no</v>
      </c>
    </row>
    <row r="58" customFormat="false" ht="15" hidden="false" customHeight="false" outlineLevel="0" collapsed="false">
      <c r="A58" s="13" t="n">
        <v>0.54</v>
      </c>
      <c r="B58" s="14" t="n">
        <f aca="false">1-IF(Binomial!$B$8="inferior",BINOMDIST(Binomial!$B$7,Binomial!$B$4,A58,TRUE()),IF(Binomial!$B$7&lt;=0,1,1-BINOMDIST(Binomial!$B$7-1,Binomial!$B$4,A58,TRUE())))</f>
        <v>0.998573176511813</v>
      </c>
      <c r="C58" s="14" t="n">
        <f aca="false">1-B58</f>
        <v>0.0014268234881869</v>
      </c>
      <c r="D58" s="4" t="str">
        <f aca="false">IF(OR(AND(Binomial!$B$8="inferior",A58&lt;Binomial!$B$5),AND(Binomial!$B$8="superior",A58&gt;Binomial!$B$5)),"sí","no")</f>
        <v>no</v>
      </c>
    </row>
    <row r="59" customFormat="false" ht="15" hidden="false" customHeight="false" outlineLevel="0" collapsed="false">
      <c r="A59" s="13" t="n">
        <v>0.55</v>
      </c>
      <c r="B59" s="14" t="n">
        <f aca="false">1-IF(Binomial!$B$8="inferior",BINOMDIST(Binomial!$B$7,Binomial!$B$4,A59,TRUE()),IF(Binomial!$B$7&lt;=0,1,1-BINOMDIST(Binomial!$B$7-1,Binomial!$B$4,A59,TRUE())))</f>
        <v>0.998892975853391</v>
      </c>
      <c r="C59" s="14" t="n">
        <f aca="false">1-B59</f>
        <v>0.00110702414660901</v>
      </c>
      <c r="D59" s="4" t="str">
        <f aca="false">IF(OR(AND(Binomial!$B$8="inferior",A59&lt;Binomial!$B$5),AND(Binomial!$B$8="superior",A59&gt;Binomial!$B$5)),"sí","no")</f>
        <v>no</v>
      </c>
    </row>
    <row r="60" customFormat="false" ht="15" hidden="false" customHeight="false" outlineLevel="0" collapsed="false">
      <c r="A60" s="13" t="n">
        <v>0.56</v>
      </c>
      <c r="B60" s="14" t="n">
        <f aca="false">1-IF(Binomial!$B$8="inferior",BINOMDIST(Binomial!$B$7,Binomial!$B$4,A60,TRUE()),IF(Binomial!$B$7&lt;=0,1,1-BINOMDIST(Binomial!$B$7-1,Binomial!$B$4,A60,TRUE())))</f>
        <v>0.999147017208864</v>
      </c>
      <c r="C60" s="14" t="n">
        <f aca="false">1-B60</f>
        <v>0.000852982791136547</v>
      </c>
      <c r="D60" s="4" t="str">
        <f aca="false">IF(OR(AND(Binomial!$B$8="inferior",A60&lt;Binomial!$B$5),AND(Binomial!$B$8="superior",A60&gt;Binomial!$B$5)),"sí","no")</f>
        <v>no</v>
      </c>
    </row>
    <row r="61" customFormat="false" ht="15" hidden="false" customHeight="false" outlineLevel="0" collapsed="false">
      <c r="A61" s="13" t="n">
        <v>0.57</v>
      </c>
      <c r="B61" s="14" t="n">
        <f aca="false">1-IF(Binomial!$B$8="inferior",BINOMDIST(Binomial!$B$7,Binomial!$B$4,A61,TRUE()),IF(Binomial!$B$7&lt;=0,1,1-BINOMDIST(Binomial!$B$7-1,Binomial!$B$4,A61,TRUE())))</f>
        <v>0.999347473734427</v>
      </c>
      <c r="C61" s="14" t="n">
        <f aca="false">1-B61</f>
        <v>0.000652526265573328</v>
      </c>
      <c r="D61" s="4" t="str">
        <f aca="false">IF(OR(AND(Binomial!$B$8="inferior",A61&lt;Binomial!$B$5),AND(Binomial!$B$8="superior",A61&gt;Binomial!$B$5)),"sí","no")</f>
        <v>no</v>
      </c>
    </row>
    <row r="62" customFormat="false" ht="15" hidden="false" customHeight="false" outlineLevel="0" collapsed="false">
      <c r="A62" s="13" t="n">
        <v>0.58</v>
      </c>
      <c r="B62" s="14" t="n">
        <f aca="false">1-IF(Binomial!$B$8="inferior",BINOMDIST(Binomial!$B$7,Binomial!$B$4,A62,TRUE()),IF(Binomial!$B$7&lt;=0,1,1-BINOMDIST(Binomial!$B$7-1,Binomial!$B$4,A62,TRUE())))</f>
        <v>0.999504550762726</v>
      </c>
      <c r="C62" s="14" t="n">
        <f aca="false">1-B62</f>
        <v>0.00049544923727407</v>
      </c>
      <c r="D62" s="4" t="str">
        <f aca="false">IF(OR(AND(Binomial!$B$8="inferior",A62&lt;Binomial!$B$5),AND(Binomial!$B$8="superior",A62&gt;Binomial!$B$5)),"sí","no")</f>
        <v>no</v>
      </c>
    </row>
    <row r="63" customFormat="false" ht="15" hidden="false" customHeight="false" outlineLevel="0" collapsed="false">
      <c r="A63" s="13" t="n">
        <v>0.59</v>
      </c>
      <c r="B63" s="14" t="n">
        <f aca="false">1-IF(Binomial!$B$8="inferior",BINOMDIST(Binomial!$B$7,Binomial!$B$4,A63,TRUE()),IF(Binomial!$B$7&lt;=0,1,1-BINOMDIST(Binomial!$B$7-1,Binomial!$B$4,A63,TRUE())))</f>
        <v>0.999626747726206</v>
      </c>
      <c r="C63" s="14" t="n">
        <f aca="false">1-B63</f>
        <v>0.000373252273794145</v>
      </c>
      <c r="D63" s="4" t="str">
        <f aca="false">IF(OR(AND(Binomial!$B$8="inferior",A63&lt;Binomial!$B$5),AND(Binomial!$B$8="superior",A63&gt;Binomial!$B$5)),"sí","no")</f>
        <v>no</v>
      </c>
    </row>
    <row r="64" customFormat="false" ht="15" hidden="false" customHeight="false" outlineLevel="0" collapsed="false">
      <c r="A64" s="13" t="n">
        <v>0.6</v>
      </c>
      <c r="B64" s="14" t="n">
        <f aca="false">1-IF(Binomial!$B$8="inferior",BINOMDIST(Binomial!$B$7,Binomial!$B$4,A64,TRUE()),IF(Binomial!$B$7&lt;=0,1,1-BINOMDIST(Binomial!$B$7-1,Binomial!$B$4,A64,TRUE())))</f>
        <v>0.999721095561216</v>
      </c>
      <c r="C64" s="14" t="n">
        <f aca="false">1-B64</f>
        <v>0.000278904438783978</v>
      </c>
      <c r="D64" s="4" t="str">
        <f aca="false">IF(OR(AND(Binomial!$B$8="inferior",A64&lt;Binomial!$B$5),AND(Binomial!$B$8="superior",A64&gt;Binomial!$B$5)),"sí","no")</f>
        <v>no</v>
      </c>
    </row>
    <row r="65" customFormat="false" ht="15" hidden="false" customHeight="false" outlineLevel="0" collapsed="false">
      <c r="A65" s="13" t="n">
        <v>0.61</v>
      </c>
      <c r="B65" s="14" t="n">
        <f aca="false">1-IF(Binomial!$B$8="inferior",BINOMDIST(Binomial!$B$7,Binomial!$B$4,A65,TRUE()),IF(Binomial!$B$7&lt;=0,1,1-BINOMDIST(Binomial!$B$7-1,Binomial!$B$4,A65,TRUE())))</f>
        <v>0.999793370016</v>
      </c>
      <c r="C65" s="14" t="n">
        <f aca="false">1-B65</f>
        <v>0.000206629984000228</v>
      </c>
      <c r="D65" s="4" t="str">
        <f aca="false">IF(OR(AND(Binomial!$B$8="inferior",A65&lt;Binomial!$B$5),AND(Binomial!$B$8="superior",A65&gt;Binomial!$B$5)),"sí","no")</f>
        <v>no</v>
      </c>
    </row>
    <row r="66" customFormat="false" ht="15" hidden="false" customHeight="false" outlineLevel="0" collapsed="false">
      <c r="A66" s="13" t="n">
        <v>0.62</v>
      </c>
      <c r="B66" s="14" t="n">
        <f aca="false">1-IF(Binomial!$B$8="inferior",BINOMDIST(Binomial!$B$7,Binomial!$B$4,A66,TRUE()),IF(Binomial!$B$7&lt;=0,1,1-BINOMDIST(Binomial!$B$7-1,Binomial!$B$4,A66,TRUE())))</f>
        <v>0.999848281684962</v>
      </c>
      <c r="C66" s="14" t="n">
        <f aca="false">1-B66</f>
        <v>0.000151718315038463</v>
      </c>
      <c r="D66" s="4" t="str">
        <f aca="false">IF(OR(AND(Binomial!$B$8="inferior",A66&lt;Binomial!$B$5),AND(Binomial!$B$8="superior",A66&gt;Binomial!$B$5)),"sí","no")</f>
        <v>no</v>
      </c>
    </row>
    <row r="67" customFormat="false" ht="15" hidden="false" customHeight="false" outlineLevel="0" collapsed="false">
      <c r="A67" s="13" t="n">
        <v>0.63</v>
      </c>
      <c r="B67" s="14" t="n">
        <f aca="false">1-IF(Binomial!$B$8="inferior",BINOMDIST(Binomial!$B$7,Binomial!$B$4,A67,TRUE()),IF(Binomial!$B$7&lt;=0,1,1-BINOMDIST(Binomial!$B$7-1,Binomial!$B$4,A67,TRUE())))</f>
        <v>0.999889643899461</v>
      </c>
      <c r="C67" s="14" t="n">
        <f aca="false">1-B67</f>
        <v>0.000110356100538556</v>
      </c>
      <c r="D67" s="4" t="str">
        <f aca="false">IF(OR(AND(Binomial!$B$8="inferior",A67&lt;Binomial!$B$5),AND(Binomial!$B$8="superior",A67&gt;Binomial!$B$5)),"sí","no")</f>
        <v>no</v>
      </c>
    </row>
    <row r="68" customFormat="false" ht="15" hidden="false" customHeight="false" outlineLevel="0" collapsed="false">
      <c r="A68" s="13" t="n">
        <v>0.64</v>
      </c>
      <c r="B68" s="14" t="n">
        <f aca="false">1-IF(Binomial!$B$8="inferior",BINOMDIST(Binomial!$B$7,Binomial!$B$4,A68,TRUE()),IF(Binomial!$B$7&lt;=0,1,1-BINOMDIST(Binomial!$B$7-1,Binomial!$B$4,A68,TRUE())))</f>
        <v>0.999920519831899</v>
      </c>
      <c r="C68" s="14" t="n">
        <f aca="false">1-B68</f>
        <v>7.94801681011093E-005</v>
      </c>
      <c r="D68" s="4" t="str">
        <f aca="false">IF(OR(AND(Binomial!$B$8="inferior",A68&lt;Binomial!$B$5),AND(Binomial!$B$8="superior",A68&gt;Binomial!$B$5)),"sí","no")</f>
        <v>no</v>
      </c>
    </row>
    <row r="69" customFormat="false" ht="15" hidden="false" customHeight="false" outlineLevel="0" collapsed="false">
      <c r="A69" s="13" t="n">
        <v>0.65</v>
      </c>
      <c r="B69" s="14" t="n">
        <f aca="false">1-IF(Binomial!$B$8="inferior",BINOMDIST(Binomial!$B$7,Binomial!$B$4,A69,TRUE()),IF(Binomial!$B$7&lt;=0,1,1-BINOMDIST(Binomial!$B$7-1,Binomial!$B$4,A69,TRUE())))</f>
        <v>0.999943350325</v>
      </c>
      <c r="C69" s="14" t="n">
        <f aca="false">1-B69</f>
        <v>5.66496749996315E-005</v>
      </c>
      <c r="D69" s="4" t="str">
        <f aca="false">IF(OR(AND(Binomial!$B$8="inferior",A69&lt;Binomial!$B$5),AND(Binomial!$B$8="superior",A69&gt;Binomial!$B$5)),"sí","no")</f>
        <v>no</v>
      </c>
    </row>
    <row r="70" customFormat="false" ht="15" hidden="false" customHeight="false" outlineLevel="0" collapsed="false">
      <c r="A70" s="13" t="n">
        <v>0.66</v>
      </c>
      <c r="B70" s="14" t="n">
        <f aca="false">1-IF(Binomial!$B$8="inferior",BINOMDIST(Binomial!$B$7,Binomial!$B$4,A70,TRUE()),IF(Binomial!$B$7&lt;=0,1,1-BINOMDIST(Binomial!$B$7-1,Binomial!$B$4,A70,TRUE())))</f>
        <v>0.999960064051696</v>
      </c>
      <c r="C70" s="14" t="n">
        <f aca="false">1-B70</f>
        <v>3.99359483042039E-005</v>
      </c>
      <c r="D70" s="4" t="str">
        <f aca="false">IF(OR(AND(Binomial!$B$8="inferior",A70&lt;Binomial!$B$5),AND(Binomial!$B$8="superior",A70&gt;Binomial!$B$5)),"sí","no")</f>
        <v>no</v>
      </c>
    </row>
    <row r="71" customFormat="false" ht="15" hidden="false" customHeight="false" outlineLevel="0" collapsed="false">
      <c r="A71" s="13" t="n">
        <v>0.67</v>
      </c>
      <c r="B71" s="14" t="n">
        <f aca="false">1-IF(Binomial!$B$8="inferior",BINOMDIST(Binomial!$B$7,Binomial!$B$4,A71,TRUE()),IF(Binomial!$B$7&lt;=0,1,1-BINOMDIST(Binomial!$B$7-1,Binomial!$B$4,A71,TRUE())))</f>
        <v>0.999972171652061</v>
      </c>
      <c r="C71" s="14" t="n">
        <f aca="false">1-B71</f>
        <v>2.78283479386854E-005</v>
      </c>
      <c r="D71" s="4" t="str">
        <f aca="false">IF(OR(AND(Binomial!$B$8="inferior",A71&lt;Binomial!$B$5),AND(Binomial!$B$8="superior",A71&gt;Binomial!$B$5)),"sí","no")</f>
        <v>no</v>
      </c>
    </row>
    <row r="72" customFormat="false" ht="15" hidden="false" customHeight="false" outlineLevel="0" collapsed="false">
      <c r="A72" s="13" t="n">
        <v>0.68</v>
      </c>
      <c r="B72" s="14" t="n">
        <f aca="false">1-IF(Binomial!$B$8="inferior",BINOMDIST(Binomial!$B$7,Binomial!$B$4,A72,TRUE()),IF(Binomial!$B$7&lt;=0,1,1-BINOMDIST(Binomial!$B$7-1,Binomial!$B$4,A72,TRUE())))</f>
        <v>0.99998084549125</v>
      </c>
      <c r="C72" s="14" t="n">
        <f aca="false">1-B72</f>
        <v>1.91545087503409E-005</v>
      </c>
      <c r="D72" s="4" t="str">
        <f aca="false">IF(OR(AND(Binomial!$B$8="inferior",A72&lt;Binomial!$B$5),AND(Binomial!$B$8="superior",A72&gt;Binomial!$B$5)),"sí","no")</f>
        <v>no</v>
      </c>
    </row>
    <row r="73" customFormat="false" ht="15" hidden="false" customHeight="false" outlineLevel="0" collapsed="false">
      <c r="A73" s="13" t="n">
        <v>0.69</v>
      </c>
      <c r="B73" s="14" t="n">
        <f aca="false">1-IF(Binomial!$B$8="inferior",BINOMDIST(Binomial!$B$7,Binomial!$B$4,A73,TRUE()),IF(Binomial!$B$7&lt;=0,1,1-BINOMDIST(Binomial!$B$7-1,Binomial!$B$4,A73,TRUE())))</f>
        <v>0.999986986644283</v>
      </c>
      <c r="C73" s="14" t="n">
        <f aca="false">1-B73</f>
        <v>1.30133557167955E-005</v>
      </c>
      <c r="D73" s="4" t="str">
        <f aca="false">IF(OR(AND(Binomial!$B$8="inferior",A73&lt;Binomial!$B$5),AND(Binomial!$B$8="superior",A73&gt;Binomial!$B$5)),"sí","no")</f>
        <v>no</v>
      </c>
    </row>
    <row r="74" customFormat="false" ht="15" hidden="false" customHeight="false" outlineLevel="0" collapsed="false">
      <c r="A74" s="13" t="n">
        <v>0.7</v>
      </c>
      <c r="B74" s="14" t="n">
        <f aca="false">1-IF(Binomial!$B$8="inferior",BINOMDIST(Binomial!$B$7,Binomial!$B$4,A74,TRUE()),IF(Binomial!$B$7&lt;=0,1,1-BINOMDIST(Binomial!$B$7-1,Binomial!$B$4,A74,TRUE())))</f>
        <v>0.999991280647513</v>
      </c>
      <c r="C74" s="14" t="n">
        <f aca="false">1-B74</f>
        <v>8.71935248702993E-006</v>
      </c>
      <c r="D74" s="4" t="str">
        <f aca="false">IF(OR(AND(Binomial!$B$8="inferior",A74&lt;Binomial!$B$5),AND(Binomial!$B$8="superior",A74&gt;Binomial!$B$5)),"sí","no")</f>
        <v>no</v>
      </c>
    </row>
    <row r="75" customFormat="false" ht="15" hidden="false" customHeight="false" outlineLevel="0" collapsed="false">
      <c r="A75" s="13" t="n">
        <v>0.71</v>
      </c>
      <c r="B75" s="14" t="n">
        <f aca="false">1-IF(Binomial!$B$8="inferior",BINOMDIST(Binomial!$B$7,Binomial!$B$4,A75,TRUE()),IF(Binomial!$B$7&lt;=0,1,1-BINOMDIST(Binomial!$B$7-1,Binomial!$B$4,A75,TRUE())))</f>
        <v>0.999994243469213</v>
      </c>
      <c r="C75" s="14" t="n">
        <f aca="false">1-B75</f>
        <v>5.75653078749294E-006</v>
      </c>
      <c r="D75" s="4" t="str">
        <f aca="false">IF(OR(AND(Binomial!$B$8="inferior",A75&lt;Binomial!$B$5),AND(Binomial!$B$8="superior",A75&gt;Binomial!$B$5)),"sí","no")</f>
        <v>no</v>
      </c>
    </row>
    <row r="76" customFormat="false" ht="15" hidden="false" customHeight="false" outlineLevel="0" collapsed="false">
      <c r="A76" s="13" t="n">
        <v>0.72</v>
      </c>
      <c r="B76" s="14" t="n">
        <f aca="false">1-IF(Binomial!$B$8="inferior",BINOMDIST(Binomial!$B$7,Binomial!$B$4,A76,TRUE()),IF(Binomial!$B$7&lt;=0,1,1-BINOMDIST(Binomial!$B$7-1,Binomial!$B$4,A76,TRUE())))</f>
        <v>0.999996259049206</v>
      </c>
      <c r="C76" s="14" t="n">
        <f aca="false">1-B76</f>
        <v>3.74095079425096E-006</v>
      </c>
      <c r="D76" s="4" t="str">
        <f aca="false">IF(OR(AND(Binomial!$B$8="inferior",A76&lt;Binomial!$B$5),AND(Binomial!$B$8="superior",A76&gt;Binomial!$B$5)),"sí","no")</f>
        <v>no</v>
      </c>
    </row>
    <row r="77" customFormat="false" ht="15" hidden="false" customHeight="false" outlineLevel="0" collapsed="false">
      <c r="A77" s="13" t="n">
        <v>0.73</v>
      </c>
      <c r="B77" s="14" t="n">
        <f aca="false">1-IF(Binomial!$B$8="inferior",BINOMDIST(Binomial!$B$7,Binomial!$B$4,A77,TRUE()),IF(Binomial!$B$7&lt;=0,1,1-BINOMDIST(Binomial!$B$7-1,Binomial!$B$4,A77,TRUE())))</f>
        <v>0.999997609644921</v>
      </c>
      <c r="C77" s="14" t="n">
        <f aca="false">1-B77</f>
        <v>2.39035507887397E-006</v>
      </c>
      <c r="D77" s="4" t="str">
        <f aca="false">IF(OR(AND(Binomial!$B$8="inferior",A77&lt;Binomial!$B$5),AND(Binomial!$B$8="superior",A77&gt;Binomial!$B$5)),"sí","no")</f>
        <v>no</v>
      </c>
    </row>
    <row r="78" customFormat="false" ht="15" hidden="false" customHeight="false" outlineLevel="0" collapsed="false">
      <c r="A78" s="13" t="n">
        <v>0.74</v>
      </c>
      <c r="B78" s="14" t="n">
        <f aca="false">1-IF(Binomial!$B$8="inferior",BINOMDIST(Binomial!$B$7,Binomial!$B$4,A78,TRUE()),IF(Binomial!$B$7&lt;=0,1,1-BINOMDIST(Binomial!$B$7-1,Binomial!$B$4,A78,TRUE())))</f>
        <v>0.99999850010339</v>
      </c>
      <c r="C78" s="14" t="n">
        <f aca="false">1-B78</f>
        <v>1.49989661024641E-006</v>
      </c>
      <c r="D78" s="4" t="str">
        <f aca="false">IF(OR(AND(Binomial!$B$8="inferior",A78&lt;Binomial!$B$5),AND(Binomial!$B$8="superior",A78&gt;Binomial!$B$5)),"sí","no")</f>
        <v>no</v>
      </c>
    </row>
    <row r="79" customFormat="false" ht="15" hidden="false" customHeight="false" outlineLevel="0" collapsed="false">
      <c r="A79" s="13" t="n">
        <v>0.75</v>
      </c>
      <c r="B79" s="14" t="n">
        <f aca="false">1-IF(Binomial!$B$8="inferior",BINOMDIST(Binomial!$B$7,Binomial!$B$4,A79,TRUE()),IF(Binomial!$B$7&lt;=0,1,1-BINOMDIST(Binomial!$B$7-1,Binomial!$B$4,A79,TRUE())))</f>
        <v>0.999999077059329</v>
      </c>
      <c r="C79" s="14" t="n">
        <f aca="false">1-B79</f>
        <v>9.22940671443939E-007</v>
      </c>
      <c r="D79" s="4" t="str">
        <f aca="false">IF(OR(AND(Binomial!$B$8="inferior",A79&lt;Binomial!$B$5),AND(Binomial!$B$8="superior",A79&gt;Binomial!$B$5)),"sí","no")</f>
        <v>no</v>
      </c>
    </row>
    <row r="80" customFormat="false" ht="15" hidden="false" customHeight="false" outlineLevel="0" collapsed="false">
      <c r="A80" s="13" t="n">
        <v>0.76</v>
      </c>
      <c r="B80" s="14" t="n">
        <f aca="false">1-IF(Binomial!$B$8="inferior",BINOMDIST(Binomial!$B$7,Binomial!$B$4,A80,TRUE()),IF(Binomial!$B$7&lt;=0,1,1-BINOMDIST(Binomial!$B$7-1,Binomial!$B$4,A80,TRUE())))</f>
        <v>0.999999443941774</v>
      </c>
      <c r="C80" s="14" t="n">
        <f aca="false">1-B80</f>
        <v>5.5605822568694E-007</v>
      </c>
      <c r="D80" s="4" t="str">
        <f aca="false">IF(OR(AND(Binomial!$B$8="inferior",A80&lt;Binomial!$B$5),AND(Binomial!$B$8="superior",A80&gt;Binomial!$B$5)),"sí","no")</f>
        <v>no</v>
      </c>
    </row>
    <row r="81" customFormat="false" ht="15" hidden="false" customHeight="false" outlineLevel="0" collapsed="false">
      <c r="A81" s="13" t="n">
        <v>0.77</v>
      </c>
      <c r="B81" s="14" t="n">
        <f aca="false">1-IF(Binomial!$B$8="inferior",BINOMDIST(Binomial!$B$7,Binomial!$B$4,A81,TRUE()),IF(Binomial!$B$7&lt;=0,1,1-BINOMDIST(Binomial!$B$7-1,Binomial!$B$4,A81,TRUE())))</f>
        <v>0.999999672558322</v>
      </c>
      <c r="C81" s="14" t="n">
        <f aca="false">1-B81</f>
        <v>3.27441678105167E-007</v>
      </c>
      <c r="D81" s="4" t="str">
        <f aca="false">IF(OR(AND(Binomial!$B$8="inferior",A81&lt;Binomial!$B$5),AND(Binomial!$B$8="superior",A81&gt;Binomial!$B$5)),"sí","no")</f>
        <v>no</v>
      </c>
    </row>
    <row r="82" customFormat="false" ht="15" hidden="false" customHeight="false" outlineLevel="0" collapsed="false">
      <c r="A82" s="13" t="n">
        <v>0.78</v>
      </c>
      <c r="B82" s="14" t="n">
        <f aca="false">1-IF(Binomial!$B$8="inferior",BINOMDIST(Binomial!$B$7,Binomial!$B$4,A82,TRUE()),IF(Binomial!$B$7&lt;=0,1,1-BINOMDIST(Binomial!$B$7-1,Binomial!$B$4,A82,TRUE())))</f>
        <v>0.999999811918868</v>
      </c>
      <c r="C82" s="14" t="n">
        <f aca="false">1-B82</f>
        <v>1.88081132113105E-007</v>
      </c>
      <c r="D82" s="4" t="str">
        <f aca="false">IF(OR(AND(Binomial!$B$8="inferior",A82&lt;Binomial!$B$5),AND(Binomial!$B$8="superior",A82&gt;Binomial!$B$5)),"sí","no")</f>
        <v>no</v>
      </c>
    </row>
    <row r="83" customFormat="false" ht="15" hidden="false" customHeight="false" outlineLevel="0" collapsed="false">
      <c r="A83" s="13" t="n">
        <v>0.79</v>
      </c>
      <c r="B83" s="14" t="n">
        <f aca="false">1-IF(Binomial!$B$8="inferior",BINOMDIST(Binomial!$B$7,Binomial!$B$4,A83,TRUE()),IF(Binomial!$B$7&lt;=0,1,1-BINOMDIST(Binomial!$B$7-1,Binomial!$B$4,A83,TRUE())))</f>
        <v>0.999999894861311</v>
      </c>
      <c r="C83" s="14" t="n">
        <f aca="false">1-B83</f>
        <v>1.05138688977213E-007</v>
      </c>
      <c r="D83" s="4" t="str">
        <f aca="false">IF(OR(AND(Binomial!$B$8="inferior",A83&lt;Binomial!$B$5),AND(Binomial!$B$8="superior",A83&gt;Binomial!$B$5)),"sí","no")</f>
        <v>no</v>
      </c>
    </row>
    <row r="84" customFormat="false" ht="15" hidden="false" customHeight="false" outlineLevel="0" collapsed="false">
      <c r="A84" s="13" t="n">
        <v>0.8</v>
      </c>
      <c r="B84" s="14" t="n">
        <f aca="false">1-IF(Binomial!$B$8="inferior",BINOMDIST(Binomial!$B$7,Binomial!$B$4,A84,TRUE()),IF(Binomial!$B$7&lt;=0,1,1-BINOMDIST(Binomial!$B$7-1,Binomial!$B$4,A84,TRUE())))</f>
        <v>0.999999942950912</v>
      </c>
      <c r="C84" s="14" t="n">
        <f aca="false">1-B84</f>
        <v>5.70490880091867E-008</v>
      </c>
      <c r="D84" s="4" t="str">
        <f aca="false">IF(OR(AND(Binomial!$B$8="inferior",A84&lt;Binomial!$B$5),AND(Binomial!$B$8="superior",A84&gt;Binomial!$B$5)),"sí","no")</f>
        <v>no</v>
      </c>
    </row>
    <row r="85" customFormat="false" ht="15" hidden="false" customHeight="false" outlineLevel="0" collapsed="false">
      <c r="A85" s="13" t="n">
        <v>0.81</v>
      </c>
      <c r="B85" s="14" t="n">
        <f aca="false">1-IF(Binomial!$B$8="inferior",BINOMDIST(Binomial!$B$7,Binomial!$B$4,A85,TRUE()),IF(Binomial!$B$7&lt;=0,1,1-BINOMDIST(Binomial!$B$7-1,Binomial!$B$4,A85,TRUE())))</f>
        <v>0.999999970043515</v>
      </c>
      <c r="C85" s="14" t="n">
        <f aca="false">1-B85</f>
        <v>2.99564848482703E-008</v>
      </c>
      <c r="D85" s="4" t="str">
        <f aca="false">IF(OR(AND(Binomial!$B$8="inferior",A85&lt;Binomial!$B$5),AND(Binomial!$B$8="superior",A85&gt;Binomial!$B$5)),"sí","no")</f>
        <v>no</v>
      </c>
    </row>
    <row r="86" customFormat="false" ht="15" hidden="false" customHeight="false" outlineLevel="0" collapsed="false">
      <c r="A86" s="13" t="n">
        <v>0.82</v>
      </c>
      <c r="B86" s="14" t="n">
        <f aca="false">1-IF(Binomial!$B$8="inferior",BINOMDIST(Binomial!$B$7,Binomial!$B$4,A86,TRUE()),IF(Binomial!$B$7&lt;=0,1,1-BINOMDIST(Binomial!$B$7-1,Binomial!$B$4,A86,TRUE())))</f>
        <v>0.999999984830803</v>
      </c>
      <c r="C86" s="14" t="n">
        <f aca="false">1-B86</f>
        <v>1.51691967875678E-008</v>
      </c>
      <c r="D86" s="4" t="str">
        <f aca="false">IF(OR(AND(Binomial!$B$8="inferior",A86&lt;Binomial!$B$5),AND(Binomial!$B$8="superior",A86&gt;Binomial!$B$5)),"sí","no")</f>
        <v>no</v>
      </c>
    </row>
    <row r="87" customFormat="false" ht="15" hidden="false" customHeight="false" outlineLevel="0" collapsed="false">
      <c r="A87" s="13" t="n">
        <v>0.83</v>
      </c>
      <c r="B87" s="14" t="n">
        <f aca="false">1-IF(Binomial!$B$8="inferior",BINOMDIST(Binomial!$B$7,Binomial!$B$4,A87,TRUE()),IF(Binomial!$B$7&lt;=0,1,1-BINOMDIST(Binomial!$B$7-1,Binomial!$B$4,A87,TRUE())))</f>
        <v>0.99999999262308</v>
      </c>
      <c r="C87" s="14" t="n">
        <f aca="false">1-B87</f>
        <v>7.37691985275291E-009</v>
      </c>
      <c r="D87" s="4" t="str">
        <f aca="false">IF(OR(AND(Binomial!$B$8="inferior",A87&lt;Binomial!$B$5),AND(Binomial!$B$8="superior",A87&gt;Binomial!$B$5)),"sí","no")</f>
        <v>no</v>
      </c>
    </row>
    <row r="88" customFormat="false" ht="15" hidden="false" customHeight="false" outlineLevel="0" collapsed="false">
      <c r="A88" s="13" t="n">
        <v>0.84</v>
      </c>
      <c r="B88" s="14" t="n">
        <f aca="false">1-IF(Binomial!$B$8="inferior",BINOMDIST(Binomial!$B$7,Binomial!$B$4,A88,TRUE()),IF(Binomial!$B$7&lt;=0,1,1-BINOMDIST(Binomial!$B$7-1,Binomial!$B$4,A88,TRUE())))</f>
        <v>0.999999996571428</v>
      </c>
      <c r="C88" s="14" t="n">
        <f aca="false">1-B88</f>
        <v>3.4285724259675E-009</v>
      </c>
      <c r="D88" s="4" t="str">
        <f aca="false">IF(OR(AND(Binomial!$B$8="inferior",A88&lt;Binomial!$B$5),AND(Binomial!$B$8="superior",A88&gt;Binomial!$B$5)),"sí","no")</f>
        <v>no</v>
      </c>
    </row>
    <row r="89" customFormat="false" ht="15" hidden="false" customHeight="false" outlineLevel="0" collapsed="false">
      <c r="A89" s="13" t="n">
        <v>0.85</v>
      </c>
      <c r="B89" s="14" t="n">
        <f aca="false">1-IF(Binomial!$B$8="inferior",BINOMDIST(Binomial!$B$7,Binomial!$B$4,A89,TRUE()),IF(Binomial!$B$7&lt;=0,1,1-BINOMDIST(Binomial!$B$7-1,Binomial!$B$4,A89,TRUE())))</f>
        <v>0.999999998485909</v>
      </c>
      <c r="C89" s="14" t="n">
        <f aca="false">1-B89</f>
        <v>1.5140910747391E-009</v>
      </c>
      <c r="D89" s="4" t="str">
        <f aca="false">IF(OR(AND(Binomial!$B$8="inferior",A89&lt;Binomial!$B$5),AND(Binomial!$B$8="superior",A89&gt;Binomial!$B$5)),"sí","no")</f>
        <v>no</v>
      </c>
    </row>
    <row r="90" customFormat="false" ht="15" hidden="false" customHeight="false" outlineLevel="0" collapsed="false">
      <c r="A90" s="13" t="n">
        <v>0.86</v>
      </c>
      <c r="B90" s="14" t="n">
        <f aca="false">1-IF(Binomial!$B$8="inferior",BINOMDIST(Binomial!$B$7,Binomial!$B$4,A90,TRUE()),IF(Binomial!$B$7&lt;=0,1,1-BINOMDIST(Binomial!$B$7-1,Binomial!$B$4,A90,TRUE())))</f>
        <v>0.999999999369127</v>
      </c>
      <c r="C90" s="14" t="n">
        <f aca="false">1-B90</f>
        <v>6.30873020490697E-010</v>
      </c>
      <c r="D90" s="4" t="str">
        <f aca="false">IF(OR(AND(Binomial!$B$8="inferior",A90&lt;Binomial!$B$5),AND(Binomial!$B$8="superior",A90&gt;Binomial!$B$5)),"sí","no")</f>
        <v>no</v>
      </c>
    </row>
    <row r="91" customFormat="false" ht="15" hidden="false" customHeight="false" outlineLevel="0" collapsed="false">
      <c r="A91" s="13" t="n">
        <v>0.87</v>
      </c>
      <c r="B91" s="14" t="n">
        <f aca="false">1-IF(Binomial!$B$8="inferior",BINOMDIST(Binomial!$B$7,Binomial!$B$4,A91,TRUE()),IF(Binomial!$B$7&lt;=0,1,1-BINOMDIST(Binomial!$B$7-1,Binomial!$B$4,A91,TRUE())))</f>
        <v>0.999999999754102</v>
      </c>
      <c r="C91" s="14" t="n">
        <f aca="false">1-B91</f>
        <v>2.45897968653708E-010</v>
      </c>
      <c r="D91" s="4" t="str">
        <f aca="false">IF(OR(AND(Binomial!$B$8="inferior",A91&lt;Binomial!$B$5),AND(Binomial!$B$8="superior",A91&gt;Binomial!$B$5)),"sí","no")</f>
        <v>no</v>
      </c>
    </row>
    <row r="92" customFormat="false" ht="15" hidden="false" customHeight="false" outlineLevel="0" collapsed="false">
      <c r="A92" s="13" t="n">
        <v>0.88</v>
      </c>
      <c r="B92" s="14" t="n">
        <f aca="false">1-IF(Binomial!$B$8="inferior",BINOMDIST(Binomial!$B$7,Binomial!$B$4,A92,TRUE()),IF(Binomial!$B$7&lt;=0,1,1-BINOMDIST(Binomial!$B$7-1,Binomial!$B$4,A92,TRUE())))</f>
        <v>0.999999999911292</v>
      </c>
      <c r="C92" s="14" t="n">
        <f aca="false">1-B92</f>
        <v>8.8708485002087E-011</v>
      </c>
      <c r="D92" s="4" t="str">
        <f aca="false">IF(OR(AND(Binomial!$B$8="inferior",A92&lt;Binomial!$B$5),AND(Binomial!$B$8="superior",A92&gt;Binomial!$B$5)),"sí","no")</f>
        <v>no</v>
      </c>
    </row>
    <row r="93" customFormat="false" ht="15" hidden="false" customHeight="false" outlineLevel="0" collapsed="false">
      <c r="A93" s="13" t="n">
        <v>0.89</v>
      </c>
      <c r="B93" s="14" t="n">
        <f aca="false">1-IF(Binomial!$B$8="inferior",BINOMDIST(Binomial!$B$7,Binomial!$B$4,A93,TRUE()),IF(Binomial!$B$7&lt;=0,1,1-BINOMDIST(Binomial!$B$7-1,Binomial!$B$4,A93,TRUE())))</f>
        <v>0.999999999970776</v>
      </c>
      <c r="C93" s="14" t="n">
        <f aca="false">1-B93</f>
        <v>2.92238455656957E-011</v>
      </c>
      <c r="D93" s="4" t="str">
        <f aca="false">IF(OR(AND(Binomial!$B$8="inferior",A93&lt;Binomial!$B$5),AND(Binomial!$B$8="superior",A93&gt;Binomial!$B$5)),"sí","no")</f>
        <v>no</v>
      </c>
    </row>
    <row r="94" customFormat="false" ht="15" hidden="false" customHeight="false" outlineLevel="0" collapsed="false">
      <c r="A94" s="13" t="n">
        <v>0.9</v>
      </c>
      <c r="B94" s="14" t="n">
        <f aca="false">1-IF(Binomial!$B$8="inferior",BINOMDIST(Binomial!$B$7,Binomial!$B$4,A94,TRUE()),IF(Binomial!$B$7&lt;=0,1,1-BINOMDIST(Binomial!$B$7-1,Binomial!$B$4,A94,TRUE())))</f>
        <v>0.999999999991359</v>
      </c>
      <c r="C94" s="14" t="n">
        <f aca="false">1-B94</f>
        <v>8.64097682296006E-012</v>
      </c>
      <c r="D94" s="4" t="str">
        <f aca="false">IF(OR(AND(Binomial!$B$8="inferior",A94&lt;Binomial!$B$5),AND(Binomial!$B$8="superior",A94&gt;Binomial!$B$5)),"sí","no")</f>
        <v>no</v>
      </c>
    </row>
    <row r="95" customFormat="false" ht="15" hidden="false" customHeight="false" outlineLevel="0" collapsed="false">
      <c r="A95" s="13" t="n">
        <v>0.91</v>
      </c>
      <c r="B95" s="14" t="n">
        <f aca="false">1-IF(Binomial!$B$8="inferior",BINOMDIST(Binomial!$B$7,Binomial!$B$4,A95,TRUE()),IF(Binomial!$B$7&lt;=0,1,1-BINOMDIST(Binomial!$B$7-1,Binomial!$B$4,A95,TRUE())))</f>
        <v>0.999999999997758</v>
      </c>
      <c r="C95" s="14" t="n">
        <f aca="false">1-B95</f>
        <v>2.24165130902065E-012</v>
      </c>
      <c r="D95" s="4" t="str">
        <f aca="false">IF(OR(AND(Binomial!$B$8="inferior",A95&lt;Binomial!$B$5),AND(Binomial!$B$8="superior",A95&gt;Binomial!$B$5)),"sí","no")</f>
        <v>no</v>
      </c>
    </row>
    <row r="96" customFormat="false" ht="15" hidden="false" customHeight="false" outlineLevel="0" collapsed="false">
      <c r="A96" s="13" t="n">
        <v>0.92</v>
      </c>
      <c r="B96" s="14" t="n">
        <f aca="false">1-IF(Binomial!$B$8="inferior",BINOMDIST(Binomial!$B$7,Binomial!$B$4,A96,TRUE()),IF(Binomial!$B$7&lt;=0,1,1-BINOMDIST(Binomial!$B$7-1,Binomial!$B$4,A96,TRUE())))</f>
        <v>0.999999999999505</v>
      </c>
      <c r="C96" s="14" t="n">
        <f aca="false">1-B96</f>
        <v>4.9471537977297E-013</v>
      </c>
      <c r="D96" s="4" t="str">
        <f aca="false">IF(OR(AND(Binomial!$B$8="inferior",A96&lt;Binomial!$B$5),AND(Binomial!$B$8="superior",A96&gt;Binomial!$B$5)),"sí","no")</f>
        <v>no</v>
      </c>
    </row>
    <row r="97" customFormat="false" ht="15" hidden="false" customHeight="false" outlineLevel="0" collapsed="false">
      <c r="A97" s="13" t="n">
        <v>0.93</v>
      </c>
      <c r="B97" s="14" t="n">
        <f aca="false">1-IF(Binomial!$B$8="inferior",BINOMDIST(Binomial!$B$7,Binomial!$B$4,A97,TRUE()),IF(Binomial!$B$7&lt;=0,1,1-BINOMDIST(Binomial!$B$7-1,Binomial!$B$4,A97,TRUE())))</f>
        <v>0.999999999999911</v>
      </c>
      <c r="C97" s="14" t="n">
        <f aca="false">1-B97</f>
        <v>8.8928864272475E-014</v>
      </c>
      <c r="D97" s="4" t="str">
        <f aca="false">IF(OR(AND(Binomial!$B$8="inferior",A97&lt;Binomial!$B$5),AND(Binomial!$B$8="superior",A97&gt;Binomial!$B$5)),"sí","no")</f>
        <v>no</v>
      </c>
    </row>
    <row r="98" customFormat="false" ht="15" hidden="false" customHeight="false" outlineLevel="0" collapsed="false">
      <c r="A98" s="13" t="n">
        <v>0.94</v>
      </c>
      <c r="B98" s="14" t="n">
        <f aca="false">1-IF(Binomial!$B$8="inferior",BINOMDIST(Binomial!$B$7,Binomial!$B$4,A98,TRUE()),IF(Binomial!$B$7&lt;=0,1,1-BINOMDIST(Binomial!$B$7-1,Binomial!$B$4,A98,TRUE())))</f>
        <v>0.999999999999988</v>
      </c>
      <c r="C98" s="14" t="n">
        <f aca="false">1-B98</f>
        <v>1.22124532708767E-014</v>
      </c>
      <c r="D98" s="4" t="str">
        <f aca="false">IF(OR(AND(Binomial!$B$8="inferior",A98&lt;Binomial!$B$5),AND(Binomial!$B$8="superior",A98&gt;Binomial!$B$5)),"sí","no")</f>
        <v>no</v>
      </c>
    </row>
    <row r="99" customFormat="false" ht="15" hidden="false" customHeight="false" outlineLevel="0" collapsed="false">
      <c r="A99" s="13" t="n">
        <v>0.95</v>
      </c>
      <c r="B99" s="14" t="n">
        <f aca="false">1-IF(Binomial!$B$8="inferior",BINOMDIST(Binomial!$B$7,Binomial!$B$4,A99,TRUE()),IF(Binomial!$B$7&lt;=0,1,1-BINOMDIST(Binomial!$B$7-1,Binomial!$B$4,A99,TRUE())))</f>
        <v>0.999999999999999</v>
      </c>
      <c r="C99" s="14" t="n">
        <f aca="false">1-B99</f>
        <v>0</v>
      </c>
      <c r="D99" s="4" t="str">
        <f aca="false">IF(OR(AND(Binomial!$B$8="inferior",A99&lt;Binomial!$B$5),AND(Binomial!$B$8="superior",A99&gt;Binomial!$B$5)),"sí","no")</f>
        <v>no</v>
      </c>
    </row>
    <row r="100" customFormat="false" ht="15" hidden="false" customHeight="false" outlineLevel="0" collapsed="false">
      <c r="A100" s="13" t="n">
        <v>0.96</v>
      </c>
      <c r="B100" s="14" t="n">
        <f aca="false">1-IF(Binomial!$B$8="inferior",BINOMDIST(Binomial!$B$7,Binomial!$B$4,A100,TRUE()),IF(Binomial!$B$7&lt;=0,1,1-BINOMDIST(Binomial!$B$7-1,Binomial!$B$4,A100,TRUE())))</f>
        <v>1</v>
      </c>
      <c r="C100" s="14" t="n">
        <f aca="false">1-B100</f>
        <v>0</v>
      </c>
      <c r="D100" s="4" t="str">
        <f aca="false">IF(OR(AND(Binomial!$B$8="inferior",A100&lt;Binomial!$B$5),AND(Binomial!$B$8="superior",A100&gt;Binomial!$B$5)),"sí","no")</f>
        <v>no</v>
      </c>
    </row>
    <row r="101" customFormat="false" ht="15" hidden="false" customHeight="false" outlineLevel="0" collapsed="false">
      <c r="A101" s="13" t="n">
        <v>0.97</v>
      </c>
      <c r="B101" s="14" t="n">
        <f aca="false">1-IF(Binomial!$B$8="inferior",BINOMDIST(Binomial!$B$7,Binomial!$B$4,A101,TRUE()),IF(Binomial!$B$7&lt;=0,1,1-BINOMDIST(Binomial!$B$7-1,Binomial!$B$4,A101,TRUE())))</f>
        <v>1</v>
      </c>
      <c r="C101" s="14" t="n">
        <f aca="false">1-B101</f>
        <v>0</v>
      </c>
      <c r="D101" s="4" t="str">
        <f aca="false">IF(OR(AND(Binomial!$B$8="inferior",A101&lt;Binomial!$B$5),AND(Binomial!$B$8="superior",A101&gt;Binomial!$B$5)),"sí","no")</f>
        <v>no</v>
      </c>
    </row>
    <row r="102" customFormat="false" ht="15" hidden="false" customHeight="false" outlineLevel="0" collapsed="false">
      <c r="A102" s="13" t="n">
        <v>0.98</v>
      </c>
      <c r="B102" s="14" t="n">
        <f aca="false">1-IF(Binomial!$B$8="inferior",BINOMDIST(Binomial!$B$7,Binomial!$B$4,A102,TRUE()),IF(Binomial!$B$7&lt;=0,1,1-BINOMDIST(Binomial!$B$7-1,Binomial!$B$4,A102,TRUE())))</f>
        <v>1</v>
      </c>
      <c r="C102" s="14" t="n">
        <f aca="false">1-B102</f>
        <v>0</v>
      </c>
      <c r="D102" s="4" t="str">
        <f aca="false">IF(OR(AND(Binomial!$B$8="inferior",A102&lt;Binomial!$B$5),AND(Binomial!$B$8="superior",A102&gt;Binomial!$B$5)),"sí","no")</f>
        <v>no</v>
      </c>
    </row>
    <row r="103" customFormat="false" ht="15" hidden="false" customHeight="false" outlineLevel="0" collapsed="false">
      <c r="A103" s="13" t="n">
        <v>0.99</v>
      </c>
      <c r="B103" s="14" t="n">
        <f aca="false">1-IF(Binomial!$B$8="inferior",BINOMDIST(Binomial!$B$7,Binomial!$B$4,A103,TRUE()),IF(Binomial!$B$7&lt;=0,1,1-BINOMDIST(Binomial!$B$7-1,Binomial!$B$4,A103,TRUE())))</f>
        <v>1</v>
      </c>
      <c r="C103" s="14" t="n">
        <f aca="false">1-B103</f>
        <v>0</v>
      </c>
      <c r="D103" s="4" t="str">
        <f aca="false">IF(OR(AND(Binomial!$B$8="inferior",A103&lt;Binomial!$B$5),AND(Binomial!$B$8="superior",A103&gt;Binomial!$B$5)),"sí","no")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3" customFormat="false" ht="15" hidden="false" customHeight="false" outlineLevel="0" collapsed="false">
      <c r="A3" s="5" t="s">
        <v>19</v>
      </c>
      <c r="D3" s="5" t="s">
        <v>43</v>
      </c>
    </row>
    <row r="4" customFormat="false" ht="15" hidden="false" customHeight="false" outlineLevel="0" collapsed="false">
      <c r="A4" s="4" t="s">
        <v>44</v>
      </c>
      <c r="B4" s="7" t="n">
        <v>0</v>
      </c>
      <c r="D4" s="4" t="s">
        <v>45</v>
      </c>
      <c r="E4" s="15" t="n">
        <v>-0.329</v>
      </c>
    </row>
    <row r="5" customFormat="false" ht="15" hidden="false" customHeight="false" outlineLevel="0" collapsed="false">
      <c r="A5" s="4" t="s">
        <v>46</v>
      </c>
      <c r="B5" s="7" t="n">
        <v>-0.4</v>
      </c>
      <c r="D5" s="4" t="s">
        <v>47</v>
      </c>
      <c r="E5" s="14" t="n">
        <f aca="false">IF(B9="superior",1-NORMDIST(E4,B4,B12,TRUE()),NORMDIST(E4,B4,B12,TRUE()))</f>
        <v>0.0499849055391214</v>
      </c>
    </row>
    <row r="6" customFormat="false" ht="15" hidden="false" customHeight="false" outlineLevel="0" collapsed="false">
      <c r="A6" s="4" t="s">
        <v>48</v>
      </c>
      <c r="B6" s="7" t="n">
        <v>1</v>
      </c>
      <c r="D6" s="4" t="s">
        <v>49</v>
      </c>
      <c r="E6" s="14" t="n">
        <f aca="false">IF(B9="superior",NORMDIST(E4,B5,B12,TRUE()),1-NORMDIST(E4,B5,B12,TRUE()))</f>
        <v>0.361294795616313</v>
      </c>
    </row>
    <row r="7" customFormat="false" ht="15" hidden="false" customHeight="false" outlineLevel="0" collapsed="false">
      <c r="A7" s="4" t="s">
        <v>50</v>
      </c>
      <c r="B7" s="6" t="n">
        <v>25</v>
      </c>
    </row>
    <row r="8" customFormat="false" ht="15" hidden="false" customHeight="false" outlineLevel="0" collapsed="false">
      <c r="A8" s="4" t="s">
        <v>51</v>
      </c>
      <c r="B8" s="7" t="n">
        <v>0.05</v>
      </c>
      <c r="D8" s="2" t="s">
        <v>52</v>
      </c>
    </row>
    <row r="9" customFormat="false" ht="15" hidden="false" customHeight="false" outlineLevel="0" collapsed="false">
      <c r="A9" s="4" t="s">
        <v>24</v>
      </c>
      <c r="B9" s="8" t="s">
        <v>25</v>
      </c>
    </row>
    <row r="11" customFormat="false" ht="15" hidden="false" customHeight="false" outlineLevel="0" collapsed="false">
      <c r="A11" s="5" t="s">
        <v>26</v>
      </c>
    </row>
    <row r="12" customFormat="false" ht="15" hidden="false" customHeight="false" outlineLevel="0" collapsed="false">
      <c r="A12" s="4" t="s">
        <v>53</v>
      </c>
      <c r="B12" s="14" t="n">
        <f aca="false">B6/SQRT(B7)</f>
        <v>0.2</v>
      </c>
    </row>
    <row r="13" customFormat="false" ht="15" hidden="false" customHeight="false" outlineLevel="0" collapsed="false">
      <c r="A13" s="4" t="s">
        <v>54</v>
      </c>
      <c r="B13" s="14" t="n">
        <f aca="false">NORMSINV(1-B8)</f>
        <v>1.64485362695147</v>
      </c>
    </row>
    <row r="14" customFormat="false" ht="15" hidden="false" customHeight="false" outlineLevel="0" collapsed="false">
      <c r="A14" s="4" t="s">
        <v>55</v>
      </c>
      <c r="B14" s="14" t="n">
        <f aca="false">IF(B9="superior",B4+B13*B12,B4-B13*B12)</f>
        <v>-0.328970725390294</v>
      </c>
    </row>
    <row r="15" customFormat="false" ht="15" hidden="false" customHeight="false" outlineLevel="0" collapsed="false">
      <c r="A15" s="4" t="s">
        <v>56</v>
      </c>
      <c r="B15" s="9" t="n">
        <f aca="false">IF(B9="superior",1-NORMDIST(B14,B4,B12,TRUE()),NORMDIST(B14,B4,B12,TRUE()))</f>
        <v>0.0500000000000001</v>
      </c>
    </row>
    <row r="16" customFormat="false" ht="15" hidden="false" customHeight="false" outlineLevel="0" collapsed="false">
      <c r="A16" s="4" t="s">
        <v>57</v>
      </c>
      <c r="B16" s="9" t="n">
        <f aca="false">IF(B9="superior",NORMDIST(B14,B5,B12,TRUE()),1-NORMDIST(B14,B5,B12,TRUE()))</f>
        <v>0.361239968687665</v>
      </c>
    </row>
    <row r="17" customFormat="false" ht="15" hidden="false" customHeight="false" outlineLevel="0" collapsed="false">
      <c r="A17" s="4" t="s">
        <v>58</v>
      </c>
      <c r="B17" s="9" t="n">
        <f aca="false">1-B16</f>
        <v>0.638760031312336</v>
      </c>
    </row>
    <row r="19" customFormat="false" ht="15" hidden="false" customHeight="false" outlineLevel="0" collapsed="false">
      <c r="A19" s="5" t="s">
        <v>59</v>
      </c>
    </row>
    <row r="20" customFormat="false" ht="15" hidden="false" customHeight="false" outlineLevel="0" collapsed="false">
      <c r="A20" s="4" t="s">
        <v>60</v>
      </c>
      <c r="B20" s="7" t="n">
        <v>0.1</v>
      </c>
    </row>
    <row r="21" customFormat="false" ht="15" hidden="false" customHeight="false" outlineLevel="0" collapsed="false">
      <c r="A21" s="4" t="s">
        <v>61</v>
      </c>
      <c r="B21" s="14" t="n">
        <f aca="false">NORMSINV(1-B20)</f>
        <v>1.2815515655446</v>
      </c>
    </row>
    <row r="22" customFormat="false" ht="15" hidden="false" customHeight="false" outlineLevel="0" collapsed="false">
      <c r="A22" s="4" t="s">
        <v>62</v>
      </c>
      <c r="B22" s="16" t="n">
        <f aca="false">ROUNDUP((B13+B21)^2*B6^2/(B5-B4)^2,0)</f>
        <v>54</v>
      </c>
    </row>
  </sheetData>
  <dataValidations count="1">
    <dataValidation allowBlank="false" errorStyle="stop" operator="between" showDropDown="false" showErrorMessage="false" showInputMessage="false" sqref="B9" type="list">
      <formula1>"superior,inferior"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1" topLeftCell="A2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3" customFormat="false" ht="15" hidden="false" customHeight="false" outlineLevel="0" collapsed="false">
      <c r="A3" s="5" t="s">
        <v>65</v>
      </c>
      <c r="D3" s="5" t="s">
        <v>66</v>
      </c>
    </row>
    <row r="4" customFormat="false" ht="15" hidden="false" customHeight="false" outlineLevel="0" collapsed="false">
      <c r="A4" s="4" t="s">
        <v>67</v>
      </c>
      <c r="B4" s="7" t="n">
        <v>0</v>
      </c>
      <c r="D4" s="10"/>
      <c r="E4" s="10" t="s">
        <v>68</v>
      </c>
      <c r="F4" s="10" t="s">
        <v>69</v>
      </c>
      <c r="G4" s="10" t="s">
        <v>70</v>
      </c>
      <c r="H4" s="10" t="s">
        <v>71</v>
      </c>
    </row>
    <row r="5" customFormat="false" ht="15" hidden="false" customHeight="false" outlineLevel="0" collapsed="false">
      <c r="A5" s="4" t="s">
        <v>72</v>
      </c>
      <c r="B5" s="7" t="n">
        <v>-0.4</v>
      </c>
      <c r="D5" s="4" t="s">
        <v>73</v>
      </c>
      <c r="E5" s="4" t="n">
        <f aca="false">COUNTIF(B22:B5021,"H0 verdadera")</f>
        <v>2469</v>
      </c>
      <c r="F5" s="4" t="n">
        <f aca="false">COUNTIFS(B22:B5021,"H0 verdadera",F22:F5021,"Error tipo I")</f>
        <v>103</v>
      </c>
      <c r="G5" s="9" t="n">
        <f aca="false">IF(E5=0,"",F5/E5)</f>
        <v>0.0417172944511948</v>
      </c>
      <c r="H5" s="14" t="n">
        <f aca="false">B8</f>
        <v>0.05</v>
      </c>
    </row>
    <row r="6" customFormat="false" ht="15" hidden="false" customHeight="false" outlineLevel="0" collapsed="false">
      <c r="A6" s="4" t="s">
        <v>74</v>
      </c>
      <c r="B6" s="7" t="n">
        <v>1</v>
      </c>
      <c r="D6" s="4" t="s">
        <v>75</v>
      </c>
      <c r="E6" s="4" t="n">
        <f aca="false">COUNTIF(B22:B5021,"Ha verdadera")</f>
        <v>2531</v>
      </c>
      <c r="F6" s="4" t="n">
        <f aca="false">COUNTIFS(B22:B5021,"Ha verdadera",F22:F5021,"Error tipo II")</f>
        <v>947</v>
      </c>
      <c r="G6" s="9" t="n">
        <f aca="false">IF(E6=0,"",F6/E6)</f>
        <v>0.374160410904781</v>
      </c>
      <c r="H6" s="14" t="n">
        <f aca="false">IF(B9="superior",NORMDIST(B4+B10*B6/SQRT(B7),B5,B6/SQRT(B7),TRUE()),1-NORMDIST(B4-B10*B6/SQRT(B7),B5,B6/SQRT(B7),TRUE()))</f>
        <v>0.361239968687665</v>
      </c>
    </row>
    <row r="7" customFormat="false" ht="15" hidden="false" customHeight="false" outlineLevel="0" collapsed="false">
      <c r="A7" s="4" t="s">
        <v>50</v>
      </c>
      <c r="B7" s="6" t="n">
        <v>25</v>
      </c>
      <c r="D7" s="4" t="s">
        <v>76</v>
      </c>
      <c r="E7" s="4"/>
      <c r="F7" s="4"/>
      <c r="G7" s="9" t="n">
        <f aca="false">IF(E5=0,"",SQRT(G5*(1-G5)/E5))</f>
        <v>0.004023873763269</v>
      </c>
      <c r="H7" s="4"/>
    </row>
    <row r="8" customFormat="false" ht="15" hidden="false" customHeight="false" outlineLevel="0" collapsed="false">
      <c r="A8" s="4" t="s">
        <v>51</v>
      </c>
      <c r="B8" s="7" t="n">
        <v>0.05</v>
      </c>
      <c r="D8" s="4" t="s">
        <v>77</v>
      </c>
      <c r="E8" s="4"/>
      <c r="F8" s="4"/>
      <c r="G8" s="9" t="n">
        <f aca="false">IF(E6=0,"",SQRT(G6*(1-G6)/E6))</f>
        <v>0.00961865527828315</v>
      </c>
      <c r="H8" s="4"/>
    </row>
    <row r="9" customFormat="false" ht="15" hidden="false" customHeight="false" outlineLevel="0" collapsed="false">
      <c r="A9" s="4" t="s">
        <v>24</v>
      </c>
      <c r="B9" s="8" t="s">
        <v>25</v>
      </c>
    </row>
    <row r="10" customFormat="false" ht="15" hidden="false" customHeight="false" outlineLevel="0" collapsed="false">
      <c r="A10" s="4" t="s">
        <v>78</v>
      </c>
      <c r="B10" s="14" t="n">
        <f aca="false">NORMSINV(1-B8)</f>
        <v>1.64485362695147</v>
      </c>
    </row>
    <row r="21" customFormat="false" ht="15" hidden="false" customHeight="false" outlineLevel="0" collapsed="false">
      <c r="A21" s="10" t="s">
        <v>79</v>
      </c>
      <c r="B21" s="10" t="s">
        <v>80</v>
      </c>
      <c r="C21" s="10" t="s">
        <v>81</v>
      </c>
      <c r="D21" s="10" t="s">
        <v>82</v>
      </c>
      <c r="E21" s="10" t="s">
        <v>83</v>
      </c>
      <c r="F21" s="10" t="s">
        <v>84</v>
      </c>
    </row>
    <row r="22" customFormat="false" ht="15" hidden="false" customHeight="false" outlineLevel="0" collapsed="false">
      <c r="A22" s="0" t="n">
        <v>1</v>
      </c>
      <c r="B22" s="0" t="s">
        <v>85</v>
      </c>
      <c r="C22" s="17" t="n">
        <v>-0.0599053549827183</v>
      </c>
      <c r="D22" s="17" t="n">
        <f aca="false">(C22-$B$4)/($B$6/SQRT($B$7))</f>
        <v>-0.299526774913591</v>
      </c>
      <c r="E22" s="0" t="str">
        <f aca="false">IF(OR(AND($B$9="superior",D22&gt;$B$10),AND($B$9="inferior",D22&lt;-$B$10)),"Rechazar H0","No rechazar H0")</f>
        <v>No rechazar H0</v>
      </c>
      <c r="F22" s="0" t="str">
        <f aca="false">IF(AND(B22="H0 verdadera",E22="Rechazar H0"),"Error tipo I",IF(AND(B22="Ha verdadera",E22="No rechazar H0"),"Error tipo II","Decisión correcta"))</f>
        <v>Decisión correcta</v>
      </c>
    </row>
    <row r="23" customFormat="false" ht="15" hidden="false" customHeight="false" outlineLevel="0" collapsed="false">
      <c r="A23" s="0" t="n">
        <v>2</v>
      </c>
      <c r="B23" s="0" t="s">
        <v>86</v>
      </c>
      <c r="C23" s="17" t="n">
        <v>-0.245944552032391</v>
      </c>
      <c r="D23" s="17" t="n">
        <f aca="false">(C23-$B$4)/($B$6/SQRT($B$7))</f>
        <v>-1.22972276016196</v>
      </c>
      <c r="E23" s="0" t="str">
        <f aca="false">IF(OR(AND($B$9="superior",D23&gt;$B$10),AND($B$9="inferior",D23&lt;-$B$10)),"Rechazar H0","No rechazar H0")</f>
        <v>No rechazar H0</v>
      </c>
      <c r="F23" s="0" t="str">
        <f aca="false">IF(AND(B23="H0 verdadera",E23="Rechazar H0"),"Error tipo I",IF(AND(B23="Ha verdadera",E23="No rechazar H0"),"Error tipo II","Decisión correcta"))</f>
        <v>Error tipo II</v>
      </c>
    </row>
    <row r="24" customFormat="false" ht="15" hidden="false" customHeight="false" outlineLevel="0" collapsed="false">
      <c r="A24" s="0" t="n">
        <v>3</v>
      </c>
      <c r="B24" s="0" t="s">
        <v>85</v>
      </c>
      <c r="C24" s="17" t="n">
        <v>0.00345108933580191</v>
      </c>
      <c r="D24" s="17" t="n">
        <f aca="false">(C24-$B$4)/($B$6/SQRT($B$7))</f>
        <v>0.0172554466790096</v>
      </c>
      <c r="E24" s="0" t="str">
        <f aca="false">IF(OR(AND($B$9="superior",D24&gt;$B$10),AND($B$9="inferior",D24&lt;-$B$10)),"Rechazar H0","No rechazar H0")</f>
        <v>No rechazar H0</v>
      </c>
      <c r="F24" s="0" t="str">
        <f aca="false">IF(AND(B24="H0 verdadera",E24="Rechazar H0"),"Error tipo I",IF(AND(B24="Ha verdadera",E24="No rechazar H0"),"Error tipo II","Decisión correcta"))</f>
        <v>Decisión correcta</v>
      </c>
    </row>
    <row r="25" customFormat="false" ht="15" hidden="false" customHeight="false" outlineLevel="0" collapsed="false">
      <c r="A25" s="0" t="n">
        <v>4</v>
      </c>
      <c r="B25" s="0" t="s">
        <v>85</v>
      </c>
      <c r="C25" s="17" t="n">
        <v>0.169012111575202</v>
      </c>
      <c r="D25" s="17" t="n">
        <f aca="false">(C25-$B$4)/($B$6/SQRT($B$7))</f>
        <v>0.845060557876009</v>
      </c>
      <c r="E25" s="0" t="str">
        <f aca="false">IF(OR(AND($B$9="superior",D25&gt;$B$10),AND($B$9="inferior",D25&lt;-$B$10)),"Rechazar H0","No rechazar H0")</f>
        <v>No rechazar H0</v>
      </c>
      <c r="F25" s="0" t="str">
        <f aca="false">IF(AND(B25="H0 verdadera",E25="Rechazar H0"),"Error tipo I",IF(AND(B25="Ha verdadera",E25="No rechazar H0"),"Error tipo II","Decisión correcta"))</f>
        <v>Decisión correcta</v>
      </c>
    </row>
    <row r="26" customFormat="false" ht="15" hidden="false" customHeight="false" outlineLevel="0" collapsed="false">
      <c r="A26" s="0" t="n">
        <v>5</v>
      </c>
      <c r="B26" s="0" t="s">
        <v>85</v>
      </c>
      <c r="C26" s="17" t="n">
        <v>0.133852708126359</v>
      </c>
      <c r="D26" s="17" t="n">
        <f aca="false">(C26-$B$4)/($B$6/SQRT($B$7))</f>
        <v>0.669263540631796</v>
      </c>
      <c r="E26" s="0" t="str">
        <f aca="false">IF(OR(AND($B$9="superior",D26&gt;$B$10),AND($B$9="inferior",D26&lt;-$B$10)),"Rechazar H0","No rechazar H0")</f>
        <v>No rechazar H0</v>
      </c>
      <c r="F26" s="0" t="str">
        <f aca="false">IF(AND(B26="H0 verdadera",E26="Rechazar H0"),"Error tipo I",IF(AND(B26="Ha verdadera",E26="No rechazar H0"),"Error tipo II","Decisión correcta"))</f>
        <v>Decisión correcta</v>
      </c>
    </row>
    <row r="27" customFormat="false" ht="15" hidden="false" customHeight="false" outlineLevel="0" collapsed="false">
      <c r="A27" s="0" t="n">
        <v>6</v>
      </c>
      <c r="B27" s="0" t="s">
        <v>86</v>
      </c>
      <c r="C27" s="17" t="n">
        <v>-0.250748897090378</v>
      </c>
      <c r="D27" s="17" t="n">
        <f aca="false">(C27-$B$4)/($B$6/SQRT($B$7))</f>
        <v>-1.25374448545189</v>
      </c>
      <c r="E27" s="0" t="str">
        <f aca="false">IF(OR(AND($B$9="superior",D27&gt;$B$10),AND($B$9="inferior",D27&lt;-$B$10)),"Rechazar H0","No rechazar H0")</f>
        <v>No rechazar H0</v>
      </c>
      <c r="F27" s="0" t="str">
        <f aca="false">IF(AND(B27="H0 verdadera",E27="Rechazar H0"),"Error tipo I",IF(AND(B27="Ha verdadera",E27="No rechazar H0"),"Error tipo II","Decisión correcta"))</f>
        <v>Error tipo II</v>
      </c>
    </row>
    <row r="28" customFormat="false" ht="15" hidden="false" customHeight="false" outlineLevel="0" collapsed="false">
      <c r="A28" s="0" t="n">
        <v>7</v>
      </c>
      <c r="B28" s="0" t="s">
        <v>86</v>
      </c>
      <c r="C28" s="17" t="n">
        <v>-0.0836434965341306</v>
      </c>
      <c r="D28" s="17" t="n">
        <f aca="false">(C28-$B$4)/($B$6/SQRT($B$7))</f>
        <v>-0.418217482670653</v>
      </c>
      <c r="E28" s="0" t="str">
        <f aca="false">IF(OR(AND($B$9="superior",D28&gt;$B$10),AND($B$9="inferior",D28&lt;-$B$10)),"Rechazar H0","No rechazar H0")</f>
        <v>No rechazar H0</v>
      </c>
      <c r="F28" s="0" t="str">
        <f aca="false">IF(AND(B28="H0 verdadera",E28="Rechazar H0"),"Error tipo I",IF(AND(B28="Ha verdadera",E28="No rechazar H0"),"Error tipo II","Decisión correcta"))</f>
        <v>Error tipo II</v>
      </c>
    </row>
    <row r="29" customFormat="false" ht="15" hidden="false" customHeight="false" outlineLevel="0" collapsed="false">
      <c r="A29" s="0" t="n">
        <v>8</v>
      </c>
      <c r="B29" s="0" t="s">
        <v>85</v>
      </c>
      <c r="C29" s="17" t="n">
        <v>-0.258635337838282</v>
      </c>
      <c r="D29" s="17" t="n">
        <f aca="false">(C29-$B$4)/($B$6/SQRT($B$7))</f>
        <v>-1.29317668919141</v>
      </c>
      <c r="E29" s="0" t="str">
        <f aca="false">IF(OR(AND($B$9="superior",D29&gt;$B$10),AND($B$9="inferior",D29&lt;-$B$10)),"Rechazar H0","No rechazar H0")</f>
        <v>No rechazar H0</v>
      </c>
      <c r="F29" s="0" t="str">
        <f aca="false">IF(AND(B29="H0 verdadera",E29="Rechazar H0"),"Error tipo I",IF(AND(B29="Ha verdadera",E29="No rechazar H0"),"Error tipo II","Decisión correcta"))</f>
        <v>Decisión correcta</v>
      </c>
    </row>
    <row r="30" customFormat="false" ht="15" hidden="false" customHeight="false" outlineLevel="0" collapsed="false">
      <c r="A30" s="0" t="n">
        <v>9</v>
      </c>
      <c r="B30" s="0" t="s">
        <v>86</v>
      </c>
      <c r="C30" s="17" t="n">
        <v>-0.352405560443394</v>
      </c>
      <c r="D30" s="17" t="n">
        <f aca="false">(C30-$B$4)/($B$6/SQRT($B$7))</f>
        <v>-1.76202780221697</v>
      </c>
      <c r="E30" s="0" t="str">
        <f aca="false">IF(OR(AND($B$9="superior",D30&gt;$B$10),AND($B$9="inferior",D30&lt;-$B$10)),"Rechazar H0","No rechazar H0")</f>
        <v>Rechazar H0</v>
      </c>
      <c r="F30" s="0" t="str">
        <f aca="false">IF(AND(B30="H0 verdadera",E30="Rechazar H0"),"Error tipo I",IF(AND(B30="Ha verdadera",E30="No rechazar H0"),"Error tipo II","Decisión correcta"))</f>
        <v>Decisión correcta</v>
      </c>
    </row>
    <row r="31" customFormat="false" ht="15" hidden="false" customHeight="false" outlineLevel="0" collapsed="false">
      <c r="A31" s="0" t="n">
        <v>10</v>
      </c>
      <c r="B31" s="0" t="s">
        <v>85</v>
      </c>
      <c r="C31" s="17" t="n">
        <v>-0.0334423896635969</v>
      </c>
      <c r="D31" s="17" t="n">
        <f aca="false">(C31-$B$4)/($B$6/SQRT($B$7))</f>
        <v>-0.167211948317985</v>
      </c>
      <c r="E31" s="0" t="str">
        <f aca="false">IF(OR(AND($B$9="superior",D31&gt;$B$10),AND($B$9="inferior",D31&lt;-$B$10)),"Rechazar H0","No rechazar H0")</f>
        <v>No rechazar H0</v>
      </c>
      <c r="F31" s="0" t="str">
        <f aca="false">IF(AND(B31="H0 verdadera",E31="Rechazar H0"),"Error tipo I",IF(AND(B31="Ha verdadera",E31="No rechazar H0"),"Error tipo II","Decisión correcta"))</f>
        <v>Decisión correcta</v>
      </c>
    </row>
    <row r="32" customFormat="false" ht="15" hidden="false" customHeight="false" outlineLevel="0" collapsed="false">
      <c r="A32" s="0" t="n">
        <v>11</v>
      </c>
      <c r="B32" s="0" t="s">
        <v>86</v>
      </c>
      <c r="C32" s="17" t="n">
        <v>-0.198913470355255</v>
      </c>
      <c r="D32" s="17" t="n">
        <f aca="false">(C32-$B$4)/($B$6/SQRT($B$7))</f>
        <v>-0.994567351776276</v>
      </c>
      <c r="E32" s="0" t="str">
        <f aca="false">IF(OR(AND($B$9="superior",D32&gt;$B$10),AND($B$9="inferior",D32&lt;-$B$10)),"Rechazar H0","No rechazar H0")</f>
        <v>No rechazar H0</v>
      </c>
      <c r="F32" s="0" t="str">
        <f aca="false">IF(AND(B32="H0 verdadera",E32="Rechazar H0"),"Error tipo I",IF(AND(B32="Ha verdadera",E32="No rechazar H0"),"Error tipo II","Decisión correcta"))</f>
        <v>Error tipo II</v>
      </c>
    </row>
    <row r="33" customFormat="false" ht="15" hidden="false" customHeight="false" outlineLevel="0" collapsed="false">
      <c r="A33" s="0" t="n">
        <v>12</v>
      </c>
      <c r="B33" s="0" t="s">
        <v>86</v>
      </c>
      <c r="C33" s="17" t="n">
        <v>-0.428425127340029</v>
      </c>
      <c r="D33" s="17" t="n">
        <f aca="false">(C33-$B$4)/($B$6/SQRT($B$7))</f>
        <v>-2.14212563670014</v>
      </c>
      <c r="E33" s="0" t="str">
        <f aca="false">IF(OR(AND($B$9="superior",D33&gt;$B$10),AND($B$9="inferior",D33&lt;-$B$10)),"Rechazar H0","No rechazar H0")</f>
        <v>Rechazar H0</v>
      </c>
      <c r="F33" s="0" t="str">
        <f aca="false">IF(AND(B33="H0 verdadera",E33="Rechazar H0"),"Error tipo I",IF(AND(B33="Ha verdadera",E33="No rechazar H0"),"Error tipo II","Decisión correcta"))</f>
        <v>Decisión correcta</v>
      </c>
    </row>
    <row r="34" customFormat="false" ht="15" hidden="false" customHeight="false" outlineLevel="0" collapsed="false">
      <c r="A34" s="0" t="n">
        <v>13</v>
      </c>
      <c r="B34" s="0" t="s">
        <v>86</v>
      </c>
      <c r="C34" s="17" t="n">
        <v>-0.385827553835128</v>
      </c>
      <c r="D34" s="17" t="n">
        <f aca="false">(C34-$B$4)/($B$6/SQRT($B$7))</f>
        <v>-1.92913776917564</v>
      </c>
      <c r="E34" s="0" t="str">
        <f aca="false">IF(OR(AND($B$9="superior",D34&gt;$B$10),AND($B$9="inferior",D34&lt;-$B$10)),"Rechazar H0","No rechazar H0")</f>
        <v>Rechazar H0</v>
      </c>
      <c r="F34" s="0" t="str">
        <f aca="false">IF(AND(B34="H0 verdadera",E34="Rechazar H0"),"Error tipo I",IF(AND(B34="Ha verdadera",E34="No rechazar H0"),"Error tipo II","Decisión correcta"))</f>
        <v>Decisión correcta</v>
      </c>
    </row>
    <row r="35" customFormat="false" ht="15" hidden="false" customHeight="false" outlineLevel="0" collapsed="false">
      <c r="A35" s="0" t="n">
        <v>14</v>
      </c>
      <c r="B35" s="0" t="s">
        <v>86</v>
      </c>
      <c r="C35" s="17" t="n">
        <v>-0.260121226448331</v>
      </c>
      <c r="D35" s="17" t="n">
        <f aca="false">(C35-$B$4)/($B$6/SQRT($B$7))</f>
        <v>-1.30060613224166</v>
      </c>
      <c r="E35" s="0" t="str">
        <f aca="false">IF(OR(AND($B$9="superior",D35&gt;$B$10),AND($B$9="inferior",D35&lt;-$B$10)),"Rechazar H0","No rechazar H0")</f>
        <v>No rechazar H0</v>
      </c>
      <c r="F35" s="0" t="str">
        <f aca="false">IF(AND(B35="H0 verdadera",E35="Rechazar H0"),"Error tipo I",IF(AND(B35="Ha verdadera",E35="No rechazar H0"),"Error tipo II","Decisión correcta"))</f>
        <v>Error tipo II</v>
      </c>
    </row>
    <row r="36" customFormat="false" ht="15" hidden="false" customHeight="false" outlineLevel="0" collapsed="false">
      <c r="A36" s="0" t="n">
        <v>15</v>
      </c>
      <c r="B36" s="0" t="s">
        <v>86</v>
      </c>
      <c r="C36" s="17" t="n">
        <v>-0.308140776160888</v>
      </c>
      <c r="D36" s="17" t="n">
        <f aca="false">(C36-$B$4)/($B$6/SQRT($B$7))</f>
        <v>-1.54070388080444</v>
      </c>
      <c r="E36" s="0" t="str">
        <f aca="false">IF(OR(AND($B$9="superior",D36&gt;$B$10),AND($B$9="inferior",D36&lt;-$B$10)),"Rechazar H0","No rechazar H0")</f>
        <v>No rechazar H0</v>
      </c>
      <c r="F36" s="0" t="str">
        <f aca="false">IF(AND(B36="H0 verdadera",E36="Rechazar H0"),"Error tipo I",IF(AND(B36="Ha verdadera",E36="No rechazar H0"),"Error tipo II","Decisión correcta"))</f>
        <v>Error tipo II</v>
      </c>
    </row>
    <row r="37" customFormat="false" ht="15" hidden="false" customHeight="false" outlineLevel="0" collapsed="false">
      <c r="A37" s="0" t="n">
        <v>16</v>
      </c>
      <c r="B37" s="0" t="s">
        <v>86</v>
      </c>
      <c r="C37" s="17" t="n">
        <v>-0.323670907868059</v>
      </c>
      <c r="D37" s="17" t="n">
        <f aca="false">(C37-$B$4)/($B$6/SQRT($B$7))</f>
        <v>-1.6183545393403</v>
      </c>
      <c r="E37" s="0" t="str">
        <f aca="false">IF(OR(AND($B$9="superior",D37&gt;$B$10),AND($B$9="inferior",D37&lt;-$B$10)),"Rechazar H0","No rechazar H0")</f>
        <v>No rechazar H0</v>
      </c>
      <c r="F37" s="0" t="str">
        <f aca="false">IF(AND(B37="H0 verdadera",E37="Rechazar H0"),"Error tipo I",IF(AND(B37="Ha verdadera",E37="No rechazar H0"),"Error tipo II","Decisión correcta"))</f>
        <v>Error tipo II</v>
      </c>
    </row>
    <row r="38" customFormat="false" ht="15" hidden="false" customHeight="false" outlineLevel="0" collapsed="false">
      <c r="A38" s="0" t="n">
        <v>17</v>
      </c>
      <c r="B38" s="0" t="s">
        <v>85</v>
      </c>
      <c r="C38" s="17" t="n">
        <v>-0.201342850897669</v>
      </c>
      <c r="D38" s="17" t="n">
        <f aca="false">(C38-$B$4)/($B$6/SQRT($B$7))</f>
        <v>-1.00671425448835</v>
      </c>
      <c r="E38" s="0" t="str">
        <f aca="false">IF(OR(AND($B$9="superior",D38&gt;$B$10),AND($B$9="inferior",D38&lt;-$B$10)),"Rechazar H0","No rechazar H0")</f>
        <v>No rechazar H0</v>
      </c>
      <c r="F38" s="0" t="str">
        <f aca="false">IF(AND(B38="H0 verdadera",E38="Rechazar H0"),"Error tipo I",IF(AND(B38="Ha verdadera",E38="No rechazar H0"),"Error tipo II","Decisión correcta"))</f>
        <v>Decisión correcta</v>
      </c>
    </row>
    <row r="39" customFormat="false" ht="15" hidden="false" customHeight="false" outlineLevel="0" collapsed="false">
      <c r="A39" s="0" t="n">
        <v>18</v>
      </c>
      <c r="B39" s="0" t="s">
        <v>85</v>
      </c>
      <c r="C39" s="17" t="n">
        <v>0.00625285805828793</v>
      </c>
      <c r="D39" s="17" t="n">
        <f aca="false">(C39-$B$4)/($B$6/SQRT($B$7))</f>
        <v>0.0312642902914397</v>
      </c>
      <c r="E39" s="0" t="str">
        <f aca="false">IF(OR(AND($B$9="superior",D39&gt;$B$10),AND($B$9="inferior",D39&lt;-$B$10)),"Rechazar H0","No rechazar H0")</f>
        <v>No rechazar H0</v>
      </c>
      <c r="F39" s="0" t="str">
        <f aca="false">IF(AND(B39="H0 verdadera",E39="Rechazar H0"),"Error tipo I",IF(AND(B39="Ha verdadera",E39="No rechazar H0"),"Error tipo II","Decisión correcta"))</f>
        <v>Decisión correcta</v>
      </c>
    </row>
    <row r="40" customFormat="false" ht="15" hidden="false" customHeight="false" outlineLevel="0" collapsed="false">
      <c r="A40" s="0" t="n">
        <v>19</v>
      </c>
      <c r="B40" s="0" t="s">
        <v>85</v>
      </c>
      <c r="C40" s="17" t="n">
        <v>0.135761881080664</v>
      </c>
      <c r="D40" s="17" t="n">
        <f aca="false">(C40-$B$4)/($B$6/SQRT($B$7))</f>
        <v>0.67880940540332</v>
      </c>
      <c r="E40" s="0" t="str">
        <f aca="false">IF(OR(AND($B$9="superior",D40&gt;$B$10),AND($B$9="inferior",D40&lt;-$B$10)),"Rechazar H0","No rechazar H0")</f>
        <v>No rechazar H0</v>
      </c>
      <c r="F40" s="0" t="str">
        <f aca="false">IF(AND(B40="H0 verdadera",E40="Rechazar H0"),"Error tipo I",IF(AND(B40="Ha verdadera",E40="No rechazar H0"),"Error tipo II","Decisión correcta"))</f>
        <v>Decisión correcta</v>
      </c>
    </row>
    <row r="41" customFormat="false" ht="15" hidden="false" customHeight="false" outlineLevel="0" collapsed="false">
      <c r="A41" s="0" t="n">
        <v>20</v>
      </c>
      <c r="B41" s="0" t="s">
        <v>85</v>
      </c>
      <c r="C41" s="17" t="n">
        <v>0.191250917569187</v>
      </c>
      <c r="D41" s="17" t="n">
        <f aca="false">(C41-$B$4)/($B$6/SQRT($B$7))</f>
        <v>0.956254587845932</v>
      </c>
      <c r="E41" s="0" t="str">
        <f aca="false">IF(OR(AND($B$9="superior",D41&gt;$B$10),AND($B$9="inferior",D41&lt;-$B$10)),"Rechazar H0","No rechazar H0")</f>
        <v>No rechazar H0</v>
      </c>
      <c r="F41" s="0" t="str">
        <f aca="false">IF(AND(B41="H0 verdadera",E41="Rechazar H0"),"Error tipo I",IF(AND(B41="Ha verdadera",E41="No rechazar H0"),"Error tipo II","Decisión correcta"))</f>
        <v>Decisión correcta</v>
      </c>
    </row>
    <row r="42" customFormat="false" ht="15" hidden="false" customHeight="false" outlineLevel="0" collapsed="false">
      <c r="A42" s="0" t="n">
        <v>21</v>
      </c>
      <c r="B42" s="0" t="s">
        <v>86</v>
      </c>
      <c r="C42" s="17" t="n">
        <v>-0.296868560315984</v>
      </c>
      <c r="D42" s="17" t="n">
        <f aca="false">(C42-$B$4)/($B$6/SQRT($B$7))</f>
        <v>-1.48434280157992</v>
      </c>
      <c r="E42" s="0" t="str">
        <f aca="false">IF(OR(AND($B$9="superior",D42&gt;$B$10),AND($B$9="inferior",D42&lt;-$B$10)),"Rechazar H0","No rechazar H0")</f>
        <v>No rechazar H0</v>
      </c>
      <c r="F42" s="0" t="str">
        <f aca="false">IF(AND(B42="H0 verdadera",E42="Rechazar H0"),"Error tipo I",IF(AND(B42="Ha verdadera",E42="No rechazar H0"),"Error tipo II","Decisión correcta"))</f>
        <v>Error tipo II</v>
      </c>
    </row>
    <row r="43" customFormat="false" ht="15" hidden="false" customHeight="false" outlineLevel="0" collapsed="false">
      <c r="A43" s="0" t="n">
        <v>22</v>
      </c>
      <c r="B43" s="0" t="s">
        <v>85</v>
      </c>
      <c r="C43" s="17" t="n">
        <v>0.250779478712242</v>
      </c>
      <c r="D43" s="17" t="n">
        <f aca="false">(C43-$B$4)/($B$6/SQRT($B$7))</f>
        <v>1.25389739356121</v>
      </c>
      <c r="E43" s="0" t="str">
        <f aca="false">IF(OR(AND($B$9="superior",D43&gt;$B$10),AND($B$9="inferior",D43&lt;-$B$10)),"Rechazar H0","No rechazar H0")</f>
        <v>No rechazar H0</v>
      </c>
      <c r="F43" s="0" t="str">
        <f aca="false">IF(AND(B43="H0 verdadera",E43="Rechazar H0"),"Error tipo I",IF(AND(B43="Ha verdadera",E43="No rechazar H0"),"Error tipo II","Decisión correcta"))</f>
        <v>Decisión correcta</v>
      </c>
    </row>
    <row r="44" customFormat="false" ht="15" hidden="false" customHeight="false" outlineLevel="0" collapsed="false">
      <c r="A44" s="0" t="n">
        <v>23</v>
      </c>
      <c r="B44" s="0" t="s">
        <v>86</v>
      </c>
      <c r="C44" s="17" t="n">
        <v>-0.497480140770622</v>
      </c>
      <c r="D44" s="17" t="n">
        <f aca="false">(C44-$B$4)/($B$6/SQRT($B$7))</f>
        <v>-2.48740070385311</v>
      </c>
      <c r="E44" s="0" t="str">
        <f aca="false">IF(OR(AND($B$9="superior",D44&gt;$B$10),AND($B$9="inferior",D44&lt;-$B$10)),"Rechazar H0","No rechazar H0")</f>
        <v>Rechazar H0</v>
      </c>
      <c r="F44" s="0" t="str">
        <f aca="false">IF(AND(B44="H0 verdadera",E44="Rechazar H0"),"Error tipo I",IF(AND(B44="Ha verdadera",E44="No rechazar H0"),"Error tipo II","Decisión correcta"))</f>
        <v>Decisión correcta</v>
      </c>
    </row>
    <row r="45" customFormat="false" ht="15" hidden="false" customHeight="false" outlineLevel="0" collapsed="false">
      <c r="A45" s="0" t="n">
        <v>24</v>
      </c>
      <c r="B45" s="0" t="s">
        <v>85</v>
      </c>
      <c r="C45" s="17" t="n">
        <v>-0.198639864747966</v>
      </c>
      <c r="D45" s="17" t="n">
        <f aca="false">(C45-$B$4)/($B$6/SQRT($B$7))</f>
        <v>-0.993199323739828</v>
      </c>
      <c r="E45" s="0" t="str">
        <f aca="false">IF(OR(AND($B$9="superior",D45&gt;$B$10),AND($B$9="inferior",D45&lt;-$B$10)),"Rechazar H0","No rechazar H0")</f>
        <v>No rechazar H0</v>
      </c>
      <c r="F45" s="0" t="str">
        <f aca="false">IF(AND(B45="H0 verdadera",E45="Rechazar H0"),"Error tipo I",IF(AND(B45="Ha verdadera",E45="No rechazar H0"),"Error tipo II","Decisión correcta"))</f>
        <v>Decisión correcta</v>
      </c>
    </row>
    <row r="46" customFormat="false" ht="15" hidden="false" customHeight="false" outlineLevel="0" collapsed="false">
      <c r="A46" s="0" t="n">
        <v>25</v>
      </c>
      <c r="B46" s="0" t="s">
        <v>85</v>
      </c>
      <c r="C46" s="17" t="n">
        <v>0.125266017540664</v>
      </c>
      <c r="D46" s="17" t="n">
        <f aca="false">(C46-$B$4)/($B$6/SQRT($B$7))</f>
        <v>0.626330087703317</v>
      </c>
      <c r="E46" s="0" t="str">
        <f aca="false">IF(OR(AND($B$9="superior",D46&gt;$B$10),AND($B$9="inferior",D46&lt;-$B$10)),"Rechazar H0","No rechazar H0")</f>
        <v>No rechazar H0</v>
      </c>
      <c r="F46" s="0" t="str">
        <f aca="false">IF(AND(B46="H0 verdadera",E46="Rechazar H0"),"Error tipo I",IF(AND(B46="Ha verdadera",E46="No rechazar H0"),"Error tipo II","Decisión correcta"))</f>
        <v>Decisión correcta</v>
      </c>
    </row>
    <row r="47" customFormat="false" ht="15" hidden="false" customHeight="false" outlineLevel="0" collapsed="false">
      <c r="A47" s="0" t="n">
        <v>26</v>
      </c>
      <c r="B47" s="0" t="s">
        <v>85</v>
      </c>
      <c r="C47" s="17" t="n">
        <v>0.371593408678812</v>
      </c>
      <c r="D47" s="17" t="n">
        <f aca="false">(C47-$B$4)/($B$6/SQRT($B$7))</f>
        <v>1.85796704339406</v>
      </c>
      <c r="E47" s="0" t="str">
        <f aca="false">IF(OR(AND($B$9="superior",D47&gt;$B$10),AND($B$9="inferior",D47&lt;-$B$10)),"Rechazar H0","No rechazar H0")</f>
        <v>No rechazar H0</v>
      </c>
      <c r="F47" s="0" t="str">
        <f aca="false">IF(AND(B47="H0 verdadera",E47="Rechazar H0"),"Error tipo I",IF(AND(B47="Ha verdadera",E47="No rechazar H0"),"Error tipo II","Decisión correcta"))</f>
        <v>Decisión correcta</v>
      </c>
    </row>
    <row r="48" customFormat="false" ht="15" hidden="false" customHeight="false" outlineLevel="0" collapsed="false">
      <c r="A48" s="0" t="n">
        <v>27</v>
      </c>
      <c r="B48" s="0" t="s">
        <v>85</v>
      </c>
      <c r="C48" s="17" t="n">
        <v>-0.0173520337047863</v>
      </c>
      <c r="D48" s="17" t="n">
        <f aca="false">(C48-$B$4)/($B$6/SQRT($B$7))</f>
        <v>-0.0867601685239315</v>
      </c>
      <c r="E48" s="0" t="str">
        <f aca="false">IF(OR(AND($B$9="superior",D48&gt;$B$10),AND($B$9="inferior",D48&lt;-$B$10)),"Rechazar H0","No rechazar H0")</f>
        <v>No rechazar H0</v>
      </c>
      <c r="F48" s="0" t="str">
        <f aca="false">IF(AND(B48="H0 verdadera",E48="Rechazar H0"),"Error tipo I",IF(AND(B48="Ha verdadera",E48="No rechazar H0"),"Error tipo II","Decisión correcta"))</f>
        <v>Decisión correcta</v>
      </c>
    </row>
    <row r="49" customFormat="false" ht="15" hidden="false" customHeight="false" outlineLevel="0" collapsed="false">
      <c r="A49" s="0" t="n">
        <v>28</v>
      </c>
      <c r="B49" s="0" t="s">
        <v>86</v>
      </c>
      <c r="C49" s="17" t="n">
        <v>-0.324475013000941</v>
      </c>
      <c r="D49" s="17" t="n">
        <f aca="false">(C49-$B$4)/($B$6/SQRT($B$7))</f>
        <v>-1.6223750650047</v>
      </c>
      <c r="E49" s="0" t="str">
        <f aca="false">IF(OR(AND($B$9="superior",D49&gt;$B$10),AND($B$9="inferior",D49&lt;-$B$10)),"Rechazar H0","No rechazar H0")</f>
        <v>No rechazar H0</v>
      </c>
      <c r="F49" s="0" t="str">
        <f aca="false">IF(AND(B49="H0 verdadera",E49="Rechazar H0"),"Error tipo I",IF(AND(B49="Ha verdadera",E49="No rechazar H0"),"Error tipo II","Decisión correcta"))</f>
        <v>Error tipo II</v>
      </c>
    </row>
    <row r="50" customFormat="false" ht="15" hidden="false" customHeight="false" outlineLevel="0" collapsed="false">
      <c r="A50" s="0" t="n">
        <v>29</v>
      </c>
      <c r="B50" s="0" t="s">
        <v>85</v>
      </c>
      <c r="C50" s="17" t="n">
        <v>0.173102232648698</v>
      </c>
      <c r="D50" s="17" t="n">
        <f aca="false">(C50-$B$4)/($B$6/SQRT($B$7))</f>
        <v>0.865511163243491</v>
      </c>
      <c r="E50" s="0" t="str">
        <f aca="false">IF(OR(AND($B$9="superior",D50&gt;$B$10),AND($B$9="inferior",D50&lt;-$B$10)),"Rechazar H0","No rechazar H0")</f>
        <v>No rechazar H0</v>
      </c>
      <c r="F50" s="0" t="str">
        <f aca="false">IF(AND(B50="H0 verdadera",E50="Rechazar H0"),"Error tipo I",IF(AND(B50="Ha verdadera",E50="No rechazar H0"),"Error tipo II","Decisión correcta"))</f>
        <v>Decisión correcta</v>
      </c>
    </row>
    <row r="51" customFormat="false" ht="15" hidden="false" customHeight="false" outlineLevel="0" collapsed="false">
      <c r="A51" s="0" t="n">
        <v>30</v>
      </c>
      <c r="B51" s="0" t="s">
        <v>85</v>
      </c>
      <c r="C51" s="17" t="n">
        <v>-0.174724305970967</v>
      </c>
      <c r="D51" s="17" t="n">
        <f aca="false">(C51-$B$4)/($B$6/SQRT($B$7))</f>
        <v>-0.873621529854836</v>
      </c>
      <c r="E51" s="0" t="str">
        <f aca="false">IF(OR(AND($B$9="superior",D51&gt;$B$10),AND($B$9="inferior",D51&lt;-$B$10)),"Rechazar H0","No rechazar H0")</f>
        <v>No rechazar H0</v>
      </c>
      <c r="F51" s="0" t="str">
        <f aca="false">IF(AND(B51="H0 verdadera",E51="Rechazar H0"),"Error tipo I",IF(AND(B51="Ha verdadera",E51="No rechazar H0"),"Error tipo II","Decisión correcta"))</f>
        <v>Decisión correcta</v>
      </c>
    </row>
    <row r="52" customFormat="false" ht="15" hidden="false" customHeight="false" outlineLevel="0" collapsed="false">
      <c r="A52" s="0" t="n">
        <v>31</v>
      </c>
      <c r="B52" s="0" t="s">
        <v>85</v>
      </c>
      <c r="C52" s="17" t="n">
        <v>0.30620621343384</v>
      </c>
      <c r="D52" s="17" t="n">
        <f aca="false">(C52-$B$4)/($B$6/SQRT($B$7))</f>
        <v>1.5310310671692</v>
      </c>
      <c r="E52" s="0" t="str">
        <f aca="false">IF(OR(AND($B$9="superior",D52&gt;$B$10),AND($B$9="inferior",D52&lt;-$B$10)),"Rechazar H0","No rechazar H0")</f>
        <v>No rechazar H0</v>
      </c>
      <c r="F52" s="0" t="str">
        <f aca="false">IF(AND(B52="H0 verdadera",E52="Rechazar H0"),"Error tipo I",IF(AND(B52="Ha verdadera",E52="No rechazar H0"),"Error tipo II","Decisión correcta"))</f>
        <v>Decisión correcta</v>
      </c>
    </row>
    <row r="53" customFormat="false" ht="15" hidden="false" customHeight="false" outlineLevel="0" collapsed="false">
      <c r="A53" s="0" t="n">
        <v>32</v>
      </c>
      <c r="B53" s="0" t="s">
        <v>86</v>
      </c>
      <c r="C53" s="17" t="n">
        <v>-0.116958484292625</v>
      </c>
      <c r="D53" s="17" t="n">
        <f aca="false">(C53-$B$4)/($B$6/SQRT($B$7))</f>
        <v>-0.584792421463124</v>
      </c>
      <c r="E53" s="0" t="str">
        <f aca="false">IF(OR(AND($B$9="superior",D53&gt;$B$10),AND($B$9="inferior",D53&lt;-$B$10)),"Rechazar H0","No rechazar H0")</f>
        <v>No rechazar H0</v>
      </c>
      <c r="F53" s="0" t="str">
        <f aca="false">IF(AND(B53="H0 verdadera",E53="Rechazar H0"),"Error tipo I",IF(AND(B53="Ha verdadera",E53="No rechazar H0"),"Error tipo II","Decisión correcta"))</f>
        <v>Error tipo II</v>
      </c>
    </row>
    <row r="54" customFormat="false" ht="15" hidden="false" customHeight="false" outlineLevel="0" collapsed="false">
      <c r="A54" s="0" t="n">
        <v>33</v>
      </c>
      <c r="B54" s="0" t="s">
        <v>86</v>
      </c>
      <c r="C54" s="17" t="n">
        <v>-0.341348036152852</v>
      </c>
      <c r="D54" s="17" t="n">
        <f aca="false">(C54-$B$4)/($B$6/SQRT($B$7))</f>
        <v>-1.70674018076426</v>
      </c>
      <c r="E54" s="0" t="str">
        <f aca="false">IF(OR(AND($B$9="superior",D54&gt;$B$10),AND($B$9="inferior",D54&lt;-$B$10)),"Rechazar H0","No rechazar H0")</f>
        <v>Rechazar H0</v>
      </c>
      <c r="F54" s="0" t="str">
        <f aca="false">IF(AND(B54="H0 verdadera",E54="Rechazar H0"),"Error tipo I",IF(AND(B54="Ha verdadera",E54="No rechazar H0"),"Error tipo II","Decisión correcta"))</f>
        <v>Decisión correcta</v>
      </c>
    </row>
    <row r="55" customFormat="false" ht="15" hidden="false" customHeight="false" outlineLevel="0" collapsed="false">
      <c r="A55" s="0" t="n">
        <v>34</v>
      </c>
      <c r="B55" s="0" t="s">
        <v>86</v>
      </c>
      <c r="C55" s="17" t="n">
        <v>-0.520697636702408</v>
      </c>
      <c r="D55" s="17" t="n">
        <f aca="false">(C55-$B$4)/($B$6/SQRT($B$7))</f>
        <v>-2.60348818351204</v>
      </c>
      <c r="E55" s="0" t="str">
        <f aca="false">IF(OR(AND($B$9="superior",D55&gt;$B$10),AND($B$9="inferior",D55&lt;-$B$10)),"Rechazar H0","No rechazar H0")</f>
        <v>Rechazar H0</v>
      </c>
      <c r="F55" s="0" t="str">
        <f aca="false">IF(AND(B55="H0 verdadera",E55="Rechazar H0"),"Error tipo I",IF(AND(B55="Ha verdadera",E55="No rechazar H0"),"Error tipo II","Decisión correcta"))</f>
        <v>Decisión correcta</v>
      </c>
    </row>
    <row r="56" customFormat="false" ht="15" hidden="false" customHeight="false" outlineLevel="0" collapsed="false">
      <c r="A56" s="0" t="n">
        <v>35</v>
      </c>
      <c r="B56" s="0" t="s">
        <v>85</v>
      </c>
      <c r="C56" s="17" t="n">
        <v>-0.231242896177123</v>
      </c>
      <c r="D56" s="17" t="n">
        <f aca="false">(C56-$B$4)/($B$6/SQRT($B$7))</f>
        <v>-1.15621448088561</v>
      </c>
      <c r="E56" s="0" t="str">
        <f aca="false">IF(OR(AND($B$9="superior",D56&gt;$B$10),AND($B$9="inferior",D56&lt;-$B$10)),"Rechazar H0","No rechazar H0")</f>
        <v>No rechazar H0</v>
      </c>
      <c r="F56" s="0" t="str">
        <f aca="false">IF(AND(B56="H0 verdadera",E56="Rechazar H0"),"Error tipo I",IF(AND(B56="Ha verdadera",E56="No rechazar H0"),"Error tipo II","Decisión correcta"))</f>
        <v>Decisión correcta</v>
      </c>
    </row>
    <row r="57" customFormat="false" ht="15" hidden="false" customHeight="false" outlineLevel="0" collapsed="false">
      <c r="A57" s="0" t="n">
        <v>36</v>
      </c>
      <c r="B57" s="0" t="s">
        <v>86</v>
      </c>
      <c r="C57" s="17" t="n">
        <v>-0.32999614729278</v>
      </c>
      <c r="D57" s="17" t="n">
        <f aca="false">(C57-$B$4)/($B$6/SQRT($B$7))</f>
        <v>-1.6499807364639</v>
      </c>
      <c r="E57" s="0" t="str">
        <f aca="false">IF(OR(AND($B$9="superior",D57&gt;$B$10),AND($B$9="inferior",D57&lt;-$B$10)),"Rechazar H0","No rechazar H0")</f>
        <v>Rechazar H0</v>
      </c>
      <c r="F57" s="0" t="str">
        <f aca="false">IF(AND(B57="H0 verdadera",E57="Rechazar H0"),"Error tipo I",IF(AND(B57="Ha verdadera",E57="No rechazar H0"),"Error tipo II","Decisión correcta"))</f>
        <v>Decisión correcta</v>
      </c>
    </row>
    <row r="58" customFormat="false" ht="15" hidden="false" customHeight="false" outlineLevel="0" collapsed="false">
      <c r="A58" s="0" t="n">
        <v>37</v>
      </c>
      <c r="B58" s="0" t="s">
        <v>86</v>
      </c>
      <c r="C58" s="17" t="n">
        <v>-0.691421647931952</v>
      </c>
      <c r="D58" s="17" t="n">
        <f aca="false">(C58-$B$4)/($B$6/SQRT($B$7))</f>
        <v>-3.45710823965976</v>
      </c>
      <c r="E58" s="0" t="str">
        <f aca="false">IF(OR(AND($B$9="superior",D58&gt;$B$10),AND($B$9="inferior",D58&lt;-$B$10)),"Rechazar H0","No rechazar H0")</f>
        <v>Rechazar H0</v>
      </c>
      <c r="F58" s="0" t="str">
        <f aca="false">IF(AND(B58="H0 verdadera",E58="Rechazar H0"),"Error tipo I",IF(AND(B58="Ha verdadera",E58="No rechazar H0"),"Error tipo II","Decisión correcta"))</f>
        <v>Decisión correcta</v>
      </c>
    </row>
    <row r="59" customFormat="false" ht="15" hidden="false" customHeight="false" outlineLevel="0" collapsed="false">
      <c r="A59" s="0" t="n">
        <v>38</v>
      </c>
      <c r="B59" s="0" t="s">
        <v>85</v>
      </c>
      <c r="C59" s="17" t="n">
        <v>0.00420753728793947</v>
      </c>
      <c r="D59" s="17" t="n">
        <f aca="false">(C59-$B$4)/($B$6/SQRT($B$7))</f>
        <v>0.0210376864396974</v>
      </c>
      <c r="E59" s="0" t="str">
        <f aca="false">IF(OR(AND($B$9="superior",D59&gt;$B$10),AND($B$9="inferior",D59&lt;-$B$10)),"Rechazar H0","No rechazar H0")</f>
        <v>No rechazar H0</v>
      </c>
      <c r="F59" s="0" t="str">
        <f aca="false">IF(AND(B59="H0 verdadera",E59="Rechazar H0"),"Error tipo I",IF(AND(B59="Ha verdadera",E59="No rechazar H0"),"Error tipo II","Decisión correcta"))</f>
        <v>Decisión correcta</v>
      </c>
    </row>
    <row r="60" customFormat="false" ht="15" hidden="false" customHeight="false" outlineLevel="0" collapsed="false">
      <c r="A60" s="0" t="n">
        <v>39</v>
      </c>
      <c r="B60" s="0" t="s">
        <v>86</v>
      </c>
      <c r="C60" s="17" t="n">
        <v>-0.665340289979962</v>
      </c>
      <c r="D60" s="17" t="n">
        <f aca="false">(C60-$B$4)/($B$6/SQRT($B$7))</f>
        <v>-3.32670144989981</v>
      </c>
      <c r="E60" s="0" t="str">
        <f aca="false">IF(OR(AND($B$9="superior",D60&gt;$B$10),AND($B$9="inferior",D60&lt;-$B$10)),"Rechazar H0","No rechazar H0")</f>
        <v>Rechazar H0</v>
      </c>
      <c r="F60" s="0" t="str">
        <f aca="false">IF(AND(B60="H0 verdadera",E60="Rechazar H0"),"Error tipo I",IF(AND(B60="Ha verdadera",E60="No rechazar H0"),"Error tipo II","Decisión correcta"))</f>
        <v>Decisión correcta</v>
      </c>
    </row>
    <row r="61" customFormat="false" ht="15" hidden="false" customHeight="false" outlineLevel="0" collapsed="false">
      <c r="A61" s="0" t="n">
        <v>40</v>
      </c>
      <c r="B61" s="0" t="s">
        <v>85</v>
      </c>
      <c r="C61" s="17" t="n">
        <v>-0.0828524121594701</v>
      </c>
      <c r="D61" s="17" t="n">
        <f aca="false">(C61-$B$4)/($B$6/SQRT($B$7))</f>
        <v>-0.414262060797351</v>
      </c>
      <c r="E61" s="0" t="str">
        <f aca="false">IF(OR(AND($B$9="superior",D61&gt;$B$10),AND($B$9="inferior",D61&lt;-$B$10)),"Rechazar H0","No rechazar H0")</f>
        <v>No rechazar H0</v>
      </c>
      <c r="F61" s="0" t="str">
        <f aca="false">IF(AND(B61="H0 verdadera",E61="Rechazar H0"),"Error tipo I",IF(AND(B61="Ha verdadera",E61="No rechazar H0"),"Error tipo II","Decisión correcta"))</f>
        <v>Decisión correcta</v>
      </c>
    </row>
    <row r="62" customFormat="false" ht="15" hidden="false" customHeight="false" outlineLevel="0" collapsed="false">
      <c r="A62" s="0" t="n">
        <v>41</v>
      </c>
      <c r="B62" s="0" t="s">
        <v>86</v>
      </c>
      <c r="C62" s="17" t="n">
        <v>0.0231165040054548</v>
      </c>
      <c r="D62" s="17" t="n">
        <f aca="false">(C62-$B$4)/($B$6/SQRT($B$7))</f>
        <v>0.115582520027274</v>
      </c>
      <c r="E62" s="0" t="str">
        <f aca="false">IF(OR(AND($B$9="superior",D62&gt;$B$10),AND($B$9="inferior",D62&lt;-$B$10)),"Rechazar H0","No rechazar H0")</f>
        <v>No rechazar H0</v>
      </c>
      <c r="F62" s="0" t="str">
        <f aca="false">IF(AND(B62="H0 verdadera",E62="Rechazar H0"),"Error tipo I",IF(AND(B62="Ha verdadera",E62="No rechazar H0"),"Error tipo II","Decisión correcta"))</f>
        <v>Error tipo II</v>
      </c>
    </row>
    <row r="63" customFormat="false" ht="15" hidden="false" customHeight="false" outlineLevel="0" collapsed="false">
      <c r="A63" s="0" t="n">
        <v>42</v>
      </c>
      <c r="B63" s="0" t="s">
        <v>85</v>
      </c>
      <c r="C63" s="17" t="n">
        <v>-0.288764647618961</v>
      </c>
      <c r="D63" s="17" t="n">
        <f aca="false">(C63-$B$4)/($B$6/SQRT($B$7))</f>
        <v>-1.4438232380948</v>
      </c>
      <c r="E63" s="0" t="str">
        <f aca="false">IF(OR(AND($B$9="superior",D63&gt;$B$10),AND($B$9="inferior",D63&lt;-$B$10)),"Rechazar H0","No rechazar H0")</f>
        <v>No rechazar H0</v>
      </c>
      <c r="F63" s="0" t="str">
        <f aca="false">IF(AND(B63="H0 verdadera",E63="Rechazar H0"),"Error tipo I",IF(AND(B63="Ha verdadera",E63="No rechazar H0"),"Error tipo II","Decisión correcta"))</f>
        <v>Decisión correcta</v>
      </c>
    </row>
    <row r="64" customFormat="false" ht="15" hidden="false" customHeight="false" outlineLevel="0" collapsed="false">
      <c r="A64" s="0" t="n">
        <v>43</v>
      </c>
      <c r="B64" s="0" t="s">
        <v>85</v>
      </c>
      <c r="C64" s="17" t="n">
        <v>0.395086531351969</v>
      </c>
      <c r="D64" s="17" t="n">
        <f aca="false">(C64-$B$4)/($B$6/SQRT($B$7))</f>
        <v>1.97543265675984</v>
      </c>
      <c r="E64" s="0" t="str">
        <f aca="false">IF(OR(AND($B$9="superior",D64&gt;$B$10),AND($B$9="inferior",D64&lt;-$B$10)),"Rechazar H0","No rechazar H0")</f>
        <v>No rechazar H0</v>
      </c>
      <c r="F64" s="0" t="str">
        <f aca="false">IF(AND(B64="H0 verdadera",E64="Rechazar H0"),"Error tipo I",IF(AND(B64="Ha verdadera",E64="No rechazar H0"),"Error tipo II","Decisión correcta"))</f>
        <v>Decisión correcta</v>
      </c>
    </row>
    <row r="65" customFormat="false" ht="15" hidden="false" customHeight="false" outlineLevel="0" collapsed="false">
      <c r="A65" s="0" t="n">
        <v>44</v>
      </c>
      <c r="B65" s="0" t="s">
        <v>86</v>
      </c>
      <c r="C65" s="17" t="n">
        <v>-0.78301522805409</v>
      </c>
      <c r="D65" s="17" t="n">
        <f aca="false">(C65-$B$4)/($B$6/SQRT($B$7))</f>
        <v>-3.91507614027045</v>
      </c>
      <c r="E65" s="0" t="str">
        <f aca="false">IF(OR(AND($B$9="superior",D65&gt;$B$10),AND($B$9="inferior",D65&lt;-$B$10)),"Rechazar H0","No rechazar H0")</f>
        <v>Rechazar H0</v>
      </c>
      <c r="F65" s="0" t="str">
        <f aca="false">IF(AND(B65="H0 verdadera",E65="Rechazar H0"),"Error tipo I",IF(AND(B65="Ha verdadera",E65="No rechazar H0"),"Error tipo II","Decisión correcta"))</f>
        <v>Decisión correcta</v>
      </c>
    </row>
    <row r="66" customFormat="false" ht="15" hidden="false" customHeight="false" outlineLevel="0" collapsed="false">
      <c r="A66" s="0" t="n">
        <v>45</v>
      </c>
      <c r="B66" s="0" t="s">
        <v>85</v>
      </c>
      <c r="C66" s="17" t="n">
        <v>-0.0939989019153794</v>
      </c>
      <c r="D66" s="17" t="n">
        <f aca="false">(C66-$B$4)/($B$6/SQRT($B$7))</f>
        <v>-0.469994509576897</v>
      </c>
      <c r="E66" s="0" t="str">
        <f aca="false">IF(OR(AND($B$9="superior",D66&gt;$B$10),AND($B$9="inferior",D66&lt;-$B$10)),"Rechazar H0","No rechazar H0")</f>
        <v>No rechazar H0</v>
      </c>
      <c r="F66" s="0" t="str">
        <f aca="false">IF(AND(B66="H0 verdadera",E66="Rechazar H0"),"Error tipo I",IF(AND(B66="Ha verdadera",E66="No rechazar H0"),"Error tipo II","Decisión correcta"))</f>
        <v>Decisión correcta</v>
      </c>
    </row>
    <row r="67" customFormat="false" ht="15" hidden="false" customHeight="false" outlineLevel="0" collapsed="false">
      <c r="A67" s="0" t="n">
        <v>46</v>
      </c>
      <c r="B67" s="0" t="s">
        <v>85</v>
      </c>
      <c r="C67" s="17" t="n">
        <v>0.237753178608952</v>
      </c>
      <c r="D67" s="17" t="n">
        <f aca="false">(C67-$B$4)/($B$6/SQRT($B$7))</f>
        <v>1.18876589304476</v>
      </c>
      <c r="E67" s="0" t="str">
        <f aca="false">IF(OR(AND($B$9="superior",D67&gt;$B$10),AND($B$9="inferior",D67&lt;-$B$10)),"Rechazar H0","No rechazar H0")</f>
        <v>No rechazar H0</v>
      </c>
      <c r="F67" s="0" t="str">
        <f aca="false">IF(AND(B67="H0 verdadera",E67="Rechazar H0"),"Error tipo I",IF(AND(B67="Ha verdadera",E67="No rechazar H0"),"Error tipo II","Decisión correcta"))</f>
        <v>Decisión correcta</v>
      </c>
    </row>
    <row r="68" customFormat="false" ht="15" hidden="false" customHeight="false" outlineLevel="0" collapsed="false">
      <c r="A68" s="0" t="n">
        <v>47</v>
      </c>
      <c r="B68" s="0" t="s">
        <v>86</v>
      </c>
      <c r="C68" s="17" t="n">
        <v>-0.813285480487263</v>
      </c>
      <c r="D68" s="17" t="n">
        <f aca="false">(C68-$B$4)/($B$6/SQRT($B$7))</f>
        <v>-4.06642740243631</v>
      </c>
      <c r="E68" s="0" t="str">
        <f aca="false">IF(OR(AND($B$9="superior",D68&gt;$B$10),AND($B$9="inferior",D68&lt;-$B$10)),"Rechazar H0","No rechazar H0")</f>
        <v>Rechazar H0</v>
      </c>
      <c r="F68" s="0" t="str">
        <f aca="false">IF(AND(B68="H0 verdadera",E68="Rechazar H0"),"Error tipo I",IF(AND(B68="Ha verdadera",E68="No rechazar H0"),"Error tipo II","Decisión correcta"))</f>
        <v>Decisión correcta</v>
      </c>
    </row>
    <row r="69" customFormat="false" ht="15" hidden="false" customHeight="false" outlineLevel="0" collapsed="false">
      <c r="A69" s="0" t="n">
        <v>48</v>
      </c>
      <c r="B69" s="0" t="s">
        <v>85</v>
      </c>
      <c r="C69" s="17" t="n">
        <v>0.107628428001316</v>
      </c>
      <c r="D69" s="17" t="n">
        <f aca="false">(C69-$B$4)/($B$6/SQRT($B$7))</f>
        <v>0.538142140006581</v>
      </c>
      <c r="E69" s="0" t="str">
        <f aca="false">IF(OR(AND($B$9="superior",D69&gt;$B$10),AND($B$9="inferior",D69&lt;-$B$10)),"Rechazar H0","No rechazar H0")</f>
        <v>No rechazar H0</v>
      </c>
      <c r="F69" s="0" t="str">
        <f aca="false">IF(AND(B69="H0 verdadera",E69="Rechazar H0"),"Error tipo I",IF(AND(B69="Ha verdadera",E69="No rechazar H0"),"Error tipo II","Decisión correcta"))</f>
        <v>Decisión correcta</v>
      </c>
    </row>
    <row r="70" customFormat="false" ht="15" hidden="false" customHeight="false" outlineLevel="0" collapsed="false">
      <c r="A70" s="0" t="n">
        <v>49</v>
      </c>
      <c r="B70" s="0" t="s">
        <v>86</v>
      </c>
      <c r="C70" s="17" t="n">
        <v>-0.359884865154481</v>
      </c>
      <c r="D70" s="17" t="n">
        <f aca="false">(C70-$B$4)/($B$6/SQRT($B$7))</f>
        <v>-1.79942432577241</v>
      </c>
      <c r="E70" s="0" t="str">
        <f aca="false">IF(OR(AND($B$9="superior",D70&gt;$B$10),AND($B$9="inferior",D70&lt;-$B$10)),"Rechazar H0","No rechazar H0")</f>
        <v>Rechazar H0</v>
      </c>
      <c r="F70" s="0" t="str">
        <f aca="false">IF(AND(B70="H0 verdadera",E70="Rechazar H0"),"Error tipo I",IF(AND(B70="Ha verdadera",E70="No rechazar H0"),"Error tipo II","Decisión correcta"))</f>
        <v>Decisión correcta</v>
      </c>
    </row>
    <row r="71" customFormat="false" ht="15" hidden="false" customHeight="false" outlineLevel="0" collapsed="false">
      <c r="A71" s="0" t="n">
        <v>50</v>
      </c>
      <c r="B71" s="0" t="s">
        <v>86</v>
      </c>
      <c r="C71" s="17" t="n">
        <v>-0.0210135696392651</v>
      </c>
      <c r="D71" s="17" t="n">
        <f aca="false">(C71-$B$4)/($B$6/SQRT($B$7))</f>
        <v>-0.105067848196326</v>
      </c>
      <c r="E71" s="0" t="str">
        <f aca="false">IF(OR(AND($B$9="superior",D71&gt;$B$10),AND($B$9="inferior",D71&lt;-$B$10)),"Rechazar H0","No rechazar H0")</f>
        <v>No rechazar H0</v>
      </c>
      <c r="F71" s="0" t="str">
        <f aca="false">IF(AND(B71="H0 verdadera",E71="Rechazar H0"),"Error tipo I",IF(AND(B71="Ha verdadera",E71="No rechazar H0"),"Error tipo II","Decisión correcta"))</f>
        <v>Error tipo II</v>
      </c>
    </row>
    <row r="72" customFormat="false" ht="15" hidden="false" customHeight="false" outlineLevel="0" collapsed="false">
      <c r="A72" s="0" t="n">
        <v>51</v>
      </c>
      <c r="B72" s="0" t="s">
        <v>86</v>
      </c>
      <c r="C72" s="17" t="n">
        <v>-0.352187381555399</v>
      </c>
      <c r="D72" s="17" t="n">
        <f aca="false">(C72-$B$4)/($B$6/SQRT($B$7))</f>
        <v>-1.760936907777</v>
      </c>
      <c r="E72" s="0" t="str">
        <f aca="false">IF(OR(AND($B$9="superior",D72&gt;$B$10),AND($B$9="inferior",D72&lt;-$B$10)),"Rechazar H0","No rechazar H0")</f>
        <v>Rechazar H0</v>
      </c>
      <c r="F72" s="0" t="str">
        <f aca="false">IF(AND(B72="H0 verdadera",E72="Rechazar H0"),"Error tipo I",IF(AND(B72="Ha verdadera",E72="No rechazar H0"),"Error tipo II","Decisión correcta"))</f>
        <v>Decisión correcta</v>
      </c>
    </row>
    <row r="73" customFormat="false" ht="15" hidden="false" customHeight="false" outlineLevel="0" collapsed="false">
      <c r="A73" s="0" t="n">
        <v>52</v>
      </c>
      <c r="B73" s="0" t="s">
        <v>85</v>
      </c>
      <c r="C73" s="17" t="n">
        <v>0.000175242810661205</v>
      </c>
      <c r="D73" s="17" t="n">
        <f aca="false">(C73-$B$4)/($B$6/SQRT($B$7))</f>
        <v>0.000876214053306024</v>
      </c>
      <c r="E73" s="0" t="str">
        <f aca="false">IF(OR(AND($B$9="superior",D73&gt;$B$10),AND($B$9="inferior",D73&lt;-$B$10)),"Rechazar H0","No rechazar H0")</f>
        <v>No rechazar H0</v>
      </c>
      <c r="F73" s="0" t="str">
        <f aca="false">IF(AND(B73="H0 verdadera",E73="Rechazar H0"),"Error tipo I",IF(AND(B73="Ha verdadera",E73="No rechazar H0"),"Error tipo II","Decisión correcta"))</f>
        <v>Decisión correcta</v>
      </c>
    </row>
    <row r="74" customFormat="false" ht="15" hidden="false" customHeight="false" outlineLevel="0" collapsed="false">
      <c r="A74" s="0" t="n">
        <v>53</v>
      </c>
      <c r="B74" s="0" t="s">
        <v>85</v>
      </c>
      <c r="C74" s="17" t="n">
        <v>-0.151578928712104</v>
      </c>
      <c r="D74" s="17" t="n">
        <f aca="false">(C74-$B$4)/($B$6/SQRT($B$7))</f>
        <v>-0.757894643560519</v>
      </c>
      <c r="E74" s="0" t="str">
        <f aca="false">IF(OR(AND($B$9="superior",D74&gt;$B$10),AND($B$9="inferior",D74&lt;-$B$10)),"Rechazar H0","No rechazar H0")</f>
        <v>No rechazar H0</v>
      </c>
      <c r="F74" s="0" t="str">
        <f aca="false">IF(AND(B74="H0 verdadera",E74="Rechazar H0"),"Error tipo I",IF(AND(B74="Ha verdadera",E74="No rechazar H0"),"Error tipo II","Decisión correcta"))</f>
        <v>Decisión correcta</v>
      </c>
    </row>
    <row r="75" customFormat="false" ht="15" hidden="false" customHeight="false" outlineLevel="0" collapsed="false">
      <c r="A75" s="0" t="n">
        <v>54</v>
      </c>
      <c r="B75" s="0" t="s">
        <v>85</v>
      </c>
      <c r="C75" s="17" t="n">
        <v>0.101829211590907</v>
      </c>
      <c r="D75" s="17" t="n">
        <f aca="false">(C75-$B$4)/($B$6/SQRT($B$7))</f>
        <v>0.509146057954537</v>
      </c>
      <c r="E75" s="0" t="str">
        <f aca="false">IF(OR(AND($B$9="superior",D75&gt;$B$10),AND($B$9="inferior",D75&lt;-$B$10)),"Rechazar H0","No rechazar H0")</f>
        <v>No rechazar H0</v>
      </c>
      <c r="F75" s="0" t="str">
        <f aca="false">IF(AND(B75="H0 verdadera",E75="Rechazar H0"),"Error tipo I",IF(AND(B75="Ha verdadera",E75="No rechazar H0"),"Error tipo II","Decisión correcta"))</f>
        <v>Decisión correcta</v>
      </c>
    </row>
    <row r="76" customFormat="false" ht="15" hidden="false" customHeight="false" outlineLevel="0" collapsed="false">
      <c r="A76" s="0" t="n">
        <v>55</v>
      </c>
      <c r="B76" s="0" t="s">
        <v>85</v>
      </c>
      <c r="C76" s="17" t="n">
        <v>0.557256703035055</v>
      </c>
      <c r="D76" s="17" t="n">
        <f aca="false">(C76-$B$4)/($B$6/SQRT($B$7))</f>
        <v>2.78628351517528</v>
      </c>
      <c r="E76" s="0" t="str">
        <f aca="false">IF(OR(AND($B$9="superior",D76&gt;$B$10),AND($B$9="inferior",D76&lt;-$B$10)),"Rechazar H0","No rechazar H0")</f>
        <v>No rechazar H0</v>
      </c>
      <c r="F76" s="0" t="str">
        <f aca="false">IF(AND(B76="H0 verdadera",E76="Rechazar H0"),"Error tipo I",IF(AND(B76="Ha verdadera",E76="No rechazar H0"),"Error tipo II","Decisión correcta"))</f>
        <v>Decisión correcta</v>
      </c>
    </row>
    <row r="77" customFormat="false" ht="15" hidden="false" customHeight="false" outlineLevel="0" collapsed="false">
      <c r="A77" s="0" t="n">
        <v>56</v>
      </c>
      <c r="B77" s="0" t="s">
        <v>86</v>
      </c>
      <c r="C77" s="17" t="n">
        <v>-0.419535671934439</v>
      </c>
      <c r="D77" s="17" t="n">
        <f aca="false">(C77-$B$4)/($B$6/SQRT($B$7))</f>
        <v>-2.09767835967219</v>
      </c>
      <c r="E77" s="0" t="str">
        <f aca="false">IF(OR(AND($B$9="superior",D77&gt;$B$10),AND($B$9="inferior",D77&lt;-$B$10)),"Rechazar H0","No rechazar H0")</f>
        <v>Rechazar H0</v>
      </c>
      <c r="F77" s="0" t="str">
        <f aca="false">IF(AND(B77="H0 verdadera",E77="Rechazar H0"),"Error tipo I",IF(AND(B77="Ha verdadera",E77="No rechazar H0"),"Error tipo II","Decisión correcta"))</f>
        <v>Decisión correcta</v>
      </c>
    </row>
    <row r="78" customFormat="false" ht="15" hidden="false" customHeight="false" outlineLevel="0" collapsed="false">
      <c r="A78" s="0" t="n">
        <v>57</v>
      </c>
      <c r="B78" s="0" t="s">
        <v>86</v>
      </c>
      <c r="C78" s="17" t="n">
        <v>-0.589050239502561</v>
      </c>
      <c r="D78" s="17" t="n">
        <f aca="false">(C78-$B$4)/($B$6/SQRT($B$7))</f>
        <v>-2.9452511975128</v>
      </c>
      <c r="E78" s="0" t="str">
        <f aca="false">IF(OR(AND($B$9="superior",D78&gt;$B$10),AND($B$9="inferior",D78&lt;-$B$10)),"Rechazar H0","No rechazar H0")</f>
        <v>Rechazar H0</v>
      </c>
      <c r="F78" s="0" t="str">
        <f aca="false">IF(AND(B78="H0 verdadera",E78="Rechazar H0"),"Error tipo I",IF(AND(B78="Ha verdadera",E78="No rechazar H0"),"Error tipo II","Decisión correcta"))</f>
        <v>Decisión correcta</v>
      </c>
    </row>
    <row r="79" customFormat="false" ht="15" hidden="false" customHeight="false" outlineLevel="0" collapsed="false">
      <c r="A79" s="0" t="n">
        <v>58</v>
      </c>
      <c r="B79" s="0" t="s">
        <v>85</v>
      </c>
      <c r="C79" s="17" t="n">
        <v>-0.127994206757107</v>
      </c>
      <c r="D79" s="17" t="n">
        <f aca="false">(C79-$B$4)/($B$6/SQRT($B$7))</f>
        <v>-0.639971033785536</v>
      </c>
      <c r="E79" s="0" t="str">
        <f aca="false">IF(OR(AND($B$9="superior",D79&gt;$B$10),AND($B$9="inferior",D79&lt;-$B$10)),"Rechazar H0","No rechazar H0")</f>
        <v>No rechazar H0</v>
      </c>
      <c r="F79" s="0" t="str">
        <f aca="false">IF(AND(B79="H0 verdadera",E79="Rechazar H0"),"Error tipo I",IF(AND(B79="Ha verdadera",E79="No rechazar H0"),"Error tipo II","Decisión correcta"))</f>
        <v>Decisión correcta</v>
      </c>
    </row>
    <row r="80" customFormat="false" ht="15" hidden="false" customHeight="false" outlineLevel="0" collapsed="false">
      <c r="A80" s="0" t="n">
        <v>59</v>
      </c>
      <c r="B80" s="0" t="s">
        <v>85</v>
      </c>
      <c r="C80" s="17" t="n">
        <v>-0.223241470712915</v>
      </c>
      <c r="D80" s="17" t="n">
        <f aca="false">(C80-$B$4)/($B$6/SQRT($B$7))</f>
        <v>-1.11620735356458</v>
      </c>
      <c r="E80" s="0" t="str">
        <f aca="false">IF(OR(AND($B$9="superior",D80&gt;$B$10),AND($B$9="inferior",D80&lt;-$B$10)),"Rechazar H0","No rechazar H0")</f>
        <v>No rechazar H0</v>
      </c>
      <c r="F80" s="0" t="str">
        <f aca="false">IF(AND(B80="H0 verdadera",E80="Rechazar H0"),"Error tipo I",IF(AND(B80="Ha verdadera",E80="No rechazar H0"),"Error tipo II","Decisión correcta"))</f>
        <v>Decisión correcta</v>
      </c>
    </row>
    <row r="81" customFormat="false" ht="15" hidden="false" customHeight="false" outlineLevel="0" collapsed="false">
      <c r="A81" s="0" t="n">
        <v>60</v>
      </c>
      <c r="B81" s="0" t="s">
        <v>86</v>
      </c>
      <c r="C81" s="17" t="n">
        <v>-0.637961322373309</v>
      </c>
      <c r="D81" s="17" t="n">
        <f aca="false">(C81-$B$4)/($B$6/SQRT($B$7))</f>
        <v>-3.18980661186655</v>
      </c>
      <c r="E81" s="0" t="str">
        <f aca="false">IF(OR(AND($B$9="superior",D81&gt;$B$10),AND($B$9="inferior",D81&lt;-$B$10)),"Rechazar H0","No rechazar H0")</f>
        <v>Rechazar H0</v>
      </c>
      <c r="F81" s="0" t="str">
        <f aca="false">IF(AND(B81="H0 verdadera",E81="Rechazar H0"),"Error tipo I",IF(AND(B81="Ha verdadera",E81="No rechazar H0"),"Error tipo II","Decisión correcta"))</f>
        <v>Decisión correcta</v>
      </c>
    </row>
    <row r="82" customFormat="false" ht="15" hidden="false" customHeight="false" outlineLevel="0" collapsed="false">
      <c r="A82" s="0" t="n">
        <v>61</v>
      </c>
      <c r="B82" s="0" t="s">
        <v>86</v>
      </c>
      <c r="C82" s="17" t="n">
        <v>-0.560281421763027</v>
      </c>
      <c r="D82" s="17" t="n">
        <f aca="false">(C82-$B$4)/($B$6/SQRT($B$7))</f>
        <v>-2.80140710881513</v>
      </c>
      <c r="E82" s="0" t="str">
        <f aca="false">IF(OR(AND($B$9="superior",D82&gt;$B$10),AND($B$9="inferior",D82&lt;-$B$10)),"Rechazar H0","No rechazar H0")</f>
        <v>Rechazar H0</v>
      </c>
      <c r="F82" s="0" t="str">
        <f aca="false">IF(AND(B82="H0 verdadera",E82="Rechazar H0"),"Error tipo I",IF(AND(B82="Ha verdadera",E82="No rechazar H0"),"Error tipo II","Decisión correcta"))</f>
        <v>Decisión correcta</v>
      </c>
    </row>
    <row r="83" customFormat="false" ht="15" hidden="false" customHeight="false" outlineLevel="0" collapsed="false">
      <c r="A83" s="0" t="n">
        <v>62</v>
      </c>
      <c r="B83" s="0" t="s">
        <v>85</v>
      </c>
      <c r="C83" s="17" t="n">
        <v>0.0285442102694458</v>
      </c>
      <c r="D83" s="17" t="n">
        <f aca="false">(C83-$B$4)/($B$6/SQRT($B$7))</f>
        <v>0.142721051347229</v>
      </c>
      <c r="E83" s="0" t="str">
        <f aca="false">IF(OR(AND($B$9="superior",D83&gt;$B$10),AND($B$9="inferior",D83&lt;-$B$10)),"Rechazar H0","No rechazar H0")</f>
        <v>No rechazar H0</v>
      </c>
      <c r="F83" s="0" t="str">
        <f aca="false">IF(AND(B83="H0 verdadera",E83="Rechazar H0"),"Error tipo I",IF(AND(B83="Ha verdadera",E83="No rechazar H0"),"Error tipo II","Decisión correcta"))</f>
        <v>Decisión correcta</v>
      </c>
    </row>
    <row r="84" customFormat="false" ht="15" hidden="false" customHeight="false" outlineLevel="0" collapsed="false">
      <c r="A84" s="0" t="n">
        <v>63</v>
      </c>
      <c r="B84" s="0" t="s">
        <v>85</v>
      </c>
      <c r="C84" s="17" t="n">
        <v>0.144208893874426</v>
      </c>
      <c r="D84" s="17" t="n">
        <f aca="false">(C84-$B$4)/($B$6/SQRT($B$7))</f>
        <v>0.721044469372128</v>
      </c>
      <c r="E84" s="0" t="str">
        <f aca="false">IF(OR(AND($B$9="superior",D84&gt;$B$10),AND($B$9="inferior",D84&lt;-$B$10)),"Rechazar H0","No rechazar H0")</f>
        <v>No rechazar H0</v>
      </c>
      <c r="F84" s="0" t="str">
        <f aca="false">IF(AND(B84="H0 verdadera",E84="Rechazar H0"),"Error tipo I",IF(AND(B84="Ha verdadera",E84="No rechazar H0"),"Error tipo II","Decisión correcta"))</f>
        <v>Decisión correcta</v>
      </c>
    </row>
    <row r="85" customFormat="false" ht="15" hidden="false" customHeight="false" outlineLevel="0" collapsed="false">
      <c r="A85" s="0" t="n">
        <v>64</v>
      </c>
      <c r="B85" s="0" t="s">
        <v>85</v>
      </c>
      <c r="C85" s="17" t="n">
        <v>-0.118564258415049</v>
      </c>
      <c r="D85" s="17" t="n">
        <f aca="false">(C85-$B$4)/($B$6/SQRT($B$7))</f>
        <v>-0.592821292075245</v>
      </c>
      <c r="E85" s="0" t="str">
        <f aca="false">IF(OR(AND($B$9="superior",D85&gt;$B$10),AND($B$9="inferior",D85&lt;-$B$10)),"Rechazar H0","No rechazar H0")</f>
        <v>No rechazar H0</v>
      </c>
      <c r="F85" s="0" t="str">
        <f aca="false">IF(AND(B85="H0 verdadera",E85="Rechazar H0"),"Error tipo I",IF(AND(B85="Ha verdadera",E85="No rechazar H0"),"Error tipo II","Decisión correcta"))</f>
        <v>Decisión correcta</v>
      </c>
    </row>
    <row r="86" customFormat="false" ht="15" hidden="false" customHeight="false" outlineLevel="0" collapsed="false">
      <c r="A86" s="0" t="n">
        <v>65</v>
      </c>
      <c r="B86" s="0" t="s">
        <v>86</v>
      </c>
      <c r="C86" s="17" t="n">
        <v>-0.534679288775761</v>
      </c>
      <c r="D86" s="17" t="n">
        <f aca="false">(C86-$B$4)/($B$6/SQRT($B$7))</f>
        <v>-2.67339644387881</v>
      </c>
      <c r="E86" s="0" t="str">
        <f aca="false">IF(OR(AND($B$9="superior",D86&gt;$B$10),AND($B$9="inferior",D86&lt;-$B$10)),"Rechazar H0","No rechazar H0")</f>
        <v>Rechazar H0</v>
      </c>
      <c r="F86" s="0" t="str">
        <f aca="false">IF(AND(B86="H0 verdadera",E86="Rechazar H0"),"Error tipo I",IF(AND(B86="Ha verdadera",E86="No rechazar H0"),"Error tipo II","Decisión correcta"))</f>
        <v>Decisión correcta</v>
      </c>
    </row>
    <row r="87" customFormat="false" ht="15" hidden="false" customHeight="false" outlineLevel="0" collapsed="false">
      <c r="A87" s="0" t="n">
        <v>66</v>
      </c>
      <c r="B87" s="0" t="s">
        <v>86</v>
      </c>
      <c r="C87" s="17" t="n">
        <v>-0.0424389885837691</v>
      </c>
      <c r="D87" s="17" t="n">
        <f aca="false">(C87-$B$4)/($B$6/SQRT($B$7))</f>
        <v>-0.212194942918845</v>
      </c>
      <c r="E87" s="0" t="str">
        <f aca="false">IF(OR(AND($B$9="superior",D87&gt;$B$10),AND($B$9="inferior",D87&lt;-$B$10)),"Rechazar H0","No rechazar H0")</f>
        <v>No rechazar H0</v>
      </c>
      <c r="F87" s="0" t="str">
        <f aca="false">IF(AND(B87="H0 verdadera",E87="Rechazar H0"),"Error tipo I",IF(AND(B87="Ha verdadera",E87="No rechazar H0"),"Error tipo II","Decisión correcta"))</f>
        <v>Error tipo II</v>
      </c>
    </row>
    <row r="88" customFormat="false" ht="15" hidden="false" customHeight="false" outlineLevel="0" collapsed="false">
      <c r="A88" s="0" t="n">
        <v>67</v>
      </c>
      <c r="B88" s="0" t="s">
        <v>85</v>
      </c>
      <c r="C88" s="17" t="n">
        <v>-0.191242951027223</v>
      </c>
      <c r="D88" s="17" t="n">
        <f aca="false">(C88-$B$4)/($B$6/SQRT($B$7))</f>
        <v>-0.956214755136116</v>
      </c>
      <c r="E88" s="0" t="str">
        <f aca="false">IF(OR(AND($B$9="superior",D88&gt;$B$10),AND($B$9="inferior",D88&lt;-$B$10)),"Rechazar H0","No rechazar H0")</f>
        <v>No rechazar H0</v>
      </c>
      <c r="F88" s="0" t="str">
        <f aca="false">IF(AND(B88="H0 verdadera",E88="Rechazar H0"),"Error tipo I",IF(AND(B88="Ha verdadera",E88="No rechazar H0"),"Error tipo II","Decisión correcta"))</f>
        <v>Decisión correcta</v>
      </c>
    </row>
    <row r="89" customFormat="false" ht="15" hidden="false" customHeight="false" outlineLevel="0" collapsed="false">
      <c r="A89" s="0" t="n">
        <v>68</v>
      </c>
      <c r="B89" s="0" t="s">
        <v>85</v>
      </c>
      <c r="C89" s="17" t="n">
        <v>0.222920471133377</v>
      </c>
      <c r="D89" s="17" t="n">
        <f aca="false">(C89-$B$4)/($B$6/SQRT($B$7))</f>
        <v>1.11460235566688</v>
      </c>
      <c r="E89" s="0" t="str">
        <f aca="false">IF(OR(AND($B$9="superior",D89&gt;$B$10),AND($B$9="inferior",D89&lt;-$B$10)),"Rechazar H0","No rechazar H0")</f>
        <v>No rechazar H0</v>
      </c>
      <c r="F89" s="0" t="str">
        <f aca="false">IF(AND(B89="H0 verdadera",E89="Rechazar H0"),"Error tipo I",IF(AND(B89="Ha verdadera",E89="No rechazar H0"),"Error tipo II","Decisión correcta"))</f>
        <v>Decisión correcta</v>
      </c>
    </row>
    <row r="90" customFormat="false" ht="15" hidden="false" customHeight="false" outlineLevel="0" collapsed="false">
      <c r="A90" s="0" t="n">
        <v>69</v>
      </c>
      <c r="B90" s="0" t="s">
        <v>86</v>
      </c>
      <c r="C90" s="17" t="n">
        <v>-0.666578643517018</v>
      </c>
      <c r="D90" s="17" t="n">
        <f aca="false">(C90-$B$4)/($B$6/SQRT($B$7))</f>
        <v>-3.33289321758509</v>
      </c>
      <c r="E90" s="0" t="str">
        <f aca="false">IF(OR(AND($B$9="superior",D90&gt;$B$10),AND($B$9="inferior",D90&lt;-$B$10)),"Rechazar H0","No rechazar H0")</f>
        <v>Rechazar H0</v>
      </c>
      <c r="F90" s="0" t="str">
        <f aca="false">IF(AND(B90="H0 verdadera",E90="Rechazar H0"),"Error tipo I",IF(AND(B90="Ha verdadera",E90="No rechazar H0"),"Error tipo II","Decisión correcta"))</f>
        <v>Decisión correcta</v>
      </c>
    </row>
    <row r="91" customFormat="false" ht="15" hidden="false" customHeight="false" outlineLevel="0" collapsed="false">
      <c r="A91" s="0" t="n">
        <v>70</v>
      </c>
      <c r="B91" s="0" t="s">
        <v>85</v>
      </c>
      <c r="C91" s="17" t="n">
        <v>0.391080357174433</v>
      </c>
      <c r="D91" s="17" t="n">
        <f aca="false">(C91-$B$4)/($B$6/SQRT($B$7))</f>
        <v>1.95540178587216</v>
      </c>
      <c r="E91" s="0" t="str">
        <f aca="false">IF(OR(AND($B$9="superior",D91&gt;$B$10),AND($B$9="inferior",D91&lt;-$B$10)),"Rechazar H0","No rechazar H0")</f>
        <v>No rechazar H0</v>
      </c>
      <c r="F91" s="0" t="str">
        <f aca="false">IF(AND(B91="H0 verdadera",E91="Rechazar H0"),"Error tipo I",IF(AND(B91="Ha verdadera",E91="No rechazar H0"),"Error tipo II","Decisión correcta"))</f>
        <v>Decisión correcta</v>
      </c>
    </row>
    <row r="92" customFormat="false" ht="15" hidden="false" customHeight="false" outlineLevel="0" collapsed="false">
      <c r="A92" s="0" t="n">
        <v>71</v>
      </c>
      <c r="B92" s="0" t="s">
        <v>86</v>
      </c>
      <c r="C92" s="17" t="n">
        <v>-0.191593022061279</v>
      </c>
      <c r="D92" s="17" t="n">
        <f aca="false">(C92-$B$4)/($B$6/SQRT($B$7))</f>
        <v>-0.957965110306394</v>
      </c>
      <c r="E92" s="0" t="str">
        <f aca="false">IF(OR(AND($B$9="superior",D92&gt;$B$10),AND($B$9="inferior",D92&lt;-$B$10)),"Rechazar H0","No rechazar H0")</f>
        <v>No rechazar H0</v>
      </c>
      <c r="F92" s="0" t="str">
        <f aca="false">IF(AND(B92="H0 verdadera",E92="Rechazar H0"),"Error tipo I",IF(AND(B92="Ha verdadera",E92="No rechazar H0"),"Error tipo II","Decisión correcta"))</f>
        <v>Error tipo II</v>
      </c>
    </row>
    <row r="93" customFormat="false" ht="15" hidden="false" customHeight="false" outlineLevel="0" collapsed="false">
      <c r="A93" s="0" t="n">
        <v>72</v>
      </c>
      <c r="B93" s="0" t="s">
        <v>85</v>
      </c>
      <c r="C93" s="17" t="n">
        <v>0.076904366399789</v>
      </c>
      <c r="D93" s="17" t="n">
        <f aca="false">(C93-$B$4)/($B$6/SQRT($B$7))</f>
        <v>0.384521831998945</v>
      </c>
      <c r="E93" s="0" t="str">
        <f aca="false">IF(OR(AND($B$9="superior",D93&gt;$B$10),AND($B$9="inferior",D93&lt;-$B$10)),"Rechazar H0","No rechazar H0")</f>
        <v>No rechazar H0</v>
      </c>
      <c r="F93" s="0" t="str">
        <f aca="false">IF(AND(B93="H0 verdadera",E93="Rechazar H0"),"Error tipo I",IF(AND(B93="Ha verdadera",E93="No rechazar H0"),"Error tipo II","Decisión correcta"))</f>
        <v>Decisión correcta</v>
      </c>
    </row>
    <row r="94" customFormat="false" ht="15" hidden="false" customHeight="false" outlineLevel="0" collapsed="false">
      <c r="A94" s="0" t="n">
        <v>73</v>
      </c>
      <c r="B94" s="0" t="s">
        <v>86</v>
      </c>
      <c r="C94" s="17" t="n">
        <v>-0.684350018397715</v>
      </c>
      <c r="D94" s="17" t="n">
        <f aca="false">(C94-$B$4)/($B$6/SQRT($B$7))</f>
        <v>-3.42175009198858</v>
      </c>
      <c r="E94" s="0" t="str">
        <f aca="false">IF(OR(AND($B$9="superior",D94&gt;$B$10),AND($B$9="inferior",D94&lt;-$B$10)),"Rechazar H0","No rechazar H0")</f>
        <v>Rechazar H0</v>
      </c>
      <c r="F94" s="0" t="str">
        <f aca="false">IF(AND(B94="H0 verdadera",E94="Rechazar H0"),"Error tipo I",IF(AND(B94="Ha verdadera",E94="No rechazar H0"),"Error tipo II","Decisión correcta"))</f>
        <v>Decisión correcta</v>
      </c>
    </row>
    <row r="95" customFormat="false" ht="15" hidden="false" customHeight="false" outlineLevel="0" collapsed="false">
      <c r="A95" s="0" t="n">
        <v>74</v>
      </c>
      <c r="B95" s="0" t="s">
        <v>86</v>
      </c>
      <c r="C95" s="17" t="n">
        <v>-0.341187370464442</v>
      </c>
      <c r="D95" s="17" t="n">
        <f aca="false">(C95-$B$4)/($B$6/SQRT($B$7))</f>
        <v>-1.70593685232221</v>
      </c>
      <c r="E95" s="0" t="str">
        <f aca="false">IF(OR(AND($B$9="superior",D95&gt;$B$10),AND($B$9="inferior",D95&lt;-$B$10)),"Rechazar H0","No rechazar H0")</f>
        <v>Rechazar H0</v>
      </c>
      <c r="F95" s="0" t="str">
        <f aca="false">IF(AND(B95="H0 verdadera",E95="Rechazar H0"),"Error tipo I",IF(AND(B95="Ha verdadera",E95="No rechazar H0"),"Error tipo II","Decisión correcta"))</f>
        <v>Decisión correcta</v>
      </c>
    </row>
    <row r="96" customFormat="false" ht="15" hidden="false" customHeight="false" outlineLevel="0" collapsed="false">
      <c r="A96" s="0" t="n">
        <v>75</v>
      </c>
      <c r="B96" s="0" t="s">
        <v>86</v>
      </c>
      <c r="C96" s="17" t="n">
        <v>-0.40665386834197</v>
      </c>
      <c r="D96" s="17" t="n">
        <f aca="false">(C96-$B$4)/($B$6/SQRT($B$7))</f>
        <v>-2.03326934170985</v>
      </c>
      <c r="E96" s="0" t="str">
        <f aca="false">IF(OR(AND($B$9="superior",D96&gt;$B$10),AND($B$9="inferior",D96&lt;-$B$10)),"Rechazar H0","No rechazar H0")</f>
        <v>Rechazar H0</v>
      </c>
      <c r="F96" s="0" t="str">
        <f aca="false">IF(AND(B96="H0 verdadera",E96="Rechazar H0"),"Error tipo I",IF(AND(B96="Ha verdadera",E96="No rechazar H0"),"Error tipo II","Decisión correcta"))</f>
        <v>Decisión correcta</v>
      </c>
    </row>
    <row r="97" customFormat="false" ht="15" hidden="false" customHeight="false" outlineLevel="0" collapsed="false">
      <c r="A97" s="0" t="n">
        <v>76</v>
      </c>
      <c r="B97" s="0" t="s">
        <v>86</v>
      </c>
      <c r="C97" s="17" t="n">
        <v>-0.100575904145239</v>
      </c>
      <c r="D97" s="17" t="n">
        <f aca="false">(C97-$B$4)/($B$6/SQRT($B$7))</f>
        <v>-0.502879520726196</v>
      </c>
      <c r="E97" s="0" t="str">
        <f aca="false">IF(OR(AND($B$9="superior",D97&gt;$B$10),AND($B$9="inferior",D97&lt;-$B$10)),"Rechazar H0","No rechazar H0")</f>
        <v>No rechazar H0</v>
      </c>
      <c r="F97" s="0" t="str">
        <f aca="false">IF(AND(B97="H0 verdadera",E97="Rechazar H0"),"Error tipo I",IF(AND(B97="Ha verdadera",E97="No rechazar H0"),"Error tipo II","Decisión correcta"))</f>
        <v>Error tipo II</v>
      </c>
    </row>
    <row r="98" customFormat="false" ht="15" hidden="false" customHeight="false" outlineLevel="0" collapsed="false">
      <c r="A98" s="0" t="n">
        <v>77</v>
      </c>
      <c r="B98" s="0" t="s">
        <v>85</v>
      </c>
      <c r="C98" s="17" t="n">
        <v>0.167441717710665</v>
      </c>
      <c r="D98" s="17" t="n">
        <f aca="false">(C98-$B$4)/($B$6/SQRT($B$7))</f>
        <v>0.837208588553324</v>
      </c>
      <c r="E98" s="0" t="str">
        <f aca="false">IF(OR(AND($B$9="superior",D98&gt;$B$10),AND($B$9="inferior",D98&lt;-$B$10)),"Rechazar H0","No rechazar H0")</f>
        <v>No rechazar H0</v>
      </c>
      <c r="F98" s="0" t="str">
        <f aca="false">IF(AND(B98="H0 verdadera",E98="Rechazar H0"),"Error tipo I",IF(AND(B98="Ha verdadera",E98="No rechazar H0"),"Error tipo II","Decisión correcta"))</f>
        <v>Decisión correcta</v>
      </c>
    </row>
    <row r="99" customFormat="false" ht="15" hidden="false" customHeight="false" outlineLevel="0" collapsed="false">
      <c r="A99" s="0" t="n">
        <v>78</v>
      </c>
      <c r="B99" s="0" t="s">
        <v>86</v>
      </c>
      <c r="C99" s="17" t="n">
        <v>-0.163912125625519</v>
      </c>
      <c r="D99" s="17" t="n">
        <f aca="false">(C99-$B$4)/($B$6/SQRT($B$7))</f>
        <v>-0.819560628127596</v>
      </c>
      <c r="E99" s="0" t="str">
        <f aca="false">IF(OR(AND($B$9="superior",D99&gt;$B$10),AND($B$9="inferior",D99&lt;-$B$10)),"Rechazar H0","No rechazar H0")</f>
        <v>No rechazar H0</v>
      </c>
      <c r="F99" s="0" t="str">
        <f aca="false">IF(AND(B99="H0 verdadera",E99="Rechazar H0"),"Error tipo I",IF(AND(B99="Ha verdadera",E99="No rechazar H0"),"Error tipo II","Decisión correcta"))</f>
        <v>Error tipo II</v>
      </c>
    </row>
    <row r="100" customFormat="false" ht="15" hidden="false" customHeight="false" outlineLevel="0" collapsed="false">
      <c r="A100" s="0" t="n">
        <v>79</v>
      </c>
      <c r="B100" s="0" t="s">
        <v>85</v>
      </c>
      <c r="C100" s="17" t="n">
        <v>-0.36059636557813</v>
      </c>
      <c r="D100" s="17" t="n">
        <f aca="false">(C100-$B$4)/($B$6/SQRT($B$7))</f>
        <v>-1.80298182789065</v>
      </c>
      <c r="E100" s="0" t="str">
        <f aca="false">IF(OR(AND($B$9="superior",D100&gt;$B$10),AND($B$9="inferior",D100&lt;-$B$10)),"Rechazar H0","No rechazar H0")</f>
        <v>Rechazar H0</v>
      </c>
      <c r="F100" s="0" t="str">
        <f aca="false">IF(AND(B100="H0 verdadera",E100="Rechazar H0"),"Error tipo I",IF(AND(B100="Ha verdadera",E100="No rechazar H0"),"Error tipo II","Decisión correcta"))</f>
        <v>Error tipo I</v>
      </c>
    </row>
    <row r="101" customFormat="false" ht="15" hidden="false" customHeight="false" outlineLevel="0" collapsed="false">
      <c r="A101" s="0" t="n">
        <v>80</v>
      </c>
      <c r="B101" s="0" t="s">
        <v>85</v>
      </c>
      <c r="C101" s="17" t="n">
        <v>-0.253723943691004</v>
      </c>
      <c r="D101" s="17" t="n">
        <f aca="false">(C101-$B$4)/($B$6/SQRT($B$7))</f>
        <v>-1.26861971845502</v>
      </c>
      <c r="E101" s="0" t="str">
        <f aca="false">IF(OR(AND($B$9="superior",D101&gt;$B$10),AND($B$9="inferior",D101&lt;-$B$10)),"Rechazar H0","No rechazar H0")</f>
        <v>No rechazar H0</v>
      </c>
      <c r="F101" s="0" t="str">
        <f aca="false">IF(AND(B101="H0 verdadera",E101="Rechazar H0"),"Error tipo I",IF(AND(B101="Ha verdadera",E101="No rechazar H0"),"Error tipo II","Decisión correcta"))</f>
        <v>Decisión correcta</v>
      </c>
    </row>
    <row r="102" customFormat="false" ht="15" hidden="false" customHeight="false" outlineLevel="0" collapsed="false">
      <c r="A102" s="0" t="n">
        <v>81</v>
      </c>
      <c r="B102" s="0" t="s">
        <v>85</v>
      </c>
      <c r="C102" s="17" t="n">
        <v>0.0758107609330594</v>
      </c>
      <c r="D102" s="17" t="n">
        <f aca="false">(C102-$B$4)/($B$6/SQRT($B$7))</f>
        <v>0.379053804665297</v>
      </c>
      <c r="E102" s="0" t="str">
        <f aca="false">IF(OR(AND($B$9="superior",D102&gt;$B$10),AND($B$9="inferior",D102&lt;-$B$10)),"Rechazar H0","No rechazar H0")</f>
        <v>No rechazar H0</v>
      </c>
      <c r="F102" s="0" t="str">
        <f aca="false">IF(AND(B102="H0 verdadera",E102="Rechazar H0"),"Error tipo I",IF(AND(B102="Ha verdadera",E102="No rechazar H0"),"Error tipo II","Decisión correcta"))</f>
        <v>Decisión correcta</v>
      </c>
    </row>
    <row r="103" customFormat="false" ht="15" hidden="false" customHeight="false" outlineLevel="0" collapsed="false">
      <c r="A103" s="0" t="n">
        <v>82</v>
      </c>
      <c r="B103" s="0" t="s">
        <v>86</v>
      </c>
      <c r="C103" s="17" t="n">
        <v>-0.637283867531961</v>
      </c>
      <c r="D103" s="17" t="n">
        <f aca="false">(C103-$B$4)/($B$6/SQRT($B$7))</f>
        <v>-3.18641933765981</v>
      </c>
      <c r="E103" s="0" t="str">
        <f aca="false">IF(OR(AND($B$9="superior",D103&gt;$B$10),AND($B$9="inferior",D103&lt;-$B$10)),"Rechazar H0","No rechazar H0")</f>
        <v>Rechazar H0</v>
      </c>
      <c r="F103" s="0" t="str">
        <f aca="false">IF(AND(B103="H0 verdadera",E103="Rechazar H0"),"Error tipo I",IF(AND(B103="Ha verdadera",E103="No rechazar H0"),"Error tipo II","Decisión correcta"))</f>
        <v>Decisión correcta</v>
      </c>
    </row>
    <row r="104" customFormat="false" ht="15" hidden="false" customHeight="false" outlineLevel="0" collapsed="false">
      <c r="A104" s="0" t="n">
        <v>83</v>
      </c>
      <c r="B104" s="0" t="s">
        <v>85</v>
      </c>
      <c r="C104" s="17" t="n">
        <v>-0.22615336611283</v>
      </c>
      <c r="D104" s="17" t="n">
        <f aca="false">(C104-$B$4)/($B$6/SQRT($B$7))</f>
        <v>-1.13076683056415</v>
      </c>
      <c r="E104" s="0" t="str">
        <f aca="false">IF(OR(AND($B$9="superior",D104&gt;$B$10),AND($B$9="inferior",D104&lt;-$B$10)),"Rechazar H0","No rechazar H0")</f>
        <v>No rechazar H0</v>
      </c>
      <c r="F104" s="0" t="str">
        <f aca="false">IF(AND(B104="H0 verdadera",E104="Rechazar H0"),"Error tipo I",IF(AND(B104="Ha verdadera",E104="No rechazar H0"),"Error tipo II","Decisión correcta"))</f>
        <v>Decisión correcta</v>
      </c>
    </row>
    <row r="105" customFormat="false" ht="15" hidden="false" customHeight="false" outlineLevel="0" collapsed="false">
      <c r="A105" s="0" t="n">
        <v>84</v>
      </c>
      <c r="B105" s="0" t="s">
        <v>85</v>
      </c>
      <c r="C105" s="17" t="n">
        <v>-0.0547618305952977</v>
      </c>
      <c r="D105" s="17" t="n">
        <f aca="false">(C105-$B$4)/($B$6/SQRT($B$7))</f>
        <v>-0.273809152976488</v>
      </c>
      <c r="E105" s="0" t="str">
        <f aca="false">IF(OR(AND($B$9="superior",D105&gt;$B$10),AND($B$9="inferior",D105&lt;-$B$10)),"Rechazar H0","No rechazar H0")</f>
        <v>No rechazar H0</v>
      </c>
      <c r="F105" s="0" t="str">
        <f aca="false">IF(AND(B105="H0 verdadera",E105="Rechazar H0"),"Error tipo I",IF(AND(B105="Ha verdadera",E105="No rechazar H0"),"Error tipo II","Decisión correcta"))</f>
        <v>Decisión correcta</v>
      </c>
    </row>
    <row r="106" customFormat="false" ht="15" hidden="false" customHeight="false" outlineLevel="0" collapsed="false">
      <c r="A106" s="0" t="n">
        <v>85</v>
      </c>
      <c r="B106" s="0" t="s">
        <v>85</v>
      </c>
      <c r="C106" s="17" t="n">
        <v>0.0792277764787566</v>
      </c>
      <c r="D106" s="17" t="n">
        <f aca="false">(C106-$B$4)/($B$6/SQRT($B$7))</f>
        <v>0.396138882393783</v>
      </c>
      <c r="E106" s="0" t="str">
        <f aca="false">IF(OR(AND($B$9="superior",D106&gt;$B$10),AND($B$9="inferior",D106&lt;-$B$10)),"Rechazar H0","No rechazar H0")</f>
        <v>No rechazar H0</v>
      </c>
      <c r="F106" s="0" t="str">
        <f aca="false">IF(AND(B106="H0 verdadera",E106="Rechazar H0"),"Error tipo I",IF(AND(B106="Ha verdadera",E106="No rechazar H0"),"Error tipo II","Decisión correcta"))</f>
        <v>Decisión correcta</v>
      </c>
    </row>
    <row r="107" customFormat="false" ht="15" hidden="false" customHeight="false" outlineLevel="0" collapsed="false">
      <c r="A107" s="0" t="n">
        <v>86</v>
      </c>
      <c r="B107" s="0" t="s">
        <v>86</v>
      </c>
      <c r="C107" s="17" t="n">
        <v>-0.42449441721271</v>
      </c>
      <c r="D107" s="17" t="n">
        <f aca="false">(C107-$B$4)/($B$6/SQRT($B$7))</f>
        <v>-2.12247208606355</v>
      </c>
      <c r="E107" s="0" t="str">
        <f aca="false">IF(OR(AND($B$9="superior",D107&gt;$B$10),AND($B$9="inferior",D107&lt;-$B$10)),"Rechazar H0","No rechazar H0")</f>
        <v>Rechazar H0</v>
      </c>
      <c r="F107" s="0" t="str">
        <f aca="false">IF(AND(B107="H0 verdadera",E107="Rechazar H0"),"Error tipo I",IF(AND(B107="Ha verdadera",E107="No rechazar H0"),"Error tipo II","Decisión correcta"))</f>
        <v>Decisión correcta</v>
      </c>
    </row>
    <row r="108" customFormat="false" ht="15" hidden="false" customHeight="false" outlineLevel="0" collapsed="false">
      <c r="A108" s="0" t="n">
        <v>87</v>
      </c>
      <c r="B108" s="0" t="s">
        <v>85</v>
      </c>
      <c r="C108" s="17" t="n">
        <v>-0.46909206094046</v>
      </c>
      <c r="D108" s="17" t="n">
        <f aca="false">(C108-$B$4)/($B$6/SQRT($B$7))</f>
        <v>-2.3454603047023</v>
      </c>
      <c r="E108" s="0" t="str">
        <f aca="false">IF(OR(AND($B$9="superior",D108&gt;$B$10),AND($B$9="inferior",D108&lt;-$B$10)),"Rechazar H0","No rechazar H0")</f>
        <v>Rechazar H0</v>
      </c>
      <c r="F108" s="0" t="str">
        <f aca="false">IF(AND(B108="H0 verdadera",E108="Rechazar H0"),"Error tipo I",IF(AND(B108="Ha verdadera",E108="No rechazar H0"),"Error tipo II","Decisión correcta"))</f>
        <v>Error tipo I</v>
      </c>
    </row>
    <row r="109" customFormat="false" ht="15" hidden="false" customHeight="false" outlineLevel="0" collapsed="false">
      <c r="A109" s="0" t="n">
        <v>88</v>
      </c>
      <c r="B109" s="0" t="s">
        <v>86</v>
      </c>
      <c r="C109" s="17" t="n">
        <v>-0.318808439817937</v>
      </c>
      <c r="D109" s="17" t="n">
        <f aca="false">(C109-$B$4)/($B$6/SQRT($B$7))</f>
        <v>-1.59404219908969</v>
      </c>
      <c r="E109" s="0" t="str">
        <f aca="false">IF(OR(AND($B$9="superior",D109&gt;$B$10),AND($B$9="inferior",D109&lt;-$B$10)),"Rechazar H0","No rechazar H0")</f>
        <v>No rechazar H0</v>
      </c>
      <c r="F109" s="0" t="str">
        <f aca="false">IF(AND(B109="H0 verdadera",E109="Rechazar H0"),"Error tipo I",IF(AND(B109="Ha verdadera",E109="No rechazar H0"),"Error tipo II","Decisión correcta"))</f>
        <v>Error tipo II</v>
      </c>
    </row>
    <row r="110" customFormat="false" ht="15" hidden="false" customHeight="false" outlineLevel="0" collapsed="false">
      <c r="A110" s="0" t="n">
        <v>89</v>
      </c>
      <c r="B110" s="0" t="s">
        <v>86</v>
      </c>
      <c r="C110" s="17" t="n">
        <v>-0.461578340665725</v>
      </c>
      <c r="D110" s="17" t="n">
        <f aca="false">(C110-$B$4)/($B$6/SQRT($B$7))</f>
        <v>-2.30789170332862</v>
      </c>
      <c r="E110" s="0" t="str">
        <f aca="false">IF(OR(AND($B$9="superior",D110&gt;$B$10),AND($B$9="inferior",D110&lt;-$B$10)),"Rechazar H0","No rechazar H0")</f>
        <v>Rechazar H0</v>
      </c>
      <c r="F110" s="0" t="str">
        <f aca="false">IF(AND(B110="H0 verdadera",E110="Rechazar H0"),"Error tipo I",IF(AND(B110="Ha verdadera",E110="No rechazar H0"),"Error tipo II","Decisión correcta"))</f>
        <v>Decisión correcta</v>
      </c>
    </row>
    <row r="111" customFormat="false" ht="15" hidden="false" customHeight="false" outlineLevel="0" collapsed="false">
      <c r="A111" s="0" t="n">
        <v>90</v>
      </c>
      <c r="B111" s="0" t="s">
        <v>86</v>
      </c>
      <c r="C111" s="17" t="n">
        <v>-0.433628685523431</v>
      </c>
      <c r="D111" s="17" t="n">
        <f aca="false">(C111-$B$4)/($B$6/SQRT($B$7))</f>
        <v>-2.16814342761716</v>
      </c>
      <c r="E111" s="0" t="str">
        <f aca="false">IF(OR(AND($B$9="superior",D111&gt;$B$10),AND($B$9="inferior",D111&lt;-$B$10)),"Rechazar H0","No rechazar H0")</f>
        <v>Rechazar H0</v>
      </c>
      <c r="F111" s="0" t="str">
        <f aca="false">IF(AND(B111="H0 verdadera",E111="Rechazar H0"),"Error tipo I",IF(AND(B111="Ha verdadera",E111="No rechazar H0"),"Error tipo II","Decisión correcta"))</f>
        <v>Decisión correcta</v>
      </c>
    </row>
    <row r="112" customFormat="false" ht="15" hidden="false" customHeight="false" outlineLevel="0" collapsed="false">
      <c r="A112" s="0" t="n">
        <v>91</v>
      </c>
      <c r="B112" s="0" t="s">
        <v>86</v>
      </c>
      <c r="C112" s="17" t="n">
        <v>-0.371600760352523</v>
      </c>
      <c r="D112" s="17" t="n">
        <f aca="false">(C112-$B$4)/($B$6/SQRT($B$7))</f>
        <v>-1.85800380176262</v>
      </c>
      <c r="E112" s="0" t="str">
        <f aca="false">IF(OR(AND($B$9="superior",D112&gt;$B$10),AND($B$9="inferior",D112&lt;-$B$10)),"Rechazar H0","No rechazar H0")</f>
        <v>Rechazar H0</v>
      </c>
      <c r="F112" s="0" t="str">
        <f aca="false">IF(AND(B112="H0 verdadera",E112="Rechazar H0"),"Error tipo I",IF(AND(B112="Ha verdadera",E112="No rechazar H0"),"Error tipo II","Decisión correcta"))</f>
        <v>Decisión correcta</v>
      </c>
    </row>
    <row r="113" customFormat="false" ht="15" hidden="false" customHeight="false" outlineLevel="0" collapsed="false">
      <c r="A113" s="0" t="n">
        <v>92</v>
      </c>
      <c r="B113" s="0" t="s">
        <v>85</v>
      </c>
      <c r="C113" s="17" t="n">
        <v>0.353779624539771</v>
      </c>
      <c r="D113" s="17" t="n">
        <f aca="false">(C113-$B$4)/($B$6/SQRT($B$7))</f>
        <v>1.76889812269886</v>
      </c>
      <c r="E113" s="0" t="str">
        <f aca="false">IF(OR(AND($B$9="superior",D113&gt;$B$10),AND($B$9="inferior",D113&lt;-$B$10)),"Rechazar H0","No rechazar H0")</f>
        <v>No rechazar H0</v>
      </c>
      <c r="F113" s="0" t="str">
        <f aca="false">IF(AND(B113="H0 verdadera",E113="Rechazar H0"),"Error tipo I",IF(AND(B113="Ha verdadera",E113="No rechazar H0"),"Error tipo II","Decisión correcta"))</f>
        <v>Decisión correcta</v>
      </c>
    </row>
    <row r="114" customFormat="false" ht="15" hidden="false" customHeight="false" outlineLevel="0" collapsed="false">
      <c r="A114" s="0" t="n">
        <v>93</v>
      </c>
      <c r="B114" s="0" t="s">
        <v>86</v>
      </c>
      <c r="C114" s="17" t="n">
        <v>-0.197818048634906</v>
      </c>
      <c r="D114" s="17" t="n">
        <f aca="false">(C114-$B$4)/($B$6/SQRT($B$7))</f>
        <v>-0.989090243174529</v>
      </c>
      <c r="E114" s="0" t="str">
        <f aca="false">IF(OR(AND($B$9="superior",D114&gt;$B$10),AND($B$9="inferior",D114&lt;-$B$10)),"Rechazar H0","No rechazar H0")</f>
        <v>No rechazar H0</v>
      </c>
      <c r="F114" s="0" t="str">
        <f aca="false">IF(AND(B114="H0 verdadera",E114="Rechazar H0"),"Error tipo I",IF(AND(B114="Ha verdadera",E114="No rechazar H0"),"Error tipo II","Decisión correcta"))</f>
        <v>Error tipo II</v>
      </c>
    </row>
    <row r="115" customFormat="false" ht="15" hidden="false" customHeight="false" outlineLevel="0" collapsed="false">
      <c r="A115" s="0" t="n">
        <v>94</v>
      </c>
      <c r="B115" s="0" t="s">
        <v>86</v>
      </c>
      <c r="C115" s="17" t="n">
        <v>-0.386201415044652</v>
      </c>
      <c r="D115" s="17" t="n">
        <f aca="false">(C115-$B$4)/($B$6/SQRT($B$7))</f>
        <v>-1.93100707522326</v>
      </c>
      <c r="E115" s="0" t="str">
        <f aca="false">IF(OR(AND($B$9="superior",D115&gt;$B$10),AND($B$9="inferior",D115&lt;-$B$10)),"Rechazar H0","No rechazar H0")</f>
        <v>Rechazar H0</v>
      </c>
      <c r="F115" s="0" t="str">
        <f aca="false">IF(AND(B115="H0 verdadera",E115="Rechazar H0"),"Error tipo I",IF(AND(B115="Ha verdadera",E115="No rechazar H0"),"Error tipo II","Decisión correcta"))</f>
        <v>Decisión correcta</v>
      </c>
    </row>
    <row r="116" customFormat="false" ht="15" hidden="false" customHeight="false" outlineLevel="0" collapsed="false">
      <c r="A116" s="0" t="n">
        <v>95</v>
      </c>
      <c r="B116" s="0" t="s">
        <v>86</v>
      </c>
      <c r="C116" s="17" t="n">
        <v>-0.322300050712325</v>
      </c>
      <c r="D116" s="17" t="n">
        <f aca="false">(C116-$B$4)/($B$6/SQRT($B$7))</f>
        <v>-1.61150025356162</v>
      </c>
      <c r="E116" s="0" t="str">
        <f aca="false">IF(OR(AND($B$9="superior",D116&gt;$B$10),AND($B$9="inferior",D116&lt;-$B$10)),"Rechazar H0","No rechazar H0")</f>
        <v>No rechazar H0</v>
      </c>
      <c r="F116" s="0" t="str">
        <f aca="false">IF(AND(B116="H0 verdadera",E116="Rechazar H0"),"Error tipo I",IF(AND(B116="Ha verdadera",E116="No rechazar H0"),"Error tipo II","Decisión correcta"))</f>
        <v>Error tipo II</v>
      </c>
    </row>
    <row r="117" customFormat="false" ht="15" hidden="false" customHeight="false" outlineLevel="0" collapsed="false">
      <c r="A117" s="0" t="n">
        <v>96</v>
      </c>
      <c r="B117" s="0" t="s">
        <v>86</v>
      </c>
      <c r="C117" s="17" t="n">
        <v>-0.226444738175193</v>
      </c>
      <c r="D117" s="17" t="n">
        <f aca="false">(C117-$B$4)/($B$6/SQRT($B$7))</f>
        <v>-1.13222369087596</v>
      </c>
      <c r="E117" s="0" t="str">
        <f aca="false">IF(OR(AND($B$9="superior",D117&gt;$B$10),AND($B$9="inferior",D117&lt;-$B$10)),"Rechazar H0","No rechazar H0")</f>
        <v>No rechazar H0</v>
      </c>
      <c r="F117" s="0" t="str">
        <f aca="false">IF(AND(B117="H0 verdadera",E117="Rechazar H0"),"Error tipo I",IF(AND(B117="Ha verdadera",E117="No rechazar H0"),"Error tipo II","Decisión correcta"))</f>
        <v>Error tipo II</v>
      </c>
    </row>
    <row r="118" customFormat="false" ht="15" hidden="false" customHeight="false" outlineLevel="0" collapsed="false">
      <c r="A118" s="0" t="n">
        <v>97</v>
      </c>
      <c r="B118" s="0" t="s">
        <v>86</v>
      </c>
      <c r="C118" s="17" t="n">
        <v>-0.414344094127634</v>
      </c>
      <c r="D118" s="17" t="n">
        <f aca="false">(C118-$B$4)/($B$6/SQRT($B$7))</f>
        <v>-2.07172047063817</v>
      </c>
      <c r="E118" s="0" t="str">
        <f aca="false">IF(OR(AND($B$9="superior",D118&gt;$B$10),AND($B$9="inferior",D118&lt;-$B$10)),"Rechazar H0","No rechazar H0")</f>
        <v>Rechazar H0</v>
      </c>
      <c r="F118" s="0" t="str">
        <f aca="false">IF(AND(B118="H0 verdadera",E118="Rechazar H0"),"Error tipo I",IF(AND(B118="Ha verdadera",E118="No rechazar H0"),"Error tipo II","Decisión correcta"))</f>
        <v>Decisión correcta</v>
      </c>
    </row>
    <row r="119" customFormat="false" ht="15" hidden="false" customHeight="false" outlineLevel="0" collapsed="false">
      <c r="A119" s="0" t="n">
        <v>98</v>
      </c>
      <c r="B119" s="0" t="s">
        <v>86</v>
      </c>
      <c r="C119" s="17" t="n">
        <v>-0.294371751054141</v>
      </c>
      <c r="D119" s="17" t="n">
        <f aca="false">(C119-$B$4)/($B$6/SQRT($B$7))</f>
        <v>-1.47185875527071</v>
      </c>
      <c r="E119" s="0" t="str">
        <f aca="false">IF(OR(AND($B$9="superior",D119&gt;$B$10),AND($B$9="inferior",D119&lt;-$B$10)),"Rechazar H0","No rechazar H0")</f>
        <v>No rechazar H0</v>
      </c>
      <c r="F119" s="0" t="str">
        <f aca="false">IF(AND(B119="H0 verdadera",E119="Rechazar H0"),"Error tipo I",IF(AND(B119="Ha verdadera",E119="No rechazar H0"),"Error tipo II","Decisión correcta"))</f>
        <v>Error tipo II</v>
      </c>
    </row>
    <row r="120" customFormat="false" ht="15" hidden="false" customHeight="false" outlineLevel="0" collapsed="false">
      <c r="A120" s="0" t="n">
        <v>99</v>
      </c>
      <c r="B120" s="0" t="s">
        <v>85</v>
      </c>
      <c r="C120" s="17" t="n">
        <v>-0.110621931287456</v>
      </c>
      <c r="D120" s="17" t="n">
        <f aca="false">(C120-$B$4)/($B$6/SQRT($B$7))</f>
        <v>-0.553109656437282</v>
      </c>
      <c r="E120" s="0" t="str">
        <f aca="false">IF(OR(AND($B$9="superior",D120&gt;$B$10),AND($B$9="inferior",D120&lt;-$B$10)),"Rechazar H0","No rechazar H0")</f>
        <v>No rechazar H0</v>
      </c>
      <c r="F120" s="0" t="str">
        <f aca="false">IF(AND(B120="H0 verdadera",E120="Rechazar H0"),"Error tipo I",IF(AND(B120="Ha verdadera",E120="No rechazar H0"),"Error tipo II","Decisión correcta"))</f>
        <v>Decisión correcta</v>
      </c>
    </row>
    <row r="121" customFormat="false" ht="15" hidden="false" customHeight="false" outlineLevel="0" collapsed="false">
      <c r="A121" s="0" t="n">
        <v>100</v>
      </c>
      <c r="B121" s="0" t="s">
        <v>86</v>
      </c>
      <c r="C121" s="17" t="n">
        <v>-0.300059698743263</v>
      </c>
      <c r="D121" s="17" t="n">
        <f aca="false">(C121-$B$4)/($B$6/SQRT($B$7))</f>
        <v>-1.50029849371631</v>
      </c>
      <c r="E121" s="0" t="str">
        <f aca="false">IF(OR(AND($B$9="superior",D121&gt;$B$10),AND($B$9="inferior",D121&lt;-$B$10)),"Rechazar H0","No rechazar H0")</f>
        <v>No rechazar H0</v>
      </c>
      <c r="F121" s="0" t="str">
        <f aca="false">IF(AND(B121="H0 verdadera",E121="Rechazar H0"),"Error tipo I",IF(AND(B121="Ha verdadera",E121="No rechazar H0"),"Error tipo II","Decisión correcta"))</f>
        <v>Error tipo II</v>
      </c>
    </row>
    <row r="122" customFormat="false" ht="15" hidden="false" customHeight="false" outlineLevel="0" collapsed="false">
      <c r="A122" s="0" t="n">
        <v>101</v>
      </c>
      <c r="B122" s="0" t="s">
        <v>86</v>
      </c>
      <c r="C122" s="17" t="n">
        <v>-0.621007662235112</v>
      </c>
      <c r="D122" s="17" t="n">
        <f aca="false">(C122-$B$4)/($B$6/SQRT($B$7))</f>
        <v>-3.10503831117556</v>
      </c>
      <c r="E122" s="0" t="str">
        <f aca="false">IF(OR(AND($B$9="superior",D122&gt;$B$10),AND($B$9="inferior",D122&lt;-$B$10)),"Rechazar H0","No rechazar H0")</f>
        <v>Rechazar H0</v>
      </c>
      <c r="F122" s="0" t="str">
        <f aca="false">IF(AND(B122="H0 verdadera",E122="Rechazar H0"),"Error tipo I",IF(AND(B122="Ha verdadera",E122="No rechazar H0"),"Error tipo II","Decisión correcta"))</f>
        <v>Decisión correcta</v>
      </c>
    </row>
    <row r="123" customFormat="false" ht="15" hidden="false" customHeight="false" outlineLevel="0" collapsed="false">
      <c r="A123" s="0" t="n">
        <v>102</v>
      </c>
      <c r="B123" s="0" t="s">
        <v>85</v>
      </c>
      <c r="C123" s="17" t="n">
        <v>-0.0593698270157466</v>
      </c>
      <c r="D123" s="17" t="n">
        <f aca="false">(C123-$B$4)/($B$6/SQRT($B$7))</f>
        <v>-0.296849135078733</v>
      </c>
      <c r="E123" s="0" t="str">
        <f aca="false">IF(OR(AND($B$9="superior",D123&gt;$B$10),AND($B$9="inferior",D123&lt;-$B$10)),"Rechazar H0","No rechazar H0")</f>
        <v>No rechazar H0</v>
      </c>
      <c r="F123" s="0" t="str">
        <f aca="false">IF(AND(B123="H0 verdadera",E123="Rechazar H0"),"Error tipo I",IF(AND(B123="Ha verdadera",E123="No rechazar H0"),"Error tipo II","Decisión correcta"))</f>
        <v>Decisión correcta</v>
      </c>
    </row>
    <row r="124" customFormat="false" ht="15" hidden="false" customHeight="false" outlineLevel="0" collapsed="false">
      <c r="A124" s="0" t="n">
        <v>103</v>
      </c>
      <c r="B124" s="0" t="s">
        <v>86</v>
      </c>
      <c r="C124" s="17" t="n">
        <v>-0.228168958035738</v>
      </c>
      <c r="D124" s="17" t="n">
        <f aca="false">(C124-$B$4)/($B$6/SQRT($B$7))</f>
        <v>-1.14084479017869</v>
      </c>
      <c r="E124" s="0" t="str">
        <f aca="false">IF(OR(AND($B$9="superior",D124&gt;$B$10),AND($B$9="inferior",D124&lt;-$B$10)),"Rechazar H0","No rechazar H0")</f>
        <v>No rechazar H0</v>
      </c>
      <c r="F124" s="0" t="str">
        <f aca="false">IF(AND(B124="H0 verdadera",E124="Rechazar H0"),"Error tipo I",IF(AND(B124="Ha verdadera",E124="No rechazar H0"),"Error tipo II","Decisión correcta"))</f>
        <v>Error tipo II</v>
      </c>
    </row>
    <row r="125" customFormat="false" ht="15" hidden="false" customHeight="false" outlineLevel="0" collapsed="false">
      <c r="A125" s="0" t="n">
        <v>104</v>
      </c>
      <c r="B125" s="0" t="s">
        <v>85</v>
      </c>
      <c r="C125" s="17" t="n">
        <v>0.18638054523486</v>
      </c>
      <c r="D125" s="17" t="n">
        <f aca="false">(C125-$B$4)/($B$6/SQRT($B$7))</f>
        <v>0.931902726174299</v>
      </c>
      <c r="E125" s="0" t="str">
        <f aca="false">IF(OR(AND($B$9="superior",D125&gt;$B$10),AND($B$9="inferior",D125&lt;-$B$10)),"Rechazar H0","No rechazar H0")</f>
        <v>No rechazar H0</v>
      </c>
      <c r="F125" s="0" t="str">
        <f aca="false">IF(AND(B125="H0 verdadera",E125="Rechazar H0"),"Error tipo I",IF(AND(B125="Ha verdadera",E125="No rechazar H0"),"Error tipo II","Decisión correcta"))</f>
        <v>Decisión correcta</v>
      </c>
    </row>
    <row r="126" customFormat="false" ht="15" hidden="false" customHeight="false" outlineLevel="0" collapsed="false">
      <c r="A126" s="0" t="n">
        <v>105</v>
      </c>
      <c r="B126" s="0" t="s">
        <v>86</v>
      </c>
      <c r="C126" s="17" t="n">
        <v>-0.780855514298073</v>
      </c>
      <c r="D126" s="17" t="n">
        <f aca="false">(C126-$B$4)/($B$6/SQRT($B$7))</f>
        <v>-3.90427757149037</v>
      </c>
      <c r="E126" s="0" t="str">
        <f aca="false">IF(OR(AND($B$9="superior",D126&gt;$B$10),AND($B$9="inferior",D126&lt;-$B$10)),"Rechazar H0","No rechazar H0")</f>
        <v>Rechazar H0</v>
      </c>
      <c r="F126" s="0" t="str">
        <f aca="false">IF(AND(B126="H0 verdadera",E126="Rechazar H0"),"Error tipo I",IF(AND(B126="Ha verdadera",E126="No rechazar H0"),"Error tipo II","Decisión correcta"))</f>
        <v>Decisión correcta</v>
      </c>
    </row>
    <row r="127" customFormat="false" ht="15" hidden="false" customHeight="false" outlineLevel="0" collapsed="false">
      <c r="A127" s="0" t="n">
        <v>106</v>
      </c>
      <c r="B127" s="0" t="s">
        <v>85</v>
      </c>
      <c r="C127" s="17" t="n">
        <v>-0.237822723040397</v>
      </c>
      <c r="D127" s="17" t="n">
        <f aca="false">(C127-$B$4)/($B$6/SQRT($B$7))</f>
        <v>-1.18911361520198</v>
      </c>
      <c r="E127" s="0" t="str">
        <f aca="false">IF(OR(AND($B$9="superior",D127&gt;$B$10),AND($B$9="inferior",D127&lt;-$B$10)),"Rechazar H0","No rechazar H0")</f>
        <v>No rechazar H0</v>
      </c>
      <c r="F127" s="0" t="str">
        <f aca="false">IF(AND(B127="H0 verdadera",E127="Rechazar H0"),"Error tipo I",IF(AND(B127="Ha verdadera",E127="No rechazar H0"),"Error tipo II","Decisión correcta"))</f>
        <v>Decisión correcta</v>
      </c>
    </row>
    <row r="128" customFormat="false" ht="15" hidden="false" customHeight="false" outlineLevel="0" collapsed="false">
      <c r="A128" s="0" t="n">
        <v>107</v>
      </c>
      <c r="B128" s="0" t="s">
        <v>86</v>
      </c>
      <c r="C128" s="17" t="n">
        <v>-0.137726082724228</v>
      </c>
      <c r="D128" s="17" t="n">
        <f aca="false">(C128-$B$4)/($B$6/SQRT($B$7))</f>
        <v>-0.688630413621139</v>
      </c>
      <c r="E128" s="0" t="str">
        <f aca="false">IF(OR(AND($B$9="superior",D128&gt;$B$10),AND($B$9="inferior",D128&lt;-$B$10)),"Rechazar H0","No rechazar H0")</f>
        <v>No rechazar H0</v>
      </c>
      <c r="F128" s="0" t="str">
        <f aca="false">IF(AND(B128="H0 verdadera",E128="Rechazar H0"),"Error tipo I",IF(AND(B128="Ha verdadera",E128="No rechazar H0"),"Error tipo II","Decisión correcta"))</f>
        <v>Error tipo II</v>
      </c>
    </row>
    <row r="129" customFormat="false" ht="15" hidden="false" customHeight="false" outlineLevel="0" collapsed="false">
      <c r="A129" s="0" t="n">
        <v>108</v>
      </c>
      <c r="B129" s="0" t="s">
        <v>86</v>
      </c>
      <c r="C129" s="17" t="n">
        <v>-0.620133219952684</v>
      </c>
      <c r="D129" s="17" t="n">
        <f aca="false">(C129-$B$4)/($B$6/SQRT($B$7))</f>
        <v>-3.10066609976342</v>
      </c>
      <c r="E129" s="0" t="str">
        <f aca="false">IF(OR(AND($B$9="superior",D129&gt;$B$10),AND($B$9="inferior",D129&lt;-$B$10)),"Rechazar H0","No rechazar H0")</f>
        <v>Rechazar H0</v>
      </c>
      <c r="F129" s="0" t="str">
        <f aca="false">IF(AND(B129="H0 verdadera",E129="Rechazar H0"),"Error tipo I",IF(AND(B129="Ha verdadera",E129="No rechazar H0"),"Error tipo II","Decisión correcta"))</f>
        <v>Decisión correcta</v>
      </c>
    </row>
    <row r="130" customFormat="false" ht="15" hidden="false" customHeight="false" outlineLevel="0" collapsed="false">
      <c r="A130" s="0" t="n">
        <v>109</v>
      </c>
      <c r="B130" s="0" t="s">
        <v>86</v>
      </c>
      <c r="C130" s="17" t="n">
        <v>-0.341243150814313</v>
      </c>
      <c r="D130" s="17" t="n">
        <f aca="false">(C130-$B$4)/($B$6/SQRT($B$7))</f>
        <v>-1.70621575407156</v>
      </c>
      <c r="E130" s="0" t="str">
        <f aca="false">IF(OR(AND($B$9="superior",D130&gt;$B$10),AND($B$9="inferior",D130&lt;-$B$10)),"Rechazar H0","No rechazar H0")</f>
        <v>Rechazar H0</v>
      </c>
      <c r="F130" s="0" t="str">
        <f aca="false">IF(AND(B130="H0 verdadera",E130="Rechazar H0"),"Error tipo I",IF(AND(B130="Ha verdadera",E130="No rechazar H0"),"Error tipo II","Decisión correcta"))</f>
        <v>Decisión correcta</v>
      </c>
    </row>
    <row r="131" customFormat="false" ht="15" hidden="false" customHeight="false" outlineLevel="0" collapsed="false">
      <c r="A131" s="0" t="n">
        <v>110</v>
      </c>
      <c r="B131" s="0" t="s">
        <v>85</v>
      </c>
      <c r="C131" s="17" t="n">
        <v>0.0332358439965523</v>
      </c>
      <c r="D131" s="17" t="n">
        <f aca="false">(C131-$B$4)/($B$6/SQRT($B$7))</f>
        <v>0.166179219982762</v>
      </c>
      <c r="E131" s="0" t="str">
        <f aca="false">IF(OR(AND($B$9="superior",D131&gt;$B$10),AND($B$9="inferior",D131&lt;-$B$10)),"Rechazar H0","No rechazar H0")</f>
        <v>No rechazar H0</v>
      </c>
      <c r="F131" s="0" t="str">
        <f aca="false">IF(AND(B131="H0 verdadera",E131="Rechazar H0"),"Error tipo I",IF(AND(B131="Ha verdadera",E131="No rechazar H0"),"Error tipo II","Decisión correcta"))</f>
        <v>Decisión correcta</v>
      </c>
    </row>
    <row r="132" customFormat="false" ht="15" hidden="false" customHeight="false" outlineLevel="0" collapsed="false">
      <c r="A132" s="0" t="n">
        <v>111</v>
      </c>
      <c r="B132" s="0" t="s">
        <v>86</v>
      </c>
      <c r="C132" s="17" t="n">
        <v>-0.479320754132856</v>
      </c>
      <c r="D132" s="17" t="n">
        <f aca="false">(C132-$B$4)/($B$6/SQRT($B$7))</f>
        <v>-2.39660377066428</v>
      </c>
      <c r="E132" s="0" t="str">
        <f aca="false">IF(OR(AND($B$9="superior",D132&gt;$B$10),AND($B$9="inferior",D132&lt;-$B$10)),"Rechazar H0","No rechazar H0")</f>
        <v>Rechazar H0</v>
      </c>
      <c r="F132" s="0" t="str">
        <f aca="false">IF(AND(B132="H0 verdadera",E132="Rechazar H0"),"Error tipo I",IF(AND(B132="Ha verdadera",E132="No rechazar H0"),"Error tipo II","Decisión correcta"))</f>
        <v>Decisión correcta</v>
      </c>
    </row>
    <row r="133" customFormat="false" ht="15" hidden="false" customHeight="false" outlineLevel="0" collapsed="false">
      <c r="A133" s="0" t="n">
        <v>112</v>
      </c>
      <c r="B133" s="0" t="s">
        <v>85</v>
      </c>
      <c r="C133" s="17" t="n">
        <v>-0.00312346022570646</v>
      </c>
      <c r="D133" s="17" t="n">
        <f aca="false">(C133-$B$4)/($B$6/SQRT($B$7))</f>
        <v>-0.0156173011285323</v>
      </c>
      <c r="E133" s="0" t="str">
        <f aca="false">IF(OR(AND($B$9="superior",D133&gt;$B$10),AND($B$9="inferior",D133&lt;-$B$10)),"Rechazar H0","No rechazar H0")</f>
        <v>No rechazar H0</v>
      </c>
      <c r="F133" s="0" t="str">
        <f aca="false">IF(AND(B133="H0 verdadera",E133="Rechazar H0"),"Error tipo I",IF(AND(B133="Ha verdadera",E133="No rechazar H0"),"Error tipo II","Decisión correcta"))</f>
        <v>Decisión correcta</v>
      </c>
    </row>
    <row r="134" customFormat="false" ht="15" hidden="false" customHeight="false" outlineLevel="0" collapsed="false">
      <c r="A134" s="0" t="n">
        <v>113</v>
      </c>
      <c r="B134" s="0" t="s">
        <v>86</v>
      </c>
      <c r="C134" s="17" t="n">
        <v>-0.634059072873145</v>
      </c>
      <c r="D134" s="17" t="n">
        <f aca="false">(C134-$B$4)/($B$6/SQRT($B$7))</f>
        <v>-3.17029536436573</v>
      </c>
      <c r="E134" s="0" t="str">
        <f aca="false">IF(OR(AND($B$9="superior",D134&gt;$B$10),AND($B$9="inferior",D134&lt;-$B$10)),"Rechazar H0","No rechazar H0")</f>
        <v>Rechazar H0</v>
      </c>
      <c r="F134" s="0" t="str">
        <f aca="false">IF(AND(B134="H0 verdadera",E134="Rechazar H0"),"Error tipo I",IF(AND(B134="Ha verdadera",E134="No rechazar H0"),"Error tipo II","Decisión correcta"))</f>
        <v>Decisión correcta</v>
      </c>
    </row>
    <row r="135" customFormat="false" ht="15" hidden="false" customHeight="false" outlineLevel="0" collapsed="false">
      <c r="A135" s="0" t="n">
        <v>114</v>
      </c>
      <c r="B135" s="0" t="s">
        <v>85</v>
      </c>
      <c r="C135" s="17" t="n">
        <v>-0.0896236365378651</v>
      </c>
      <c r="D135" s="17" t="n">
        <f aca="false">(C135-$B$4)/($B$6/SQRT($B$7))</f>
        <v>-0.448118182689326</v>
      </c>
      <c r="E135" s="0" t="str">
        <f aca="false">IF(OR(AND($B$9="superior",D135&gt;$B$10),AND($B$9="inferior",D135&lt;-$B$10)),"Rechazar H0","No rechazar H0")</f>
        <v>No rechazar H0</v>
      </c>
      <c r="F135" s="0" t="str">
        <f aca="false">IF(AND(B135="H0 verdadera",E135="Rechazar H0"),"Error tipo I",IF(AND(B135="Ha verdadera",E135="No rechazar H0"),"Error tipo II","Decisión correcta"))</f>
        <v>Decisión correcta</v>
      </c>
    </row>
    <row r="136" customFormat="false" ht="15" hidden="false" customHeight="false" outlineLevel="0" collapsed="false">
      <c r="A136" s="0" t="n">
        <v>115</v>
      </c>
      <c r="B136" s="0" t="s">
        <v>85</v>
      </c>
      <c r="C136" s="17" t="n">
        <v>0.682649365294046</v>
      </c>
      <c r="D136" s="17" t="n">
        <f aca="false">(C136-$B$4)/($B$6/SQRT($B$7))</f>
        <v>3.41324682647023</v>
      </c>
      <c r="E136" s="0" t="str">
        <f aca="false">IF(OR(AND($B$9="superior",D136&gt;$B$10),AND($B$9="inferior",D136&lt;-$B$10)),"Rechazar H0","No rechazar H0")</f>
        <v>No rechazar H0</v>
      </c>
      <c r="F136" s="0" t="str">
        <f aca="false">IF(AND(B136="H0 verdadera",E136="Rechazar H0"),"Error tipo I",IF(AND(B136="Ha verdadera",E136="No rechazar H0"),"Error tipo II","Decisión correcta"))</f>
        <v>Decisión correcta</v>
      </c>
    </row>
    <row r="137" customFormat="false" ht="15" hidden="false" customHeight="false" outlineLevel="0" collapsed="false">
      <c r="A137" s="0" t="n">
        <v>116</v>
      </c>
      <c r="B137" s="0" t="s">
        <v>85</v>
      </c>
      <c r="C137" s="17" t="n">
        <v>0.0491641707046117</v>
      </c>
      <c r="D137" s="17" t="n">
        <f aca="false">(C137-$B$4)/($B$6/SQRT($B$7))</f>
        <v>0.245820853523059</v>
      </c>
      <c r="E137" s="0" t="str">
        <f aca="false">IF(OR(AND($B$9="superior",D137&gt;$B$10),AND($B$9="inferior",D137&lt;-$B$10)),"Rechazar H0","No rechazar H0")</f>
        <v>No rechazar H0</v>
      </c>
      <c r="F137" s="0" t="str">
        <f aca="false">IF(AND(B137="H0 verdadera",E137="Rechazar H0"),"Error tipo I",IF(AND(B137="Ha verdadera",E137="No rechazar H0"),"Error tipo II","Decisión correcta"))</f>
        <v>Decisión correcta</v>
      </c>
    </row>
    <row r="138" customFormat="false" ht="15" hidden="false" customHeight="false" outlineLevel="0" collapsed="false">
      <c r="A138" s="0" t="n">
        <v>117</v>
      </c>
      <c r="B138" s="0" t="s">
        <v>85</v>
      </c>
      <c r="C138" s="17" t="n">
        <v>-0.00922236766578914</v>
      </c>
      <c r="D138" s="17" t="n">
        <f aca="false">(C138-$B$4)/($B$6/SQRT($B$7))</f>
        <v>-0.0461118383289457</v>
      </c>
      <c r="E138" s="0" t="str">
        <f aca="false">IF(OR(AND($B$9="superior",D138&gt;$B$10),AND($B$9="inferior",D138&lt;-$B$10)),"Rechazar H0","No rechazar H0")</f>
        <v>No rechazar H0</v>
      </c>
      <c r="F138" s="0" t="str">
        <f aca="false">IF(AND(B138="H0 verdadera",E138="Rechazar H0"),"Error tipo I",IF(AND(B138="Ha verdadera",E138="No rechazar H0"),"Error tipo II","Decisión correcta"))</f>
        <v>Decisión correcta</v>
      </c>
    </row>
    <row r="139" customFormat="false" ht="15" hidden="false" customHeight="false" outlineLevel="0" collapsed="false">
      <c r="A139" s="0" t="n">
        <v>118</v>
      </c>
      <c r="B139" s="0" t="s">
        <v>86</v>
      </c>
      <c r="C139" s="17" t="n">
        <v>-0.639069566404181</v>
      </c>
      <c r="D139" s="17" t="n">
        <f aca="false">(C139-$B$4)/($B$6/SQRT($B$7))</f>
        <v>-3.19534783202091</v>
      </c>
      <c r="E139" s="0" t="str">
        <f aca="false">IF(OR(AND($B$9="superior",D139&gt;$B$10),AND($B$9="inferior",D139&lt;-$B$10)),"Rechazar H0","No rechazar H0")</f>
        <v>Rechazar H0</v>
      </c>
      <c r="F139" s="0" t="str">
        <f aca="false">IF(AND(B139="H0 verdadera",E139="Rechazar H0"),"Error tipo I",IF(AND(B139="Ha verdadera",E139="No rechazar H0"),"Error tipo II","Decisión correcta"))</f>
        <v>Decisión correcta</v>
      </c>
    </row>
    <row r="140" customFormat="false" ht="15" hidden="false" customHeight="false" outlineLevel="0" collapsed="false">
      <c r="A140" s="0" t="n">
        <v>119</v>
      </c>
      <c r="B140" s="0" t="s">
        <v>85</v>
      </c>
      <c r="C140" s="17" t="n">
        <v>0.268065202711082</v>
      </c>
      <c r="D140" s="17" t="n">
        <f aca="false">(C140-$B$4)/($B$6/SQRT($B$7))</f>
        <v>1.34032601355541</v>
      </c>
      <c r="E140" s="0" t="str">
        <f aca="false">IF(OR(AND($B$9="superior",D140&gt;$B$10),AND($B$9="inferior",D140&lt;-$B$10)),"Rechazar H0","No rechazar H0")</f>
        <v>No rechazar H0</v>
      </c>
      <c r="F140" s="0" t="str">
        <f aca="false">IF(AND(B140="H0 verdadera",E140="Rechazar H0"),"Error tipo I",IF(AND(B140="Ha verdadera",E140="No rechazar H0"),"Error tipo II","Decisión correcta"))</f>
        <v>Decisión correcta</v>
      </c>
    </row>
    <row r="141" customFormat="false" ht="15" hidden="false" customHeight="false" outlineLevel="0" collapsed="false">
      <c r="A141" s="0" t="n">
        <v>120</v>
      </c>
      <c r="B141" s="0" t="s">
        <v>86</v>
      </c>
      <c r="C141" s="17" t="n">
        <v>-0.74783159023621</v>
      </c>
      <c r="D141" s="17" t="n">
        <f aca="false">(C141-$B$4)/($B$6/SQRT($B$7))</f>
        <v>-3.73915795118105</v>
      </c>
      <c r="E141" s="0" t="str">
        <f aca="false">IF(OR(AND($B$9="superior",D141&gt;$B$10),AND($B$9="inferior",D141&lt;-$B$10)),"Rechazar H0","No rechazar H0")</f>
        <v>Rechazar H0</v>
      </c>
      <c r="F141" s="0" t="str">
        <f aca="false">IF(AND(B141="H0 verdadera",E141="Rechazar H0"),"Error tipo I",IF(AND(B141="Ha verdadera",E141="No rechazar H0"),"Error tipo II","Decisión correcta"))</f>
        <v>Decisión correcta</v>
      </c>
    </row>
    <row r="142" customFormat="false" ht="15" hidden="false" customHeight="false" outlineLevel="0" collapsed="false">
      <c r="A142" s="0" t="n">
        <v>121</v>
      </c>
      <c r="B142" s="0" t="s">
        <v>86</v>
      </c>
      <c r="C142" s="17" t="n">
        <v>-0.501274305636342</v>
      </c>
      <c r="D142" s="17" t="n">
        <f aca="false">(C142-$B$4)/($B$6/SQRT($B$7))</f>
        <v>-2.50637152818171</v>
      </c>
      <c r="E142" s="0" t="str">
        <f aca="false">IF(OR(AND($B$9="superior",D142&gt;$B$10),AND($B$9="inferior",D142&lt;-$B$10)),"Rechazar H0","No rechazar H0")</f>
        <v>Rechazar H0</v>
      </c>
      <c r="F142" s="0" t="str">
        <f aca="false">IF(AND(B142="H0 verdadera",E142="Rechazar H0"),"Error tipo I",IF(AND(B142="Ha verdadera",E142="No rechazar H0"),"Error tipo II","Decisión correcta"))</f>
        <v>Decisión correcta</v>
      </c>
    </row>
    <row r="143" customFormat="false" ht="15" hidden="false" customHeight="false" outlineLevel="0" collapsed="false">
      <c r="A143" s="0" t="n">
        <v>122</v>
      </c>
      <c r="B143" s="0" t="s">
        <v>86</v>
      </c>
      <c r="C143" s="17" t="n">
        <v>-0.980352871036034</v>
      </c>
      <c r="D143" s="17" t="n">
        <f aca="false">(C143-$B$4)/($B$6/SQRT($B$7))</f>
        <v>-4.90176435518017</v>
      </c>
      <c r="E143" s="0" t="str">
        <f aca="false">IF(OR(AND($B$9="superior",D143&gt;$B$10),AND($B$9="inferior",D143&lt;-$B$10)),"Rechazar H0","No rechazar H0")</f>
        <v>Rechazar H0</v>
      </c>
      <c r="F143" s="0" t="str">
        <f aca="false">IF(AND(B143="H0 verdadera",E143="Rechazar H0"),"Error tipo I",IF(AND(B143="Ha verdadera",E143="No rechazar H0"),"Error tipo II","Decisión correcta"))</f>
        <v>Decisión correcta</v>
      </c>
    </row>
    <row r="144" customFormat="false" ht="15" hidden="false" customHeight="false" outlineLevel="0" collapsed="false">
      <c r="A144" s="0" t="n">
        <v>123</v>
      </c>
      <c r="B144" s="0" t="s">
        <v>85</v>
      </c>
      <c r="C144" s="17" t="n">
        <v>0.171651916205462</v>
      </c>
      <c r="D144" s="17" t="n">
        <f aca="false">(C144-$B$4)/($B$6/SQRT($B$7))</f>
        <v>0.858259581027308</v>
      </c>
      <c r="E144" s="0" t="str">
        <f aca="false">IF(OR(AND($B$9="superior",D144&gt;$B$10),AND($B$9="inferior",D144&lt;-$B$10)),"Rechazar H0","No rechazar H0")</f>
        <v>No rechazar H0</v>
      </c>
      <c r="F144" s="0" t="str">
        <f aca="false">IF(AND(B144="H0 verdadera",E144="Rechazar H0"),"Error tipo I",IF(AND(B144="Ha verdadera",E144="No rechazar H0"),"Error tipo II","Decisión correcta"))</f>
        <v>Decisión correcta</v>
      </c>
    </row>
    <row r="145" customFormat="false" ht="15" hidden="false" customHeight="false" outlineLevel="0" collapsed="false">
      <c r="A145" s="0" t="n">
        <v>124</v>
      </c>
      <c r="B145" s="0" t="s">
        <v>85</v>
      </c>
      <c r="C145" s="17" t="n">
        <v>0.0165806032158002</v>
      </c>
      <c r="D145" s="17" t="n">
        <f aca="false">(C145-$B$4)/($B$6/SQRT($B$7))</f>
        <v>0.0829030160790009</v>
      </c>
      <c r="E145" s="0" t="str">
        <f aca="false">IF(OR(AND($B$9="superior",D145&gt;$B$10),AND($B$9="inferior",D145&lt;-$B$10)),"Rechazar H0","No rechazar H0")</f>
        <v>No rechazar H0</v>
      </c>
      <c r="F145" s="0" t="str">
        <f aca="false">IF(AND(B145="H0 verdadera",E145="Rechazar H0"),"Error tipo I",IF(AND(B145="Ha verdadera",E145="No rechazar H0"),"Error tipo II","Decisión correcta"))</f>
        <v>Decisión correcta</v>
      </c>
    </row>
    <row r="146" customFormat="false" ht="15" hidden="false" customHeight="false" outlineLevel="0" collapsed="false">
      <c r="A146" s="0" t="n">
        <v>125</v>
      </c>
      <c r="B146" s="0" t="s">
        <v>85</v>
      </c>
      <c r="C146" s="17" t="n">
        <v>-0.0452240714506257</v>
      </c>
      <c r="D146" s="17" t="n">
        <f aca="false">(C146-$B$4)/($B$6/SQRT($B$7))</f>
        <v>-0.226120357253129</v>
      </c>
      <c r="E146" s="0" t="str">
        <f aca="false">IF(OR(AND($B$9="superior",D146&gt;$B$10),AND($B$9="inferior",D146&lt;-$B$10)),"Rechazar H0","No rechazar H0")</f>
        <v>No rechazar H0</v>
      </c>
      <c r="F146" s="0" t="str">
        <f aca="false">IF(AND(B146="H0 verdadera",E146="Rechazar H0"),"Error tipo I",IF(AND(B146="Ha verdadera",E146="No rechazar H0"),"Error tipo II","Decisión correcta"))</f>
        <v>Decisión correcta</v>
      </c>
    </row>
    <row r="147" customFormat="false" ht="15" hidden="false" customHeight="false" outlineLevel="0" collapsed="false">
      <c r="A147" s="0" t="n">
        <v>126</v>
      </c>
      <c r="B147" s="0" t="s">
        <v>85</v>
      </c>
      <c r="C147" s="17" t="n">
        <v>0.204829182368674</v>
      </c>
      <c r="D147" s="17" t="n">
        <f aca="false">(C147-$B$4)/($B$6/SQRT($B$7))</f>
        <v>1.02414591184337</v>
      </c>
      <c r="E147" s="0" t="str">
        <f aca="false">IF(OR(AND($B$9="superior",D147&gt;$B$10),AND($B$9="inferior",D147&lt;-$B$10)),"Rechazar H0","No rechazar H0")</f>
        <v>No rechazar H0</v>
      </c>
      <c r="F147" s="0" t="str">
        <f aca="false">IF(AND(B147="H0 verdadera",E147="Rechazar H0"),"Error tipo I",IF(AND(B147="Ha verdadera",E147="No rechazar H0"),"Error tipo II","Decisión correcta"))</f>
        <v>Decisión correcta</v>
      </c>
    </row>
    <row r="148" customFormat="false" ht="15" hidden="false" customHeight="false" outlineLevel="0" collapsed="false">
      <c r="A148" s="0" t="n">
        <v>127</v>
      </c>
      <c r="B148" s="0" t="s">
        <v>86</v>
      </c>
      <c r="C148" s="17" t="n">
        <v>-0.350096475539783</v>
      </c>
      <c r="D148" s="17" t="n">
        <f aca="false">(C148-$B$4)/($B$6/SQRT($B$7))</f>
        <v>-1.75048237769891</v>
      </c>
      <c r="E148" s="0" t="str">
        <f aca="false">IF(OR(AND($B$9="superior",D148&gt;$B$10),AND($B$9="inferior",D148&lt;-$B$10)),"Rechazar H0","No rechazar H0")</f>
        <v>Rechazar H0</v>
      </c>
      <c r="F148" s="0" t="str">
        <f aca="false">IF(AND(B148="H0 verdadera",E148="Rechazar H0"),"Error tipo I",IF(AND(B148="Ha verdadera",E148="No rechazar H0"),"Error tipo II","Decisión correcta"))</f>
        <v>Decisión correcta</v>
      </c>
    </row>
    <row r="149" customFormat="false" ht="15" hidden="false" customHeight="false" outlineLevel="0" collapsed="false">
      <c r="A149" s="0" t="n">
        <v>128</v>
      </c>
      <c r="B149" s="0" t="s">
        <v>86</v>
      </c>
      <c r="C149" s="17" t="n">
        <v>-0.371921593297377</v>
      </c>
      <c r="D149" s="17" t="n">
        <f aca="false">(C149-$B$4)/($B$6/SQRT($B$7))</f>
        <v>-1.85960796648689</v>
      </c>
      <c r="E149" s="0" t="str">
        <f aca="false">IF(OR(AND($B$9="superior",D149&gt;$B$10),AND($B$9="inferior",D149&lt;-$B$10)),"Rechazar H0","No rechazar H0")</f>
        <v>Rechazar H0</v>
      </c>
      <c r="F149" s="0" t="str">
        <f aca="false">IF(AND(B149="H0 verdadera",E149="Rechazar H0"),"Error tipo I",IF(AND(B149="Ha verdadera",E149="No rechazar H0"),"Error tipo II","Decisión correcta"))</f>
        <v>Decisión correcta</v>
      </c>
    </row>
    <row r="150" customFormat="false" ht="15" hidden="false" customHeight="false" outlineLevel="0" collapsed="false">
      <c r="A150" s="0" t="n">
        <v>129</v>
      </c>
      <c r="B150" s="0" t="s">
        <v>85</v>
      </c>
      <c r="C150" s="17" t="n">
        <v>-0.266138484351959</v>
      </c>
      <c r="D150" s="17" t="n">
        <f aca="false">(C150-$B$4)/($B$6/SQRT($B$7))</f>
        <v>-1.3306924217598</v>
      </c>
      <c r="E150" s="0" t="str">
        <f aca="false">IF(OR(AND($B$9="superior",D150&gt;$B$10),AND($B$9="inferior",D150&lt;-$B$10)),"Rechazar H0","No rechazar H0")</f>
        <v>No rechazar H0</v>
      </c>
      <c r="F150" s="0" t="str">
        <f aca="false">IF(AND(B150="H0 verdadera",E150="Rechazar H0"),"Error tipo I",IF(AND(B150="Ha verdadera",E150="No rechazar H0"),"Error tipo II","Decisión correcta"))</f>
        <v>Decisión correcta</v>
      </c>
    </row>
    <row r="151" customFormat="false" ht="15" hidden="false" customHeight="false" outlineLevel="0" collapsed="false">
      <c r="A151" s="0" t="n">
        <v>130</v>
      </c>
      <c r="B151" s="0" t="s">
        <v>86</v>
      </c>
      <c r="C151" s="17" t="n">
        <v>-0.0692479738593696</v>
      </c>
      <c r="D151" s="17" t="n">
        <f aca="false">(C151-$B$4)/($B$6/SQRT($B$7))</f>
        <v>-0.346239869296848</v>
      </c>
      <c r="E151" s="0" t="str">
        <f aca="false">IF(OR(AND($B$9="superior",D151&gt;$B$10),AND($B$9="inferior",D151&lt;-$B$10)),"Rechazar H0","No rechazar H0")</f>
        <v>No rechazar H0</v>
      </c>
      <c r="F151" s="0" t="str">
        <f aca="false">IF(AND(B151="H0 verdadera",E151="Rechazar H0"),"Error tipo I",IF(AND(B151="Ha verdadera",E151="No rechazar H0"),"Error tipo II","Decisión correcta"))</f>
        <v>Error tipo II</v>
      </c>
    </row>
    <row r="152" customFormat="false" ht="15" hidden="false" customHeight="false" outlineLevel="0" collapsed="false">
      <c r="A152" s="0" t="n">
        <v>131</v>
      </c>
      <c r="B152" s="0" t="s">
        <v>86</v>
      </c>
      <c r="C152" s="17" t="n">
        <v>-0.247226433691164</v>
      </c>
      <c r="D152" s="17" t="n">
        <f aca="false">(C152-$B$4)/($B$6/SQRT($B$7))</f>
        <v>-1.23613216845582</v>
      </c>
      <c r="E152" s="0" t="str">
        <f aca="false">IF(OR(AND($B$9="superior",D152&gt;$B$10),AND($B$9="inferior",D152&lt;-$B$10)),"Rechazar H0","No rechazar H0")</f>
        <v>No rechazar H0</v>
      </c>
      <c r="F152" s="0" t="str">
        <f aca="false">IF(AND(B152="H0 verdadera",E152="Rechazar H0"),"Error tipo I",IF(AND(B152="Ha verdadera",E152="No rechazar H0"),"Error tipo II","Decisión correcta"))</f>
        <v>Error tipo II</v>
      </c>
    </row>
    <row r="153" customFormat="false" ht="15" hidden="false" customHeight="false" outlineLevel="0" collapsed="false">
      <c r="A153" s="0" t="n">
        <v>132</v>
      </c>
      <c r="B153" s="0" t="s">
        <v>86</v>
      </c>
      <c r="C153" s="17" t="n">
        <v>-0.266135750167961</v>
      </c>
      <c r="D153" s="17" t="n">
        <f aca="false">(C153-$B$4)/($B$6/SQRT($B$7))</f>
        <v>-1.33067875083981</v>
      </c>
      <c r="E153" s="0" t="str">
        <f aca="false">IF(OR(AND($B$9="superior",D153&gt;$B$10),AND($B$9="inferior",D153&lt;-$B$10)),"Rechazar H0","No rechazar H0")</f>
        <v>No rechazar H0</v>
      </c>
      <c r="F153" s="0" t="str">
        <f aca="false">IF(AND(B153="H0 verdadera",E153="Rechazar H0"),"Error tipo I",IF(AND(B153="Ha verdadera",E153="No rechazar H0"),"Error tipo II","Decisión correcta"))</f>
        <v>Error tipo II</v>
      </c>
    </row>
    <row r="154" customFormat="false" ht="15" hidden="false" customHeight="false" outlineLevel="0" collapsed="false">
      <c r="A154" s="0" t="n">
        <v>133</v>
      </c>
      <c r="B154" s="0" t="s">
        <v>86</v>
      </c>
      <c r="C154" s="17" t="n">
        <v>-0.334436997885259</v>
      </c>
      <c r="D154" s="17" t="n">
        <f aca="false">(C154-$B$4)/($B$6/SQRT($B$7))</f>
        <v>-1.67218498942629</v>
      </c>
      <c r="E154" s="0" t="str">
        <f aca="false">IF(OR(AND($B$9="superior",D154&gt;$B$10),AND($B$9="inferior",D154&lt;-$B$10)),"Rechazar H0","No rechazar H0")</f>
        <v>Rechazar H0</v>
      </c>
      <c r="F154" s="0" t="str">
        <f aca="false">IF(AND(B154="H0 verdadera",E154="Rechazar H0"),"Error tipo I",IF(AND(B154="Ha verdadera",E154="No rechazar H0"),"Error tipo II","Decisión correcta"))</f>
        <v>Decisión correcta</v>
      </c>
    </row>
    <row r="155" customFormat="false" ht="15" hidden="false" customHeight="false" outlineLevel="0" collapsed="false">
      <c r="A155" s="0" t="n">
        <v>134</v>
      </c>
      <c r="B155" s="0" t="s">
        <v>86</v>
      </c>
      <c r="C155" s="17" t="n">
        <v>-0.284519474406633</v>
      </c>
      <c r="D155" s="17" t="n">
        <f aca="false">(C155-$B$4)/($B$6/SQRT($B$7))</f>
        <v>-1.42259737203316</v>
      </c>
      <c r="E155" s="0" t="str">
        <f aca="false">IF(OR(AND($B$9="superior",D155&gt;$B$10),AND($B$9="inferior",D155&lt;-$B$10)),"Rechazar H0","No rechazar H0")</f>
        <v>No rechazar H0</v>
      </c>
      <c r="F155" s="0" t="str">
        <f aca="false">IF(AND(B155="H0 verdadera",E155="Rechazar H0"),"Error tipo I",IF(AND(B155="Ha verdadera",E155="No rechazar H0"),"Error tipo II","Decisión correcta"))</f>
        <v>Error tipo II</v>
      </c>
    </row>
    <row r="156" customFormat="false" ht="15" hidden="false" customHeight="false" outlineLevel="0" collapsed="false">
      <c r="A156" s="0" t="n">
        <v>135</v>
      </c>
      <c r="B156" s="0" t="s">
        <v>85</v>
      </c>
      <c r="C156" s="17" t="n">
        <v>-0.1201553459596</v>
      </c>
      <c r="D156" s="17" t="n">
        <f aca="false">(C156-$B$4)/($B$6/SQRT($B$7))</f>
        <v>-0.600776729797998</v>
      </c>
      <c r="E156" s="0" t="str">
        <f aca="false">IF(OR(AND($B$9="superior",D156&gt;$B$10),AND($B$9="inferior",D156&lt;-$B$10)),"Rechazar H0","No rechazar H0")</f>
        <v>No rechazar H0</v>
      </c>
      <c r="F156" s="0" t="str">
        <f aca="false">IF(AND(B156="H0 verdadera",E156="Rechazar H0"),"Error tipo I",IF(AND(B156="Ha verdadera",E156="No rechazar H0"),"Error tipo II","Decisión correcta"))</f>
        <v>Decisión correcta</v>
      </c>
    </row>
    <row r="157" customFormat="false" ht="15" hidden="false" customHeight="false" outlineLevel="0" collapsed="false">
      <c r="A157" s="0" t="n">
        <v>136</v>
      </c>
      <c r="B157" s="0" t="s">
        <v>86</v>
      </c>
      <c r="C157" s="17" t="n">
        <v>-0.374673253460122</v>
      </c>
      <c r="D157" s="17" t="n">
        <f aca="false">(C157-$B$4)/($B$6/SQRT($B$7))</f>
        <v>-1.87336626730061</v>
      </c>
      <c r="E157" s="0" t="str">
        <f aca="false">IF(OR(AND($B$9="superior",D157&gt;$B$10),AND($B$9="inferior",D157&lt;-$B$10)),"Rechazar H0","No rechazar H0")</f>
        <v>Rechazar H0</v>
      </c>
      <c r="F157" s="0" t="str">
        <f aca="false">IF(AND(B157="H0 verdadera",E157="Rechazar H0"),"Error tipo I",IF(AND(B157="Ha verdadera",E157="No rechazar H0"),"Error tipo II","Decisión correcta"))</f>
        <v>Decisión correcta</v>
      </c>
    </row>
    <row r="158" customFormat="false" ht="15" hidden="false" customHeight="false" outlineLevel="0" collapsed="false">
      <c r="A158" s="0" t="n">
        <v>137</v>
      </c>
      <c r="B158" s="0" t="s">
        <v>86</v>
      </c>
      <c r="C158" s="17" t="n">
        <v>-0.469340499635897</v>
      </c>
      <c r="D158" s="17" t="n">
        <f aca="false">(C158-$B$4)/($B$6/SQRT($B$7))</f>
        <v>-2.34670249817949</v>
      </c>
      <c r="E158" s="0" t="str">
        <f aca="false">IF(OR(AND($B$9="superior",D158&gt;$B$10),AND($B$9="inferior",D158&lt;-$B$10)),"Rechazar H0","No rechazar H0")</f>
        <v>Rechazar H0</v>
      </c>
      <c r="F158" s="0" t="str">
        <f aca="false">IF(AND(B158="H0 verdadera",E158="Rechazar H0"),"Error tipo I",IF(AND(B158="Ha verdadera",E158="No rechazar H0"),"Error tipo II","Decisión correcta"))</f>
        <v>Decisión correcta</v>
      </c>
    </row>
    <row r="159" customFormat="false" ht="15" hidden="false" customHeight="false" outlineLevel="0" collapsed="false">
      <c r="A159" s="0" t="n">
        <v>138</v>
      </c>
      <c r="B159" s="0" t="s">
        <v>86</v>
      </c>
      <c r="C159" s="17" t="n">
        <v>-0.507544995911937</v>
      </c>
      <c r="D159" s="17" t="n">
        <f aca="false">(C159-$B$4)/($B$6/SQRT($B$7))</f>
        <v>-2.53772497955968</v>
      </c>
      <c r="E159" s="0" t="str">
        <f aca="false">IF(OR(AND($B$9="superior",D159&gt;$B$10),AND($B$9="inferior",D159&lt;-$B$10)),"Rechazar H0","No rechazar H0")</f>
        <v>Rechazar H0</v>
      </c>
      <c r="F159" s="0" t="str">
        <f aca="false">IF(AND(B159="H0 verdadera",E159="Rechazar H0"),"Error tipo I",IF(AND(B159="Ha verdadera",E159="No rechazar H0"),"Error tipo II","Decisión correcta"))</f>
        <v>Decisión correcta</v>
      </c>
    </row>
    <row r="160" customFormat="false" ht="15" hidden="false" customHeight="false" outlineLevel="0" collapsed="false">
      <c r="A160" s="0" t="n">
        <v>139</v>
      </c>
      <c r="B160" s="0" t="s">
        <v>85</v>
      </c>
      <c r="C160" s="17" t="n">
        <v>0.234194069469408</v>
      </c>
      <c r="D160" s="17" t="n">
        <f aca="false">(C160-$B$4)/($B$6/SQRT($B$7))</f>
        <v>1.17097034734704</v>
      </c>
      <c r="E160" s="0" t="str">
        <f aca="false">IF(OR(AND($B$9="superior",D160&gt;$B$10),AND($B$9="inferior",D160&lt;-$B$10)),"Rechazar H0","No rechazar H0")</f>
        <v>No rechazar H0</v>
      </c>
      <c r="F160" s="0" t="str">
        <f aca="false">IF(AND(B160="H0 verdadera",E160="Rechazar H0"),"Error tipo I",IF(AND(B160="Ha verdadera",E160="No rechazar H0"),"Error tipo II","Decisión correcta"))</f>
        <v>Decisión correcta</v>
      </c>
    </row>
    <row r="161" customFormat="false" ht="15" hidden="false" customHeight="false" outlineLevel="0" collapsed="false">
      <c r="A161" s="0" t="n">
        <v>140</v>
      </c>
      <c r="B161" s="0" t="s">
        <v>86</v>
      </c>
      <c r="C161" s="17" t="n">
        <v>-0.474859812227707</v>
      </c>
      <c r="D161" s="17" t="n">
        <f aca="false">(C161-$B$4)/($B$6/SQRT($B$7))</f>
        <v>-2.37429906113853</v>
      </c>
      <c r="E161" s="0" t="str">
        <f aca="false">IF(OR(AND($B$9="superior",D161&gt;$B$10),AND($B$9="inferior",D161&lt;-$B$10)),"Rechazar H0","No rechazar H0")</f>
        <v>Rechazar H0</v>
      </c>
      <c r="F161" s="0" t="str">
        <f aca="false">IF(AND(B161="H0 verdadera",E161="Rechazar H0"),"Error tipo I",IF(AND(B161="Ha verdadera",E161="No rechazar H0"),"Error tipo II","Decisión correcta"))</f>
        <v>Decisión correcta</v>
      </c>
    </row>
    <row r="162" customFormat="false" ht="15" hidden="false" customHeight="false" outlineLevel="0" collapsed="false">
      <c r="A162" s="0" t="n">
        <v>141</v>
      </c>
      <c r="B162" s="0" t="s">
        <v>86</v>
      </c>
      <c r="C162" s="17" t="n">
        <v>-0.23743275023512</v>
      </c>
      <c r="D162" s="17" t="n">
        <f aca="false">(C162-$B$4)/($B$6/SQRT($B$7))</f>
        <v>-1.1871637511756</v>
      </c>
      <c r="E162" s="0" t="str">
        <f aca="false">IF(OR(AND($B$9="superior",D162&gt;$B$10),AND($B$9="inferior",D162&lt;-$B$10)),"Rechazar H0","No rechazar H0")</f>
        <v>No rechazar H0</v>
      </c>
      <c r="F162" s="0" t="str">
        <f aca="false">IF(AND(B162="H0 verdadera",E162="Rechazar H0"),"Error tipo I",IF(AND(B162="Ha verdadera",E162="No rechazar H0"),"Error tipo II","Decisión correcta"))</f>
        <v>Error tipo II</v>
      </c>
    </row>
    <row r="163" customFormat="false" ht="15" hidden="false" customHeight="false" outlineLevel="0" collapsed="false">
      <c r="A163" s="0" t="n">
        <v>142</v>
      </c>
      <c r="B163" s="0" t="s">
        <v>85</v>
      </c>
      <c r="C163" s="17" t="n">
        <v>-0.534762222650639</v>
      </c>
      <c r="D163" s="17" t="n">
        <f aca="false">(C163-$B$4)/($B$6/SQRT($B$7))</f>
        <v>-2.6738111132532</v>
      </c>
      <c r="E163" s="0" t="str">
        <f aca="false">IF(OR(AND($B$9="superior",D163&gt;$B$10),AND($B$9="inferior",D163&lt;-$B$10)),"Rechazar H0","No rechazar H0")</f>
        <v>Rechazar H0</v>
      </c>
      <c r="F163" s="0" t="str">
        <f aca="false">IF(AND(B163="H0 verdadera",E163="Rechazar H0"),"Error tipo I",IF(AND(B163="Ha verdadera",E163="No rechazar H0"),"Error tipo II","Decisión correcta"))</f>
        <v>Error tipo I</v>
      </c>
    </row>
    <row r="164" customFormat="false" ht="15" hidden="false" customHeight="false" outlineLevel="0" collapsed="false">
      <c r="A164" s="0" t="n">
        <v>143</v>
      </c>
      <c r="B164" s="0" t="s">
        <v>85</v>
      </c>
      <c r="C164" s="17" t="n">
        <v>0.0140704918739155</v>
      </c>
      <c r="D164" s="17" t="n">
        <f aca="false">(C164-$B$4)/($B$6/SQRT($B$7))</f>
        <v>0.0703524593695773</v>
      </c>
      <c r="E164" s="0" t="str">
        <f aca="false">IF(OR(AND($B$9="superior",D164&gt;$B$10),AND($B$9="inferior",D164&lt;-$B$10)),"Rechazar H0","No rechazar H0")</f>
        <v>No rechazar H0</v>
      </c>
      <c r="F164" s="0" t="str">
        <f aca="false">IF(AND(B164="H0 verdadera",E164="Rechazar H0"),"Error tipo I",IF(AND(B164="Ha verdadera",E164="No rechazar H0"),"Error tipo II","Decisión correcta"))</f>
        <v>Decisión correcta</v>
      </c>
    </row>
    <row r="165" customFormat="false" ht="15" hidden="false" customHeight="false" outlineLevel="0" collapsed="false">
      <c r="A165" s="0" t="n">
        <v>144</v>
      </c>
      <c r="B165" s="0" t="s">
        <v>85</v>
      </c>
      <c r="C165" s="17" t="n">
        <v>0.026887697835165</v>
      </c>
      <c r="D165" s="17" t="n">
        <f aca="false">(C165-$B$4)/($B$6/SQRT($B$7))</f>
        <v>0.134438489175825</v>
      </c>
      <c r="E165" s="0" t="str">
        <f aca="false">IF(OR(AND($B$9="superior",D165&gt;$B$10),AND($B$9="inferior",D165&lt;-$B$10)),"Rechazar H0","No rechazar H0")</f>
        <v>No rechazar H0</v>
      </c>
      <c r="F165" s="0" t="str">
        <f aca="false">IF(AND(B165="H0 verdadera",E165="Rechazar H0"),"Error tipo I",IF(AND(B165="Ha verdadera",E165="No rechazar H0"),"Error tipo II","Decisión correcta"))</f>
        <v>Decisión correcta</v>
      </c>
    </row>
    <row r="166" customFormat="false" ht="15" hidden="false" customHeight="false" outlineLevel="0" collapsed="false">
      <c r="A166" s="0" t="n">
        <v>145</v>
      </c>
      <c r="B166" s="0" t="s">
        <v>86</v>
      </c>
      <c r="C166" s="17" t="n">
        <v>-0.130573959972182</v>
      </c>
      <c r="D166" s="17" t="n">
        <f aca="false">(C166-$B$4)/($B$6/SQRT($B$7))</f>
        <v>-0.65286979986091</v>
      </c>
      <c r="E166" s="0" t="str">
        <f aca="false">IF(OR(AND($B$9="superior",D166&gt;$B$10),AND($B$9="inferior",D166&lt;-$B$10)),"Rechazar H0","No rechazar H0")</f>
        <v>No rechazar H0</v>
      </c>
      <c r="F166" s="0" t="str">
        <f aca="false">IF(AND(B166="H0 verdadera",E166="Rechazar H0"),"Error tipo I",IF(AND(B166="Ha verdadera",E166="No rechazar H0"),"Error tipo II","Decisión correcta"))</f>
        <v>Error tipo II</v>
      </c>
    </row>
    <row r="167" customFormat="false" ht="15" hidden="false" customHeight="false" outlineLevel="0" collapsed="false">
      <c r="A167" s="0" t="n">
        <v>146</v>
      </c>
      <c r="B167" s="0" t="s">
        <v>85</v>
      </c>
      <c r="C167" s="17" t="n">
        <v>0.108605429191424</v>
      </c>
      <c r="D167" s="17" t="n">
        <f aca="false">(C167-$B$4)/($B$6/SQRT($B$7))</f>
        <v>0.543027145957121</v>
      </c>
      <c r="E167" s="0" t="str">
        <f aca="false">IF(OR(AND($B$9="superior",D167&gt;$B$10),AND($B$9="inferior",D167&lt;-$B$10)),"Rechazar H0","No rechazar H0")</f>
        <v>No rechazar H0</v>
      </c>
      <c r="F167" s="0" t="str">
        <f aca="false">IF(AND(B167="H0 verdadera",E167="Rechazar H0"),"Error tipo I",IF(AND(B167="Ha verdadera",E167="No rechazar H0"),"Error tipo II","Decisión correcta"))</f>
        <v>Decisión correcta</v>
      </c>
    </row>
    <row r="168" customFormat="false" ht="15" hidden="false" customHeight="false" outlineLevel="0" collapsed="false">
      <c r="A168" s="0" t="n">
        <v>147</v>
      </c>
      <c r="B168" s="0" t="s">
        <v>85</v>
      </c>
      <c r="C168" s="17" t="n">
        <v>0.0528815947153521</v>
      </c>
      <c r="D168" s="17" t="n">
        <f aca="false">(C168-$B$4)/($B$6/SQRT($B$7))</f>
        <v>0.264407973576761</v>
      </c>
      <c r="E168" s="0" t="str">
        <f aca="false">IF(OR(AND($B$9="superior",D168&gt;$B$10),AND($B$9="inferior",D168&lt;-$B$10)),"Rechazar H0","No rechazar H0")</f>
        <v>No rechazar H0</v>
      </c>
      <c r="F168" s="0" t="str">
        <f aca="false">IF(AND(B168="H0 verdadera",E168="Rechazar H0"),"Error tipo I",IF(AND(B168="Ha verdadera",E168="No rechazar H0"),"Error tipo II","Decisión correcta"))</f>
        <v>Decisión correcta</v>
      </c>
    </row>
    <row r="169" customFormat="false" ht="15" hidden="false" customHeight="false" outlineLevel="0" collapsed="false">
      <c r="A169" s="0" t="n">
        <v>148</v>
      </c>
      <c r="B169" s="0" t="s">
        <v>85</v>
      </c>
      <c r="C169" s="17" t="n">
        <v>-0.0831357068510975</v>
      </c>
      <c r="D169" s="17" t="n">
        <f aca="false">(C169-$B$4)/($B$6/SQRT($B$7))</f>
        <v>-0.415678534255487</v>
      </c>
      <c r="E169" s="0" t="str">
        <f aca="false">IF(OR(AND($B$9="superior",D169&gt;$B$10),AND($B$9="inferior",D169&lt;-$B$10)),"Rechazar H0","No rechazar H0")</f>
        <v>No rechazar H0</v>
      </c>
      <c r="F169" s="0" t="str">
        <f aca="false">IF(AND(B169="H0 verdadera",E169="Rechazar H0"),"Error tipo I",IF(AND(B169="Ha verdadera",E169="No rechazar H0"),"Error tipo II","Decisión correcta"))</f>
        <v>Decisión correcta</v>
      </c>
    </row>
    <row r="170" customFormat="false" ht="15" hidden="false" customHeight="false" outlineLevel="0" collapsed="false">
      <c r="A170" s="0" t="n">
        <v>149</v>
      </c>
      <c r="B170" s="0" t="s">
        <v>85</v>
      </c>
      <c r="C170" s="17" t="n">
        <v>0.254684455492498</v>
      </c>
      <c r="D170" s="17" t="n">
        <f aca="false">(C170-$B$4)/($B$6/SQRT($B$7))</f>
        <v>1.27342227746249</v>
      </c>
      <c r="E170" s="0" t="str">
        <f aca="false">IF(OR(AND($B$9="superior",D170&gt;$B$10),AND($B$9="inferior",D170&lt;-$B$10)),"Rechazar H0","No rechazar H0")</f>
        <v>No rechazar H0</v>
      </c>
      <c r="F170" s="0" t="str">
        <f aca="false">IF(AND(B170="H0 verdadera",E170="Rechazar H0"),"Error tipo I",IF(AND(B170="Ha verdadera",E170="No rechazar H0"),"Error tipo II","Decisión correcta"))</f>
        <v>Decisión correcta</v>
      </c>
    </row>
    <row r="171" customFormat="false" ht="15" hidden="false" customHeight="false" outlineLevel="0" collapsed="false">
      <c r="A171" s="0" t="n">
        <v>150</v>
      </c>
      <c r="B171" s="0" t="s">
        <v>85</v>
      </c>
      <c r="C171" s="17" t="n">
        <v>0.136620462878132</v>
      </c>
      <c r="D171" s="17" t="n">
        <f aca="false">(C171-$B$4)/($B$6/SQRT($B$7))</f>
        <v>0.683102314390662</v>
      </c>
      <c r="E171" s="0" t="str">
        <f aca="false">IF(OR(AND($B$9="superior",D171&gt;$B$10),AND($B$9="inferior",D171&lt;-$B$10)),"Rechazar H0","No rechazar H0")</f>
        <v>No rechazar H0</v>
      </c>
      <c r="F171" s="0" t="str">
        <f aca="false">IF(AND(B171="H0 verdadera",E171="Rechazar H0"),"Error tipo I",IF(AND(B171="Ha verdadera",E171="No rechazar H0"),"Error tipo II","Decisión correcta"))</f>
        <v>Decisión correcta</v>
      </c>
    </row>
    <row r="172" customFormat="false" ht="15" hidden="false" customHeight="false" outlineLevel="0" collapsed="false">
      <c r="A172" s="0" t="n">
        <v>151</v>
      </c>
      <c r="B172" s="0" t="s">
        <v>86</v>
      </c>
      <c r="C172" s="17" t="n">
        <v>-0.542728626607003</v>
      </c>
      <c r="D172" s="17" t="n">
        <f aca="false">(C172-$B$4)/($B$6/SQRT($B$7))</f>
        <v>-2.71364313303501</v>
      </c>
      <c r="E172" s="0" t="str">
        <f aca="false">IF(OR(AND($B$9="superior",D172&gt;$B$10),AND($B$9="inferior",D172&lt;-$B$10)),"Rechazar H0","No rechazar H0")</f>
        <v>Rechazar H0</v>
      </c>
      <c r="F172" s="0" t="str">
        <f aca="false">IF(AND(B172="H0 verdadera",E172="Rechazar H0"),"Error tipo I",IF(AND(B172="Ha verdadera",E172="No rechazar H0"),"Error tipo II","Decisión correcta"))</f>
        <v>Decisión correcta</v>
      </c>
    </row>
    <row r="173" customFormat="false" ht="15" hidden="false" customHeight="false" outlineLevel="0" collapsed="false">
      <c r="A173" s="0" t="n">
        <v>152</v>
      </c>
      <c r="B173" s="0" t="s">
        <v>85</v>
      </c>
      <c r="C173" s="17" t="n">
        <v>-0.0436849704322302</v>
      </c>
      <c r="D173" s="17" t="n">
        <f aca="false">(C173-$B$4)/($B$6/SQRT($B$7))</f>
        <v>-0.218424852161151</v>
      </c>
      <c r="E173" s="0" t="str">
        <f aca="false">IF(OR(AND($B$9="superior",D173&gt;$B$10),AND($B$9="inferior",D173&lt;-$B$10)),"Rechazar H0","No rechazar H0")</f>
        <v>No rechazar H0</v>
      </c>
      <c r="F173" s="0" t="str">
        <f aca="false">IF(AND(B173="H0 verdadera",E173="Rechazar H0"),"Error tipo I",IF(AND(B173="Ha verdadera",E173="No rechazar H0"),"Error tipo II","Decisión correcta"))</f>
        <v>Decisión correcta</v>
      </c>
    </row>
    <row r="174" customFormat="false" ht="15" hidden="false" customHeight="false" outlineLevel="0" collapsed="false">
      <c r="A174" s="0" t="n">
        <v>153</v>
      </c>
      <c r="B174" s="0" t="s">
        <v>86</v>
      </c>
      <c r="C174" s="17" t="n">
        <v>-0.742821828919872</v>
      </c>
      <c r="D174" s="17" t="n">
        <f aca="false">(C174-$B$4)/($B$6/SQRT($B$7))</f>
        <v>-3.71410914459936</v>
      </c>
      <c r="E174" s="0" t="str">
        <f aca="false">IF(OR(AND($B$9="superior",D174&gt;$B$10),AND($B$9="inferior",D174&lt;-$B$10)),"Rechazar H0","No rechazar H0")</f>
        <v>Rechazar H0</v>
      </c>
      <c r="F174" s="0" t="str">
        <f aca="false">IF(AND(B174="H0 verdadera",E174="Rechazar H0"),"Error tipo I",IF(AND(B174="Ha verdadera",E174="No rechazar H0"),"Error tipo II","Decisión correcta"))</f>
        <v>Decisión correcta</v>
      </c>
    </row>
    <row r="175" customFormat="false" ht="15" hidden="false" customHeight="false" outlineLevel="0" collapsed="false">
      <c r="A175" s="0" t="n">
        <v>154</v>
      </c>
      <c r="B175" s="0" t="s">
        <v>85</v>
      </c>
      <c r="C175" s="17" t="n">
        <v>0.196900919807575</v>
      </c>
      <c r="D175" s="17" t="n">
        <f aca="false">(C175-$B$4)/($B$6/SQRT($B$7))</f>
        <v>0.984504599037873</v>
      </c>
      <c r="E175" s="0" t="str">
        <f aca="false">IF(OR(AND($B$9="superior",D175&gt;$B$10),AND($B$9="inferior",D175&lt;-$B$10)),"Rechazar H0","No rechazar H0")</f>
        <v>No rechazar H0</v>
      </c>
      <c r="F175" s="0" t="str">
        <f aca="false">IF(AND(B175="H0 verdadera",E175="Rechazar H0"),"Error tipo I",IF(AND(B175="Ha verdadera",E175="No rechazar H0"),"Error tipo II","Decisión correcta"))</f>
        <v>Decisión correcta</v>
      </c>
    </row>
    <row r="176" customFormat="false" ht="15" hidden="false" customHeight="false" outlineLevel="0" collapsed="false">
      <c r="A176" s="0" t="n">
        <v>155</v>
      </c>
      <c r="B176" s="0" t="s">
        <v>86</v>
      </c>
      <c r="C176" s="17" t="n">
        <v>-0.259165678653457</v>
      </c>
      <c r="D176" s="17" t="n">
        <f aca="false">(C176-$B$4)/($B$6/SQRT($B$7))</f>
        <v>-1.29582839326729</v>
      </c>
      <c r="E176" s="0" t="str">
        <f aca="false">IF(OR(AND($B$9="superior",D176&gt;$B$10),AND($B$9="inferior",D176&lt;-$B$10)),"Rechazar H0","No rechazar H0")</f>
        <v>No rechazar H0</v>
      </c>
      <c r="F176" s="0" t="str">
        <f aca="false">IF(AND(B176="H0 verdadera",E176="Rechazar H0"),"Error tipo I",IF(AND(B176="Ha verdadera",E176="No rechazar H0"),"Error tipo II","Decisión correcta"))</f>
        <v>Error tipo II</v>
      </c>
    </row>
    <row r="177" customFormat="false" ht="15" hidden="false" customHeight="false" outlineLevel="0" collapsed="false">
      <c r="A177" s="0" t="n">
        <v>156</v>
      </c>
      <c r="B177" s="0" t="s">
        <v>85</v>
      </c>
      <c r="C177" s="17" t="n">
        <v>-0.145533854567682</v>
      </c>
      <c r="D177" s="17" t="n">
        <f aca="false">(C177-$B$4)/($B$6/SQRT($B$7))</f>
        <v>-0.72766927283841</v>
      </c>
      <c r="E177" s="0" t="str">
        <f aca="false">IF(OR(AND($B$9="superior",D177&gt;$B$10),AND($B$9="inferior",D177&lt;-$B$10)),"Rechazar H0","No rechazar H0")</f>
        <v>No rechazar H0</v>
      </c>
      <c r="F177" s="0" t="str">
        <f aca="false">IF(AND(B177="H0 verdadera",E177="Rechazar H0"),"Error tipo I",IF(AND(B177="Ha verdadera",E177="No rechazar H0"),"Error tipo II","Decisión correcta"))</f>
        <v>Decisión correcta</v>
      </c>
    </row>
    <row r="178" customFormat="false" ht="15" hidden="false" customHeight="false" outlineLevel="0" collapsed="false">
      <c r="A178" s="0" t="n">
        <v>157</v>
      </c>
      <c r="B178" s="0" t="s">
        <v>86</v>
      </c>
      <c r="C178" s="17" t="n">
        <v>-0.502553511813132</v>
      </c>
      <c r="D178" s="17" t="n">
        <f aca="false">(C178-$B$4)/($B$6/SQRT($B$7))</f>
        <v>-2.51276755906566</v>
      </c>
      <c r="E178" s="0" t="str">
        <f aca="false">IF(OR(AND($B$9="superior",D178&gt;$B$10),AND($B$9="inferior",D178&lt;-$B$10)),"Rechazar H0","No rechazar H0")</f>
        <v>Rechazar H0</v>
      </c>
      <c r="F178" s="0" t="str">
        <f aca="false">IF(AND(B178="H0 verdadera",E178="Rechazar H0"),"Error tipo I",IF(AND(B178="Ha verdadera",E178="No rechazar H0"),"Error tipo II","Decisión correcta"))</f>
        <v>Decisión correcta</v>
      </c>
    </row>
    <row r="179" customFormat="false" ht="15" hidden="false" customHeight="false" outlineLevel="0" collapsed="false">
      <c r="A179" s="0" t="n">
        <v>158</v>
      </c>
      <c r="B179" s="0" t="s">
        <v>85</v>
      </c>
      <c r="C179" s="17" t="n">
        <v>-0.200666378036636</v>
      </c>
      <c r="D179" s="17" t="n">
        <f aca="false">(C179-$B$4)/($B$6/SQRT($B$7))</f>
        <v>-1.00333189018318</v>
      </c>
      <c r="E179" s="0" t="str">
        <f aca="false">IF(OR(AND($B$9="superior",D179&gt;$B$10),AND($B$9="inferior",D179&lt;-$B$10)),"Rechazar H0","No rechazar H0")</f>
        <v>No rechazar H0</v>
      </c>
      <c r="F179" s="0" t="str">
        <f aca="false">IF(AND(B179="H0 verdadera",E179="Rechazar H0"),"Error tipo I",IF(AND(B179="Ha verdadera",E179="No rechazar H0"),"Error tipo II","Decisión correcta"))</f>
        <v>Decisión correcta</v>
      </c>
    </row>
    <row r="180" customFormat="false" ht="15" hidden="false" customHeight="false" outlineLevel="0" collapsed="false">
      <c r="A180" s="0" t="n">
        <v>159</v>
      </c>
      <c r="B180" s="0" t="s">
        <v>85</v>
      </c>
      <c r="C180" s="17" t="n">
        <v>0.0799275060580854</v>
      </c>
      <c r="D180" s="17" t="n">
        <f aca="false">(C180-$B$4)/($B$6/SQRT($B$7))</f>
        <v>0.399637530290427</v>
      </c>
      <c r="E180" s="0" t="str">
        <f aca="false">IF(OR(AND($B$9="superior",D180&gt;$B$10),AND($B$9="inferior",D180&lt;-$B$10)),"Rechazar H0","No rechazar H0")</f>
        <v>No rechazar H0</v>
      </c>
      <c r="F180" s="0" t="str">
        <f aca="false">IF(AND(B180="H0 verdadera",E180="Rechazar H0"),"Error tipo I",IF(AND(B180="Ha verdadera",E180="No rechazar H0"),"Error tipo II","Decisión correcta"))</f>
        <v>Decisión correcta</v>
      </c>
    </row>
    <row r="181" customFormat="false" ht="15" hidden="false" customHeight="false" outlineLevel="0" collapsed="false">
      <c r="A181" s="0" t="n">
        <v>160</v>
      </c>
      <c r="B181" s="0" t="s">
        <v>86</v>
      </c>
      <c r="C181" s="17" t="n">
        <v>-0.475785489103389</v>
      </c>
      <c r="D181" s="17" t="n">
        <f aca="false">(C181-$B$4)/($B$6/SQRT($B$7))</f>
        <v>-2.37892744551695</v>
      </c>
      <c r="E181" s="0" t="str">
        <f aca="false">IF(OR(AND($B$9="superior",D181&gt;$B$10),AND($B$9="inferior",D181&lt;-$B$10)),"Rechazar H0","No rechazar H0")</f>
        <v>Rechazar H0</v>
      </c>
      <c r="F181" s="0" t="str">
        <f aca="false">IF(AND(B181="H0 verdadera",E181="Rechazar H0"),"Error tipo I",IF(AND(B181="Ha verdadera",E181="No rechazar H0"),"Error tipo II","Decisión correcta"))</f>
        <v>Decisión correcta</v>
      </c>
    </row>
    <row r="182" customFormat="false" ht="15" hidden="false" customHeight="false" outlineLevel="0" collapsed="false">
      <c r="A182" s="0" t="n">
        <v>161</v>
      </c>
      <c r="B182" s="0" t="s">
        <v>86</v>
      </c>
      <c r="C182" s="17" t="n">
        <v>-0.789729721992761</v>
      </c>
      <c r="D182" s="17" t="n">
        <f aca="false">(C182-$B$4)/($B$6/SQRT($B$7))</f>
        <v>-3.94864860996381</v>
      </c>
      <c r="E182" s="0" t="str">
        <f aca="false">IF(OR(AND($B$9="superior",D182&gt;$B$10),AND($B$9="inferior",D182&lt;-$B$10)),"Rechazar H0","No rechazar H0")</f>
        <v>Rechazar H0</v>
      </c>
      <c r="F182" s="0" t="str">
        <f aca="false">IF(AND(B182="H0 verdadera",E182="Rechazar H0"),"Error tipo I",IF(AND(B182="Ha verdadera",E182="No rechazar H0"),"Error tipo II","Decisión correcta"))</f>
        <v>Decisión correcta</v>
      </c>
    </row>
    <row r="183" customFormat="false" ht="15" hidden="false" customHeight="false" outlineLevel="0" collapsed="false">
      <c r="A183" s="0" t="n">
        <v>162</v>
      </c>
      <c r="B183" s="0" t="s">
        <v>85</v>
      </c>
      <c r="C183" s="17" t="n">
        <v>-0.0676097011429583</v>
      </c>
      <c r="D183" s="17" t="n">
        <f aca="false">(C183-$B$4)/($B$6/SQRT($B$7))</f>
        <v>-0.338048505714791</v>
      </c>
      <c r="E183" s="0" t="str">
        <f aca="false">IF(OR(AND($B$9="superior",D183&gt;$B$10),AND($B$9="inferior",D183&lt;-$B$10)),"Rechazar H0","No rechazar H0")</f>
        <v>No rechazar H0</v>
      </c>
      <c r="F183" s="0" t="str">
        <f aca="false">IF(AND(B183="H0 verdadera",E183="Rechazar H0"),"Error tipo I",IF(AND(B183="Ha verdadera",E183="No rechazar H0"),"Error tipo II","Decisión correcta"))</f>
        <v>Decisión correcta</v>
      </c>
    </row>
    <row r="184" customFormat="false" ht="15" hidden="false" customHeight="false" outlineLevel="0" collapsed="false">
      <c r="A184" s="0" t="n">
        <v>163</v>
      </c>
      <c r="B184" s="0" t="s">
        <v>85</v>
      </c>
      <c r="C184" s="17" t="n">
        <v>-0.215313600275242</v>
      </c>
      <c r="D184" s="17" t="n">
        <f aca="false">(C184-$B$4)/($B$6/SQRT($B$7))</f>
        <v>-1.07656800137621</v>
      </c>
      <c r="E184" s="0" t="str">
        <f aca="false">IF(OR(AND($B$9="superior",D184&gt;$B$10),AND($B$9="inferior",D184&lt;-$B$10)),"Rechazar H0","No rechazar H0")</f>
        <v>No rechazar H0</v>
      </c>
      <c r="F184" s="0" t="str">
        <f aca="false">IF(AND(B184="H0 verdadera",E184="Rechazar H0"),"Error tipo I",IF(AND(B184="Ha verdadera",E184="No rechazar H0"),"Error tipo II","Decisión correcta"))</f>
        <v>Decisión correcta</v>
      </c>
    </row>
    <row r="185" customFormat="false" ht="15" hidden="false" customHeight="false" outlineLevel="0" collapsed="false">
      <c r="A185" s="0" t="n">
        <v>164</v>
      </c>
      <c r="B185" s="0" t="s">
        <v>86</v>
      </c>
      <c r="C185" s="17" t="n">
        <v>-0.218661097581095</v>
      </c>
      <c r="D185" s="17" t="n">
        <f aca="false">(C185-$B$4)/($B$6/SQRT($B$7))</f>
        <v>-1.09330548790547</v>
      </c>
      <c r="E185" s="0" t="str">
        <f aca="false">IF(OR(AND($B$9="superior",D185&gt;$B$10),AND($B$9="inferior",D185&lt;-$B$10)),"Rechazar H0","No rechazar H0")</f>
        <v>No rechazar H0</v>
      </c>
      <c r="F185" s="0" t="str">
        <f aca="false">IF(AND(B185="H0 verdadera",E185="Rechazar H0"),"Error tipo I",IF(AND(B185="Ha verdadera",E185="No rechazar H0"),"Error tipo II","Decisión correcta"))</f>
        <v>Error tipo II</v>
      </c>
    </row>
    <row r="186" customFormat="false" ht="15" hidden="false" customHeight="false" outlineLevel="0" collapsed="false">
      <c r="A186" s="0" t="n">
        <v>165</v>
      </c>
      <c r="B186" s="0" t="s">
        <v>85</v>
      </c>
      <c r="C186" s="17" t="n">
        <v>0.171415421804374</v>
      </c>
      <c r="D186" s="17" t="n">
        <f aca="false">(C186-$B$4)/($B$6/SQRT($B$7))</f>
        <v>0.857077109021871</v>
      </c>
      <c r="E186" s="0" t="str">
        <f aca="false">IF(OR(AND($B$9="superior",D186&gt;$B$10),AND($B$9="inferior",D186&lt;-$B$10)),"Rechazar H0","No rechazar H0")</f>
        <v>No rechazar H0</v>
      </c>
      <c r="F186" s="0" t="str">
        <f aca="false">IF(AND(B186="H0 verdadera",E186="Rechazar H0"),"Error tipo I",IF(AND(B186="Ha verdadera",E186="No rechazar H0"),"Error tipo II","Decisión correcta"))</f>
        <v>Decisión correcta</v>
      </c>
    </row>
    <row r="187" customFormat="false" ht="15" hidden="false" customHeight="false" outlineLevel="0" collapsed="false">
      <c r="A187" s="0" t="n">
        <v>166</v>
      </c>
      <c r="B187" s="0" t="s">
        <v>85</v>
      </c>
      <c r="C187" s="17" t="n">
        <v>0.329956805659094</v>
      </c>
      <c r="D187" s="17" t="n">
        <f aca="false">(C187-$B$4)/($B$6/SQRT($B$7))</f>
        <v>1.64978402829547</v>
      </c>
      <c r="E187" s="0" t="str">
        <f aca="false">IF(OR(AND($B$9="superior",D187&gt;$B$10),AND($B$9="inferior",D187&lt;-$B$10)),"Rechazar H0","No rechazar H0")</f>
        <v>No rechazar H0</v>
      </c>
      <c r="F187" s="0" t="str">
        <f aca="false">IF(AND(B187="H0 verdadera",E187="Rechazar H0"),"Error tipo I",IF(AND(B187="Ha verdadera",E187="No rechazar H0"),"Error tipo II","Decisión correcta"))</f>
        <v>Decisión correcta</v>
      </c>
    </row>
    <row r="188" customFormat="false" ht="15" hidden="false" customHeight="false" outlineLevel="0" collapsed="false">
      <c r="A188" s="0" t="n">
        <v>167</v>
      </c>
      <c r="B188" s="0" t="s">
        <v>86</v>
      </c>
      <c r="C188" s="17" t="n">
        <v>-0.489180607349298</v>
      </c>
      <c r="D188" s="17" t="n">
        <f aca="false">(C188-$B$4)/($B$6/SQRT($B$7))</f>
        <v>-2.44590303674649</v>
      </c>
      <c r="E188" s="0" t="str">
        <f aca="false">IF(OR(AND($B$9="superior",D188&gt;$B$10),AND($B$9="inferior",D188&lt;-$B$10)),"Rechazar H0","No rechazar H0")</f>
        <v>Rechazar H0</v>
      </c>
      <c r="F188" s="0" t="str">
        <f aca="false">IF(AND(B188="H0 verdadera",E188="Rechazar H0"),"Error tipo I",IF(AND(B188="Ha verdadera",E188="No rechazar H0"),"Error tipo II","Decisión correcta"))</f>
        <v>Decisión correcta</v>
      </c>
    </row>
    <row r="189" customFormat="false" ht="15" hidden="false" customHeight="false" outlineLevel="0" collapsed="false">
      <c r="A189" s="0" t="n">
        <v>168</v>
      </c>
      <c r="B189" s="0" t="s">
        <v>85</v>
      </c>
      <c r="C189" s="17" t="n">
        <v>-0.0147248060494596</v>
      </c>
      <c r="D189" s="17" t="n">
        <f aca="false">(C189-$B$4)/($B$6/SQRT($B$7))</f>
        <v>-0.0736240302472982</v>
      </c>
      <c r="E189" s="0" t="str">
        <f aca="false">IF(OR(AND($B$9="superior",D189&gt;$B$10),AND($B$9="inferior",D189&lt;-$B$10)),"Rechazar H0","No rechazar H0")</f>
        <v>No rechazar H0</v>
      </c>
      <c r="F189" s="0" t="str">
        <f aca="false">IF(AND(B189="H0 verdadera",E189="Rechazar H0"),"Error tipo I",IF(AND(B189="Ha verdadera",E189="No rechazar H0"),"Error tipo II","Decisión correcta"))</f>
        <v>Decisión correcta</v>
      </c>
    </row>
    <row r="190" customFormat="false" ht="15" hidden="false" customHeight="false" outlineLevel="0" collapsed="false">
      <c r="A190" s="0" t="n">
        <v>169</v>
      </c>
      <c r="B190" s="0" t="s">
        <v>85</v>
      </c>
      <c r="C190" s="17" t="n">
        <v>-0.342348311498349</v>
      </c>
      <c r="D190" s="17" t="n">
        <f aca="false">(C190-$B$4)/($B$6/SQRT($B$7))</f>
        <v>-1.71174155749175</v>
      </c>
      <c r="E190" s="0" t="str">
        <f aca="false">IF(OR(AND($B$9="superior",D190&gt;$B$10),AND($B$9="inferior",D190&lt;-$B$10)),"Rechazar H0","No rechazar H0")</f>
        <v>Rechazar H0</v>
      </c>
      <c r="F190" s="0" t="str">
        <f aca="false">IF(AND(B190="H0 verdadera",E190="Rechazar H0"),"Error tipo I",IF(AND(B190="Ha verdadera",E190="No rechazar H0"),"Error tipo II","Decisión correcta"))</f>
        <v>Error tipo I</v>
      </c>
    </row>
    <row r="191" customFormat="false" ht="15" hidden="false" customHeight="false" outlineLevel="0" collapsed="false">
      <c r="A191" s="0" t="n">
        <v>170</v>
      </c>
      <c r="B191" s="0" t="s">
        <v>85</v>
      </c>
      <c r="C191" s="17" t="n">
        <v>-0.0925617049383653</v>
      </c>
      <c r="D191" s="17" t="n">
        <f aca="false">(C191-$B$4)/($B$6/SQRT($B$7))</f>
        <v>-0.462808524691827</v>
      </c>
      <c r="E191" s="0" t="str">
        <f aca="false">IF(OR(AND($B$9="superior",D191&gt;$B$10),AND($B$9="inferior",D191&lt;-$B$10)),"Rechazar H0","No rechazar H0")</f>
        <v>No rechazar H0</v>
      </c>
      <c r="F191" s="0" t="str">
        <f aca="false">IF(AND(B191="H0 verdadera",E191="Rechazar H0"),"Error tipo I",IF(AND(B191="Ha verdadera",E191="No rechazar H0"),"Error tipo II","Decisión correcta"))</f>
        <v>Decisión correcta</v>
      </c>
    </row>
    <row r="192" customFormat="false" ht="15" hidden="false" customHeight="false" outlineLevel="0" collapsed="false">
      <c r="A192" s="0" t="n">
        <v>171</v>
      </c>
      <c r="B192" s="0" t="s">
        <v>85</v>
      </c>
      <c r="C192" s="17" t="n">
        <v>-0.0633810246256113</v>
      </c>
      <c r="D192" s="17" t="n">
        <f aca="false">(C192-$B$4)/($B$6/SQRT($B$7))</f>
        <v>-0.316905123128057</v>
      </c>
      <c r="E192" s="0" t="str">
        <f aca="false">IF(OR(AND($B$9="superior",D192&gt;$B$10),AND($B$9="inferior",D192&lt;-$B$10)),"Rechazar H0","No rechazar H0")</f>
        <v>No rechazar H0</v>
      </c>
      <c r="F192" s="0" t="str">
        <f aca="false">IF(AND(B192="H0 verdadera",E192="Rechazar H0"),"Error tipo I",IF(AND(B192="Ha verdadera",E192="No rechazar H0"),"Error tipo II","Decisión correcta"))</f>
        <v>Decisión correcta</v>
      </c>
    </row>
    <row r="193" customFormat="false" ht="15" hidden="false" customHeight="false" outlineLevel="0" collapsed="false">
      <c r="A193" s="0" t="n">
        <v>172</v>
      </c>
      <c r="B193" s="0" t="s">
        <v>85</v>
      </c>
      <c r="C193" s="17" t="n">
        <v>-0.0619464986681193</v>
      </c>
      <c r="D193" s="17" t="n">
        <f aca="false">(C193-$B$4)/($B$6/SQRT($B$7))</f>
        <v>-0.309732493340596</v>
      </c>
      <c r="E193" s="0" t="str">
        <f aca="false">IF(OR(AND($B$9="superior",D193&gt;$B$10),AND($B$9="inferior",D193&lt;-$B$10)),"Rechazar H0","No rechazar H0")</f>
        <v>No rechazar H0</v>
      </c>
      <c r="F193" s="0" t="str">
        <f aca="false">IF(AND(B193="H0 verdadera",E193="Rechazar H0"),"Error tipo I",IF(AND(B193="Ha verdadera",E193="No rechazar H0"),"Error tipo II","Decisión correcta"))</f>
        <v>Decisión correcta</v>
      </c>
    </row>
    <row r="194" customFormat="false" ht="15" hidden="false" customHeight="false" outlineLevel="0" collapsed="false">
      <c r="A194" s="0" t="n">
        <v>173</v>
      </c>
      <c r="B194" s="0" t="s">
        <v>86</v>
      </c>
      <c r="C194" s="17" t="n">
        <v>-0.246286055457333</v>
      </c>
      <c r="D194" s="17" t="n">
        <f aca="false">(C194-$B$4)/($B$6/SQRT($B$7))</f>
        <v>-1.23143027728667</v>
      </c>
      <c r="E194" s="0" t="str">
        <f aca="false">IF(OR(AND($B$9="superior",D194&gt;$B$10),AND($B$9="inferior",D194&lt;-$B$10)),"Rechazar H0","No rechazar H0")</f>
        <v>No rechazar H0</v>
      </c>
      <c r="F194" s="0" t="str">
        <f aca="false">IF(AND(B194="H0 verdadera",E194="Rechazar H0"),"Error tipo I",IF(AND(B194="Ha verdadera",E194="No rechazar H0"),"Error tipo II","Decisión correcta"))</f>
        <v>Error tipo II</v>
      </c>
    </row>
    <row r="195" customFormat="false" ht="15" hidden="false" customHeight="false" outlineLevel="0" collapsed="false">
      <c r="A195" s="0" t="n">
        <v>174</v>
      </c>
      <c r="B195" s="0" t="s">
        <v>86</v>
      </c>
      <c r="C195" s="17" t="n">
        <v>-0.721615276763924</v>
      </c>
      <c r="D195" s="17" t="n">
        <f aca="false">(C195-$B$4)/($B$6/SQRT($B$7))</f>
        <v>-3.60807638381962</v>
      </c>
      <c r="E195" s="0" t="str">
        <f aca="false">IF(OR(AND($B$9="superior",D195&gt;$B$10),AND($B$9="inferior",D195&lt;-$B$10)),"Rechazar H0","No rechazar H0")</f>
        <v>Rechazar H0</v>
      </c>
      <c r="F195" s="0" t="str">
        <f aca="false">IF(AND(B195="H0 verdadera",E195="Rechazar H0"),"Error tipo I",IF(AND(B195="Ha verdadera",E195="No rechazar H0"),"Error tipo II","Decisión correcta"))</f>
        <v>Decisión correcta</v>
      </c>
    </row>
    <row r="196" customFormat="false" ht="15" hidden="false" customHeight="false" outlineLevel="0" collapsed="false">
      <c r="A196" s="0" t="n">
        <v>175</v>
      </c>
      <c r="B196" s="0" t="s">
        <v>86</v>
      </c>
      <c r="C196" s="17" t="n">
        <v>-0.680888256723539</v>
      </c>
      <c r="D196" s="17" t="n">
        <f aca="false">(C196-$B$4)/($B$6/SQRT($B$7))</f>
        <v>-3.40444128361769</v>
      </c>
      <c r="E196" s="0" t="str">
        <f aca="false">IF(OR(AND($B$9="superior",D196&gt;$B$10),AND($B$9="inferior",D196&lt;-$B$10)),"Rechazar H0","No rechazar H0")</f>
        <v>Rechazar H0</v>
      </c>
      <c r="F196" s="0" t="str">
        <f aca="false">IF(AND(B196="H0 verdadera",E196="Rechazar H0"),"Error tipo I",IF(AND(B196="Ha verdadera",E196="No rechazar H0"),"Error tipo II","Decisión correcta"))</f>
        <v>Decisión correcta</v>
      </c>
    </row>
    <row r="197" customFormat="false" ht="15" hidden="false" customHeight="false" outlineLevel="0" collapsed="false">
      <c r="A197" s="0" t="n">
        <v>176</v>
      </c>
      <c r="B197" s="0" t="s">
        <v>85</v>
      </c>
      <c r="C197" s="17" t="n">
        <v>0.0160397687426171</v>
      </c>
      <c r="D197" s="17" t="n">
        <f aca="false">(C197-$B$4)/($B$6/SQRT($B$7))</f>
        <v>0.0801988437130855</v>
      </c>
      <c r="E197" s="0" t="str">
        <f aca="false">IF(OR(AND($B$9="superior",D197&gt;$B$10),AND($B$9="inferior",D197&lt;-$B$10)),"Rechazar H0","No rechazar H0")</f>
        <v>No rechazar H0</v>
      </c>
      <c r="F197" s="0" t="str">
        <f aca="false">IF(AND(B197="H0 verdadera",E197="Rechazar H0"),"Error tipo I",IF(AND(B197="Ha verdadera",E197="No rechazar H0"),"Error tipo II","Decisión correcta"))</f>
        <v>Decisión correcta</v>
      </c>
    </row>
    <row r="198" customFormat="false" ht="15" hidden="false" customHeight="false" outlineLevel="0" collapsed="false">
      <c r="A198" s="0" t="n">
        <v>177</v>
      </c>
      <c r="B198" s="0" t="s">
        <v>86</v>
      </c>
      <c r="C198" s="17" t="n">
        <v>-0.420136785269576</v>
      </c>
      <c r="D198" s="17" t="n">
        <f aca="false">(C198-$B$4)/($B$6/SQRT($B$7))</f>
        <v>-2.10068392634788</v>
      </c>
      <c r="E198" s="0" t="str">
        <f aca="false">IF(OR(AND($B$9="superior",D198&gt;$B$10),AND($B$9="inferior",D198&lt;-$B$10)),"Rechazar H0","No rechazar H0")</f>
        <v>Rechazar H0</v>
      </c>
      <c r="F198" s="0" t="str">
        <f aca="false">IF(AND(B198="H0 verdadera",E198="Rechazar H0"),"Error tipo I",IF(AND(B198="Ha verdadera",E198="No rechazar H0"),"Error tipo II","Decisión correcta"))</f>
        <v>Decisión correcta</v>
      </c>
    </row>
    <row r="199" customFormat="false" ht="15" hidden="false" customHeight="false" outlineLevel="0" collapsed="false">
      <c r="A199" s="0" t="n">
        <v>178</v>
      </c>
      <c r="B199" s="0" t="s">
        <v>85</v>
      </c>
      <c r="C199" s="17" t="n">
        <v>-0.0122907082540628</v>
      </c>
      <c r="D199" s="17" t="n">
        <f aca="false">(C199-$B$4)/($B$6/SQRT($B$7))</f>
        <v>-0.0614535412703137</v>
      </c>
      <c r="E199" s="0" t="str">
        <f aca="false">IF(OR(AND($B$9="superior",D199&gt;$B$10),AND($B$9="inferior",D199&lt;-$B$10)),"Rechazar H0","No rechazar H0")</f>
        <v>No rechazar H0</v>
      </c>
      <c r="F199" s="0" t="str">
        <f aca="false">IF(AND(B199="H0 verdadera",E199="Rechazar H0"),"Error tipo I",IF(AND(B199="Ha verdadera",E199="No rechazar H0"),"Error tipo II","Decisión correcta"))</f>
        <v>Decisión correcta</v>
      </c>
    </row>
    <row r="200" customFormat="false" ht="15" hidden="false" customHeight="false" outlineLevel="0" collapsed="false">
      <c r="A200" s="0" t="n">
        <v>179</v>
      </c>
      <c r="B200" s="0" t="s">
        <v>86</v>
      </c>
      <c r="C200" s="17" t="n">
        <v>-0.733721568908928</v>
      </c>
      <c r="D200" s="17" t="n">
        <f aca="false">(C200-$B$4)/($B$6/SQRT($B$7))</f>
        <v>-3.66860784454464</v>
      </c>
      <c r="E200" s="0" t="str">
        <f aca="false">IF(OR(AND($B$9="superior",D200&gt;$B$10),AND($B$9="inferior",D200&lt;-$B$10)),"Rechazar H0","No rechazar H0")</f>
        <v>Rechazar H0</v>
      </c>
      <c r="F200" s="0" t="str">
        <f aca="false">IF(AND(B200="H0 verdadera",E200="Rechazar H0"),"Error tipo I",IF(AND(B200="Ha verdadera",E200="No rechazar H0"),"Error tipo II","Decisión correcta"))</f>
        <v>Decisión correcta</v>
      </c>
    </row>
    <row r="201" customFormat="false" ht="15" hidden="false" customHeight="false" outlineLevel="0" collapsed="false">
      <c r="A201" s="0" t="n">
        <v>180</v>
      </c>
      <c r="B201" s="0" t="s">
        <v>85</v>
      </c>
      <c r="C201" s="17" t="n">
        <v>0.313513487615465</v>
      </c>
      <c r="D201" s="17" t="n">
        <f aca="false">(C201-$B$4)/($B$6/SQRT($B$7))</f>
        <v>1.56756743807733</v>
      </c>
      <c r="E201" s="0" t="str">
        <f aca="false">IF(OR(AND($B$9="superior",D201&gt;$B$10),AND($B$9="inferior",D201&lt;-$B$10)),"Rechazar H0","No rechazar H0")</f>
        <v>No rechazar H0</v>
      </c>
      <c r="F201" s="0" t="str">
        <f aca="false">IF(AND(B201="H0 verdadera",E201="Rechazar H0"),"Error tipo I",IF(AND(B201="Ha verdadera",E201="No rechazar H0"),"Error tipo II","Decisión correcta"))</f>
        <v>Decisión correcta</v>
      </c>
    </row>
    <row r="202" customFormat="false" ht="15" hidden="false" customHeight="false" outlineLevel="0" collapsed="false">
      <c r="A202" s="0" t="n">
        <v>181</v>
      </c>
      <c r="B202" s="0" t="s">
        <v>86</v>
      </c>
      <c r="C202" s="17" t="n">
        <v>-0.462176500771889</v>
      </c>
      <c r="D202" s="17" t="n">
        <f aca="false">(C202-$B$4)/($B$6/SQRT($B$7))</f>
        <v>-2.31088250385945</v>
      </c>
      <c r="E202" s="0" t="str">
        <f aca="false">IF(OR(AND($B$9="superior",D202&gt;$B$10),AND($B$9="inferior",D202&lt;-$B$10)),"Rechazar H0","No rechazar H0")</f>
        <v>Rechazar H0</v>
      </c>
      <c r="F202" s="0" t="str">
        <f aca="false">IF(AND(B202="H0 verdadera",E202="Rechazar H0"),"Error tipo I",IF(AND(B202="Ha verdadera",E202="No rechazar H0"),"Error tipo II","Decisión correcta"))</f>
        <v>Decisión correcta</v>
      </c>
    </row>
    <row r="203" customFormat="false" ht="15" hidden="false" customHeight="false" outlineLevel="0" collapsed="false">
      <c r="A203" s="0" t="n">
        <v>182</v>
      </c>
      <c r="B203" s="0" t="s">
        <v>86</v>
      </c>
      <c r="C203" s="17" t="n">
        <v>-0.258660040063409</v>
      </c>
      <c r="D203" s="17" t="n">
        <f aca="false">(C203-$B$4)/($B$6/SQRT($B$7))</f>
        <v>-1.29330020031704</v>
      </c>
      <c r="E203" s="0" t="str">
        <f aca="false">IF(OR(AND($B$9="superior",D203&gt;$B$10),AND($B$9="inferior",D203&lt;-$B$10)),"Rechazar H0","No rechazar H0")</f>
        <v>No rechazar H0</v>
      </c>
      <c r="F203" s="0" t="str">
        <f aca="false">IF(AND(B203="H0 verdadera",E203="Rechazar H0"),"Error tipo I",IF(AND(B203="Ha verdadera",E203="No rechazar H0"),"Error tipo II","Decisión correcta"))</f>
        <v>Error tipo II</v>
      </c>
    </row>
    <row r="204" customFormat="false" ht="15" hidden="false" customHeight="false" outlineLevel="0" collapsed="false">
      <c r="A204" s="0" t="n">
        <v>183</v>
      </c>
      <c r="B204" s="0" t="s">
        <v>86</v>
      </c>
      <c r="C204" s="17" t="n">
        <v>-0.555870296958508</v>
      </c>
      <c r="D204" s="17" t="n">
        <f aca="false">(C204-$B$4)/($B$6/SQRT($B$7))</f>
        <v>-2.77935148479254</v>
      </c>
      <c r="E204" s="0" t="str">
        <f aca="false">IF(OR(AND($B$9="superior",D204&gt;$B$10),AND($B$9="inferior",D204&lt;-$B$10)),"Rechazar H0","No rechazar H0")</f>
        <v>Rechazar H0</v>
      </c>
      <c r="F204" s="0" t="str">
        <f aca="false">IF(AND(B204="H0 verdadera",E204="Rechazar H0"),"Error tipo I",IF(AND(B204="Ha verdadera",E204="No rechazar H0"),"Error tipo II","Decisión correcta"))</f>
        <v>Decisión correcta</v>
      </c>
    </row>
    <row r="205" customFormat="false" ht="15" hidden="false" customHeight="false" outlineLevel="0" collapsed="false">
      <c r="A205" s="0" t="n">
        <v>184</v>
      </c>
      <c r="B205" s="0" t="s">
        <v>86</v>
      </c>
      <c r="C205" s="17" t="n">
        <v>-0.608434418666522</v>
      </c>
      <c r="D205" s="17" t="n">
        <f aca="false">(C205-$B$4)/($B$6/SQRT($B$7))</f>
        <v>-3.04217209333261</v>
      </c>
      <c r="E205" s="0" t="str">
        <f aca="false">IF(OR(AND($B$9="superior",D205&gt;$B$10),AND($B$9="inferior",D205&lt;-$B$10)),"Rechazar H0","No rechazar H0")</f>
        <v>Rechazar H0</v>
      </c>
      <c r="F205" s="0" t="str">
        <f aca="false">IF(AND(B205="H0 verdadera",E205="Rechazar H0"),"Error tipo I",IF(AND(B205="Ha verdadera",E205="No rechazar H0"),"Error tipo II","Decisión correcta"))</f>
        <v>Decisión correcta</v>
      </c>
    </row>
    <row r="206" customFormat="false" ht="15" hidden="false" customHeight="false" outlineLevel="0" collapsed="false">
      <c r="A206" s="0" t="n">
        <v>185</v>
      </c>
      <c r="B206" s="0" t="s">
        <v>85</v>
      </c>
      <c r="C206" s="17" t="n">
        <v>-0.0778326860368221</v>
      </c>
      <c r="D206" s="17" t="n">
        <f aca="false">(C206-$B$4)/($B$6/SQRT($B$7))</f>
        <v>-0.389163430184111</v>
      </c>
      <c r="E206" s="0" t="str">
        <f aca="false">IF(OR(AND($B$9="superior",D206&gt;$B$10),AND($B$9="inferior",D206&lt;-$B$10)),"Rechazar H0","No rechazar H0")</f>
        <v>No rechazar H0</v>
      </c>
      <c r="F206" s="0" t="str">
        <f aca="false">IF(AND(B206="H0 verdadera",E206="Rechazar H0"),"Error tipo I",IF(AND(B206="Ha verdadera",E206="No rechazar H0"),"Error tipo II","Decisión correcta"))</f>
        <v>Decisión correcta</v>
      </c>
    </row>
    <row r="207" customFormat="false" ht="15" hidden="false" customHeight="false" outlineLevel="0" collapsed="false">
      <c r="A207" s="0" t="n">
        <v>186</v>
      </c>
      <c r="B207" s="0" t="s">
        <v>86</v>
      </c>
      <c r="C207" s="17" t="n">
        <v>-0.191695516660059</v>
      </c>
      <c r="D207" s="17" t="n">
        <f aca="false">(C207-$B$4)/($B$6/SQRT($B$7))</f>
        <v>-0.958477583300296</v>
      </c>
      <c r="E207" s="0" t="str">
        <f aca="false">IF(OR(AND($B$9="superior",D207&gt;$B$10),AND($B$9="inferior",D207&lt;-$B$10)),"Rechazar H0","No rechazar H0")</f>
        <v>No rechazar H0</v>
      </c>
      <c r="F207" s="0" t="str">
        <f aca="false">IF(AND(B207="H0 verdadera",E207="Rechazar H0"),"Error tipo I",IF(AND(B207="Ha verdadera",E207="No rechazar H0"),"Error tipo II","Decisión correcta"))</f>
        <v>Error tipo II</v>
      </c>
    </row>
    <row r="208" customFormat="false" ht="15" hidden="false" customHeight="false" outlineLevel="0" collapsed="false">
      <c r="A208" s="0" t="n">
        <v>187</v>
      </c>
      <c r="B208" s="0" t="s">
        <v>86</v>
      </c>
      <c r="C208" s="17" t="n">
        <v>-0.392220429886621</v>
      </c>
      <c r="D208" s="17" t="n">
        <f aca="false">(C208-$B$4)/($B$6/SQRT($B$7))</f>
        <v>-1.9611021494331</v>
      </c>
      <c r="E208" s="0" t="str">
        <f aca="false">IF(OR(AND($B$9="superior",D208&gt;$B$10),AND($B$9="inferior",D208&lt;-$B$10)),"Rechazar H0","No rechazar H0")</f>
        <v>Rechazar H0</v>
      </c>
      <c r="F208" s="0" t="str">
        <f aca="false">IF(AND(B208="H0 verdadera",E208="Rechazar H0"),"Error tipo I",IF(AND(B208="Ha verdadera",E208="No rechazar H0"),"Error tipo II","Decisión correcta"))</f>
        <v>Decisión correcta</v>
      </c>
    </row>
    <row r="209" customFormat="false" ht="15" hidden="false" customHeight="false" outlineLevel="0" collapsed="false">
      <c r="A209" s="0" t="n">
        <v>188</v>
      </c>
      <c r="B209" s="0" t="s">
        <v>85</v>
      </c>
      <c r="C209" s="17" t="n">
        <v>-0.050018697749367</v>
      </c>
      <c r="D209" s="17" t="n">
        <f aca="false">(C209-$B$4)/($B$6/SQRT($B$7))</f>
        <v>-0.250093488746835</v>
      </c>
      <c r="E209" s="0" t="str">
        <f aca="false">IF(OR(AND($B$9="superior",D209&gt;$B$10),AND($B$9="inferior",D209&lt;-$B$10)),"Rechazar H0","No rechazar H0")</f>
        <v>No rechazar H0</v>
      </c>
      <c r="F209" s="0" t="str">
        <f aca="false">IF(AND(B209="H0 verdadera",E209="Rechazar H0"),"Error tipo I",IF(AND(B209="Ha verdadera",E209="No rechazar H0"),"Error tipo II","Decisión correcta"))</f>
        <v>Decisión correcta</v>
      </c>
    </row>
    <row r="210" customFormat="false" ht="15" hidden="false" customHeight="false" outlineLevel="0" collapsed="false">
      <c r="A210" s="0" t="n">
        <v>189</v>
      </c>
      <c r="B210" s="0" t="s">
        <v>86</v>
      </c>
      <c r="C210" s="17" t="n">
        <v>-0.485274543460339</v>
      </c>
      <c r="D210" s="17" t="n">
        <f aca="false">(C210-$B$4)/($B$6/SQRT($B$7))</f>
        <v>-2.42637271730169</v>
      </c>
      <c r="E210" s="0" t="str">
        <f aca="false">IF(OR(AND($B$9="superior",D210&gt;$B$10),AND($B$9="inferior",D210&lt;-$B$10)),"Rechazar H0","No rechazar H0")</f>
        <v>Rechazar H0</v>
      </c>
      <c r="F210" s="0" t="str">
        <f aca="false">IF(AND(B210="H0 verdadera",E210="Rechazar H0"),"Error tipo I",IF(AND(B210="Ha verdadera",E210="No rechazar H0"),"Error tipo II","Decisión correcta"))</f>
        <v>Decisión correcta</v>
      </c>
    </row>
    <row r="211" customFormat="false" ht="15" hidden="false" customHeight="false" outlineLevel="0" collapsed="false">
      <c r="A211" s="0" t="n">
        <v>190</v>
      </c>
      <c r="B211" s="0" t="s">
        <v>85</v>
      </c>
      <c r="C211" s="17" t="n">
        <v>0.00867444328473164</v>
      </c>
      <c r="D211" s="17" t="n">
        <f aca="false">(C211-$B$4)/($B$6/SQRT($B$7))</f>
        <v>0.0433722164236582</v>
      </c>
      <c r="E211" s="0" t="str">
        <f aca="false">IF(OR(AND($B$9="superior",D211&gt;$B$10),AND($B$9="inferior",D211&lt;-$B$10)),"Rechazar H0","No rechazar H0")</f>
        <v>No rechazar H0</v>
      </c>
      <c r="F211" s="0" t="str">
        <f aca="false">IF(AND(B211="H0 verdadera",E211="Rechazar H0"),"Error tipo I",IF(AND(B211="Ha verdadera",E211="No rechazar H0"),"Error tipo II","Decisión correcta"))</f>
        <v>Decisión correcta</v>
      </c>
    </row>
    <row r="212" customFormat="false" ht="15" hidden="false" customHeight="false" outlineLevel="0" collapsed="false">
      <c r="A212" s="0" t="n">
        <v>191</v>
      </c>
      <c r="B212" s="0" t="s">
        <v>85</v>
      </c>
      <c r="C212" s="17" t="n">
        <v>0.243114167021054</v>
      </c>
      <c r="D212" s="17" t="n">
        <f aca="false">(C212-$B$4)/($B$6/SQRT($B$7))</f>
        <v>1.21557083510527</v>
      </c>
      <c r="E212" s="0" t="str">
        <f aca="false">IF(OR(AND($B$9="superior",D212&gt;$B$10),AND($B$9="inferior",D212&lt;-$B$10)),"Rechazar H0","No rechazar H0")</f>
        <v>No rechazar H0</v>
      </c>
      <c r="F212" s="0" t="str">
        <f aca="false">IF(AND(B212="H0 verdadera",E212="Rechazar H0"),"Error tipo I",IF(AND(B212="Ha verdadera",E212="No rechazar H0"),"Error tipo II","Decisión correcta"))</f>
        <v>Decisión correcta</v>
      </c>
    </row>
    <row r="213" customFormat="false" ht="15" hidden="false" customHeight="false" outlineLevel="0" collapsed="false">
      <c r="A213" s="0" t="n">
        <v>192</v>
      </c>
      <c r="B213" s="0" t="s">
        <v>86</v>
      </c>
      <c r="C213" s="17" t="n">
        <v>-0.514080450350348</v>
      </c>
      <c r="D213" s="17" t="n">
        <f aca="false">(C213-$B$4)/($B$6/SQRT($B$7))</f>
        <v>-2.57040225175174</v>
      </c>
      <c r="E213" s="0" t="str">
        <f aca="false">IF(OR(AND($B$9="superior",D213&gt;$B$10),AND($B$9="inferior",D213&lt;-$B$10)),"Rechazar H0","No rechazar H0")</f>
        <v>Rechazar H0</v>
      </c>
      <c r="F213" s="0" t="str">
        <f aca="false">IF(AND(B213="H0 verdadera",E213="Rechazar H0"),"Error tipo I",IF(AND(B213="Ha verdadera",E213="No rechazar H0"),"Error tipo II","Decisión correcta"))</f>
        <v>Decisión correcta</v>
      </c>
    </row>
    <row r="214" customFormat="false" ht="15" hidden="false" customHeight="false" outlineLevel="0" collapsed="false">
      <c r="A214" s="0" t="n">
        <v>193</v>
      </c>
      <c r="B214" s="0" t="s">
        <v>85</v>
      </c>
      <c r="C214" s="17" t="n">
        <v>0.0278562454307367</v>
      </c>
      <c r="D214" s="17" t="n">
        <f aca="false">(C214-$B$4)/($B$6/SQRT($B$7))</f>
        <v>0.139281227153684</v>
      </c>
      <c r="E214" s="0" t="str">
        <f aca="false">IF(OR(AND($B$9="superior",D214&gt;$B$10),AND($B$9="inferior",D214&lt;-$B$10)),"Rechazar H0","No rechazar H0")</f>
        <v>No rechazar H0</v>
      </c>
      <c r="F214" s="0" t="str">
        <f aca="false">IF(AND(B214="H0 verdadera",E214="Rechazar H0"),"Error tipo I",IF(AND(B214="Ha verdadera",E214="No rechazar H0"),"Error tipo II","Decisión correcta"))</f>
        <v>Decisión correcta</v>
      </c>
    </row>
    <row r="215" customFormat="false" ht="15" hidden="false" customHeight="false" outlineLevel="0" collapsed="false">
      <c r="A215" s="0" t="n">
        <v>194</v>
      </c>
      <c r="B215" s="0" t="s">
        <v>86</v>
      </c>
      <c r="C215" s="17" t="n">
        <v>-0.212964203161546</v>
      </c>
      <c r="D215" s="17" t="n">
        <f aca="false">(C215-$B$4)/($B$6/SQRT($B$7))</f>
        <v>-1.06482101580773</v>
      </c>
      <c r="E215" s="0" t="str">
        <f aca="false">IF(OR(AND($B$9="superior",D215&gt;$B$10),AND($B$9="inferior",D215&lt;-$B$10)),"Rechazar H0","No rechazar H0")</f>
        <v>No rechazar H0</v>
      </c>
      <c r="F215" s="0" t="str">
        <f aca="false">IF(AND(B215="H0 verdadera",E215="Rechazar H0"),"Error tipo I",IF(AND(B215="Ha verdadera",E215="No rechazar H0"),"Error tipo II","Decisión correcta"))</f>
        <v>Error tipo II</v>
      </c>
    </row>
    <row r="216" customFormat="false" ht="15" hidden="false" customHeight="false" outlineLevel="0" collapsed="false">
      <c r="A216" s="0" t="n">
        <v>195</v>
      </c>
      <c r="B216" s="0" t="s">
        <v>86</v>
      </c>
      <c r="C216" s="17" t="n">
        <v>-0.575585122591703</v>
      </c>
      <c r="D216" s="17" t="n">
        <f aca="false">(C216-$B$4)/($B$6/SQRT($B$7))</f>
        <v>-2.87792561295851</v>
      </c>
      <c r="E216" s="0" t="str">
        <f aca="false">IF(OR(AND($B$9="superior",D216&gt;$B$10),AND($B$9="inferior",D216&lt;-$B$10)),"Rechazar H0","No rechazar H0")</f>
        <v>Rechazar H0</v>
      </c>
      <c r="F216" s="0" t="str">
        <f aca="false">IF(AND(B216="H0 verdadera",E216="Rechazar H0"),"Error tipo I",IF(AND(B216="Ha verdadera",E216="No rechazar H0"),"Error tipo II","Decisión correcta"))</f>
        <v>Decisión correcta</v>
      </c>
    </row>
    <row r="217" customFormat="false" ht="15" hidden="false" customHeight="false" outlineLevel="0" collapsed="false">
      <c r="A217" s="0" t="n">
        <v>196</v>
      </c>
      <c r="B217" s="0" t="s">
        <v>85</v>
      </c>
      <c r="C217" s="17" t="n">
        <v>0.0219894347938452</v>
      </c>
      <c r="D217" s="17" t="n">
        <f aca="false">(C217-$B$4)/($B$6/SQRT($B$7))</f>
        <v>0.109947173969226</v>
      </c>
      <c r="E217" s="0" t="str">
        <f aca="false">IF(OR(AND($B$9="superior",D217&gt;$B$10),AND($B$9="inferior",D217&lt;-$B$10)),"Rechazar H0","No rechazar H0")</f>
        <v>No rechazar H0</v>
      </c>
      <c r="F217" s="0" t="str">
        <f aca="false">IF(AND(B217="H0 verdadera",E217="Rechazar H0"),"Error tipo I",IF(AND(B217="Ha verdadera",E217="No rechazar H0"),"Error tipo II","Decisión correcta"))</f>
        <v>Decisión correcta</v>
      </c>
    </row>
    <row r="218" customFormat="false" ht="15" hidden="false" customHeight="false" outlineLevel="0" collapsed="false">
      <c r="A218" s="0" t="n">
        <v>197</v>
      </c>
      <c r="B218" s="0" t="s">
        <v>86</v>
      </c>
      <c r="C218" s="17" t="n">
        <v>-0.538667853127885</v>
      </c>
      <c r="D218" s="17" t="n">
        <f aca="false">(C218-$B$4)/($B$6/SQRT($B$7))</f>
        <v>-2.69333926563943</v>
      </c>
      <c r="E218" s="0" t="str">
        <f aca="false">IF(OR(AND($B$9="superior",D218&gt;$B$10),AND($B$9="inferior",D218&lt;-$B$10)),"Rechazar H0","No rechazar H0")</f>
        <v>Rechazar H0</v>
      </c>
      <c r="F218" s="0" t="str">
        <f aca="false">IF(AND(B218="H0 verdadera",E218="Rechazar H0"),"Error tipo I",IF(AND(B218="Ha verdadera",E218="No rechazar H0"),"Error tipo II","Decisión correcta"))</f>
        <v>Decisión correcta</v>
      </c>
    </row>
    <row r="219" customFormat="false" ht="15" hidden="false" customHeight="false" outlineLevel="0" collapsed="false">
      <c r="A219" s="0" t="n">
        <v>198</v>
      </c>
      <c r="B219" s="0" t="s">
        <v>85</v>
      </c>
      <c r="C219" s="17" t="n">
        <v>0.0768332067615627</v>
      </c>
      <c r="D219" s="17" t="n">
        <f aca="false">(C219-$B$4)/($B$6/SQRT($B$7))</f>
        <v>0.384166033807813</v>
      </c>
      <c r="E219" s="0" t="str">
        <f aca="false">IF(OR(AND($B$9="superior",D219&gt;$B$10),AND($B$9="inferior",D219&lt;-$B$10)),"Rechazar H0","No rechazar H0")</f>
        <v>No rechazar H0</v>
      </c>
      <c r="F219" s="0" t="str">
        <f aca="false">IF(AND(B219="H0 verdadera",E219="Rechazar H0"),"Error tipo I",IF(AND(B219="Ha verdadera",E219="No rechazar H0"),"Error tipo II","Decisión correcta"))</f>
        <v>Decisión correcta</v>
      </c>
    </row>
    <row r="220" customFormat="false" ht="15" hidden="false" customHeight="false" outlineLevel="0" collapsed="false">
      <c r="A220" s="0" t="n">
        <v>199</v>
      </c>
      <c r="B220" s="0" t="s">
        <v>85</v>
      </c>
      <c r="C220" s="17" t="n">
        <v>0.287238299637316</v>
      </c>
      <c r="D220" s="17" t="n">
        <f aca="false">(C220-$B$4)/($B$6/SQRT($B$7))</f>
        <v>1.43619149818658</v>
      </c>
      <c r="E220" s="0" t="str">
        <f aca="false">IF(OR(AND($B$9="superior",D220&gt;$B$10),AND($B$9="inferior",D220&lt;-$B$10)),"Rechazar H0","No rechazar H0")</f>
        <v>No rechazar H0</v>
      </c>
      <c r="F220" s="0" t="str">
        <f aca="false">IF(AND(B220="H0 verdadera",E220="Rechazar H0"),"Error tipo I",IF(AND(B220="Ha verdadera",E220="No rechazar H0"),"Error tipo II","Decisión correcta"))</f>
        <v>Decisión correcta</v>
      </c>
    </row>
    <row r="221" customFormat="false" ht="15" hidden="false" customHeight="false" outlineLevel="0" collapsed="false">
      <c r="A221" s="0" t="n">
        <v>200</v>
      </c>
      <c r="B221" s="0" t="s">
        <v>85</v>
      </c>
      <c r="C221" s="17" t="n">
        <v>0.140675919843636</v>
      </c>
      <c r="D221" s="17" t="n">
        <f aca="false">(C221-$B$4)/($B$6/SQRT($B$7))</f>
        <v>0.703379599218178</v>
      </c>
      <c r="E221" s="0" t="str">
        <f aca="false">IF(OR(AND($B$9="superior",D221&gt;$B$10),AND($B$9="inferior",D221&lt;-$B$10)),"Rechazar H0","No rechazar H0")</f>
        <v>No rechazar H0</v>
      </c>
      <c r="F221" s="0" t="str">
        <f aca="false">IF(AND(B221="H0 verdadera",E221="Rechazar H0"),"Error tipo I",IF(AND(B221="Ha verdadera",E221="No rechazar H0"),"Error tipo II","Decisión correcta"))</f>
        <v>Decisión correcta</v>
      </c>
    </row>
    <row r="222" customFormat="false" ht="15" hidden="false" customHeight="false" outlineLevel="0" collapsed="false">
      <c r="A222" s="0" t="n">
        <v>201</v>
      </c>
      <c r="B222" s="0" t="s">
        <v>86</v>
      </c>
      <c r="C222" s="17" t="n">
        <v>-0.394307274783962</v>
      </c>
      <c r="D222" s="17" t="n">
        <f aca="false">(C222-$B$4)/($B$6/SQRT($B$7))</f>
        <v>-1.97153637391981</v>
      </c>
      <c r="E222" s="0" t="str">
        <f aca="false">IF(OR(AND($B$9="superior",D222&gt;$B$10),AND($B$9="inferior",D222&lt;-$B$10)),"Rechazar H0","No rechazar H0")</f>
        <v>Rechazar H0</v>
      </c>
      <c r="F222" s="0" t="str">
        <f aca="false">IF(AND(B222="H0 verdadera",E222="Rechazar H0"),"Error tipo I",IF(AND(B222="Ha verdadera",E222="No rechazar H0"),"Error tipo II","Decisión correcta"))</f>
        <v>Decisión correcta</v>
      </c>
    </row>
    <row r="223" customFormat="false" ht="15" hidden="false" customHeight="false" outlineLevel="0" collapsed="false">
      <c r="A223" s="0" t="n">
        <v>202</v>
      </c>
      <c r="B223" s="0" t="s">
        <v>86</v>
      </c>
      <c r="C223" s="17" t="n">
        <v>-0.364403411099253</v>
      </c>
      <c r="D223" s="17" t="n">
        <f aca="false">(C223-$B$4)/($B$6/SQRT($B$7))</f>
        <v>-1.82201705549626</v>
      </c>
      <c r="E223" s="0" t="str">
        <f aca="false">IF(OR(AND($B$9="superior",D223&gt;$B$10),AND($B$9="inferior",D223&lt;-$B$10)),"Rechazar H0","No rechazar H0")</f>
        <v>Rechazar H0</v>
      </c>
      <c r="F223" s="0" t="str">
        <f aca="false">IF(AND(B223="H0 verdadera",E223="Rechazar H0"),"Error tipo I",IF(AND(B223="Ha verdadera",E223="No rechazar H0"),"Error tipo II","Decisión correcta"))</f>
        <v>Decisión correcta</v>
      </c>
    </row>
    <row r="224" customFormat="false" ht="15" hidden="false" customHeight="false" outlineLevel="0" collapsed="false">
      <c r="A224" s="0" t="n">
        <v>203</v>
      </c>
      <c r="B224" s="0" t="s">
        <v>85</v>
      </c>
      <c r="C224" s="17" t="n">
        <v>0.023757299530657</v>
      </c>
      <c r="D224" s="17" t="n">
        <f aca="false">(C224-$B$4)/($B$6/SQRT($B$7))</f>
        <v>0.118786497653285</v>
      </c>
      <c r="E224" s="0" t="str">
        <f aca="false">IF(OR(AND($B$9="superior",D224&gt;$B$10),AND($B$9="inferior",D224&lt;-$B$10)),"Rechazar H0","No rechazar H0")</f>
        <v>No rechazar H0</v>
      </c>
      <c r="F224" s="0" t="str">
        <f aca="false">IF(AND(B224="H0 verdadera",E224="Rechazar H0"),"Error tipo I",IF(AND(B224="Ha verdadera",E224="No rechazar H0"),"Error tipo II","Decisión correcta"))</f>
        <v>Decisión correcta</v>
      </c>
    </row>
    <row r="225" customFormat="false" ht="15" hidden="false" customHeight="false" outlineLevel="0" collapsed="false">
      <c r="A225" s="0" t="n">
        <v>204</v>
      </c>
      <c r="B225" s="0" t="s">
        <v>86</v>
      </c>
      <c r="C225" s="17" t="n">
        <v>-0.386774291067866</v>
      </c>
      <c r="D225" s="17" t="n">
        <f aca="false">(C225-$B$4)/($B$6/SQRT($B$7))</f>
        <v>-1.93387145533933</v>
      </c>
      <c r="E225" s="0" t="str">
        <f aca="false">IF(OR(AND($B$9="superior",D225&gt;$B$10),AND($B$9="inferior",D225&lt;-$B$10)),"Rechazar H0","No rechazar H0")</f>
        <v>Rechazar H0</v>
      </c>
      <c r="F225" s="0" t="str">
        <f aca="false">IF(AND(B225="H0 verdadera",E225="Rechazar H0"),"Error tipo I",IF(AND(B225="Ha verdadera",E225="No rechazar H0"),"Error tipo II","Decisión correcta"))</f>
        <v>Decisión correcta</v>
      </c>
    </row>
    <row r="226" customFormat="false" ht="15" hidden="false" customHeight="false" outlineLevel="0" collapsed="false">
      <c r="A226" s="0" t="n">
        <v>205</v>
      </c>
      <c r="B226" s="0" t="s">
        <v>86</v>
      </c>
      <c r="C226" s="17" t="n">
        <v>-0.449297934217396</v>
      </c>
      <c r="D226" s="17" t="n">
        <f aca="false">(C226-$B$4)/($B$6/SQRT($B$7))</f>
        <v>-2.24648967108698</v>
      </c>
      <c r="E226" s="0" t="str">
        <f aca="false">IF(OR(AND($B$9="superior",D226&gt;$B$10),AND($B$9="inferior",D226&lt;-$B$10)),"Rechazar H0","No rechazar H0")</f>
        <v>Rechazar H0</v>
      </c>
      <c r="F226" s="0" t="str">
        <f aca="false">IF(AND(B226="H0 verdadera",E226="Rechazar H0"),"Error tipo I",IF(AND(B226="Ha verdadera",E226="No rechazar H0"),"Error tipo II","Decisión correcta"))</f>
        <v>Decisión correcta</v>
      </c>
    </row>
    <row r="227" customFormat="false" ht="15" hidden="false" customHeight="false" outlineLevel="0" collapsed="false">
      <c r="A227" s="0" t="n">
        <v>206</v>
      </c>
      <c r="B227" s="0" t="s">
        <v>86</v>
      </c>
      <c r="C227" s="17" t="n">
        <v>-0.177213408377933</v>
      </c>
      <c r="D227" s="17" t="n">
        <f aca="false">(C227-$B$4)/($B$6/SQRT($B$7))</f>
        <v>-0.886067041889664</v>
      </c>
      <c r="E227" s="0" t="str">
        <f aca="false">IF(OR(AND($B$9="superior",D227&gt;$B$10),AND($B$9="inferior",D227&lt;-$B$10)),"Rechazar H0","No rechazar H0")</f>
        <v>No rechazar H0</v>
      </c>
      <c r="F227" s="0" t="str">
        <f aca="false">IF(AND(B227="H0 verdadera",E227="Rechazar H0"),"Error tipo I",IF(AND(B227="Ha verdadera",E227="No rechazar H0"),"Error tipo II","Decisión correcta"))</f>
        <v>Error tipo II</v>
      </c>
    </row>
    <row r="228" customFormat="false" ht="15" hidden="false" customHeight="false" outlineLevel="0" collapsed="false">
      <c r="A228" s="0" t="n">
        <v>207</v>
      </c>
      <c r="B228" s="0" t="s">
        <v>85</v>
      </c>
      <c r="C228" s="17" t="n">
        <v>0.263044001342644</v>
      </c>
      <c r="D228" s="17" t="n">
        <f aca="false">(C228-$B$4)/($B$6/SQRT($B$7))</f>
        <v>1.31522000671322</v>
      </c>
      <c r="E228" s="0" t="str">
        <f aca="false">IF(OR(AND($B$9="superior",D228&gt;$B$10),AND($B$9="inferior",D228&lt;-$B$10)),"Rechazar H0","No rechazar H0")</f>
        <v>No rechazar H0</v>
      </c>
      <c r="F228" s="0" t="str">
        <f aca="false">IF(AND(B228="H0 verdadera",E228="Rechazar H0"),"Error tipo I",IF(AND(B228="Ha verdadera",E228="No rechazar H0"),"Error tipo II","Decisión correcta"))</f>
        <v>Decisión correcta</v>
      </c>
    </row>
    <row r="229" customFormat="false" ht="15" hidden="false" customHeight="false" outlineLevel="0" collapsed="false">
      <c r="A229" s="0" t="n">
        <v>208</v>
      </c>
      <c r="B229" s="0" t="s">
        <v>85</v>
      </c>
      <c r="C229" s="17" t="n">
        <v>0.209129986235757</v>
      </c>
      <c r="D229" s="17" t="n">
        <f aca="false">(C229-$B$4)/($B$6/SQRT($B$7))</f>
        <v>1.04564993117878</v>
      </c>
      <c r="E229" s="0" t="str">
        <f aca="false">IF(OR(AND($B$9="superior",D229&gt;$B$10),AND($B$9="inferior",D229&lt;-$B$10)),"Rechazar H0","No rechazar H0")</f>
        <v>No rechazar H0</v>
      </c>
      <c r="F229" s="0" t="str">
        <f aca="false">IF(AND(B229="H0 verdadera",E229="Rechazar H0"),"Error tipo I",IF(AND(B229="Ha verdadera",E229="No rechazar H0"),"Error tipo II","Decisión correcta"))</f>
        <v>Decisión correcta</v>
      </c>
    </row>
    <row r="230" customFormat="false" ht="15" hidden="false" customHeight="false" outlineLevel="0" collapsed="false">
      <c r="A230" s="0" t="n">
        <v>209</v>
      </c>
      <c r="B230" s="0" t="s">
        <v>86</v>
      </c>
      <c r="C230" s="17" t="n">
        <v>-0.355998130099983</v>
      </c>
      <c r="D230" s="17" t="n">
        <f aca="false">(C230-$B$4)/($B$6/SQRT($B$7))</f>
        <v>-1.77999065049992</v>
      </c>
      <c r="E230" s="0" t="str">
        <f aca="false">IF(OR(AND($B$9="superior",D230&gt;$B$10),AND($B$9="inferior",D230&lt;-$B$10)),"Rechazar H0","No rechazar H0")</f>
        <v>Rechazar H0</v>
      </c>
      <c r="F230" s="0" t="str">
        <f aca="false">IF(AND(B230="H0 verdadera",E230="Rechazar H0"),"Error tipo I",IF(AND(B230="Ha verdadera",E230="No rechazar H0"),"Error tipo II","Decisión correcta"))</f>
        <v>Decisión correcta</v>
      </c>
    </row>
    <row r="231" customFormat="false" ht="15" hidden="false" customHeight="false" outlineLevel="0" collapsed="false">
      <c r="A231" s="0" t="n">
        <v>210</v>
      </c>
      <c r="B231" s="0" t="s">
        <v>86</v>
      </c>
      <c r="C231" s="17" t="n">
        <v>-0.238111616203949</v>
      </c>
      <c r="D231" s="17" t="n">
        <f aca="false">(C231-$B$4)/($B$6/SQRT($B$7))</f>
        <v>-1.19055808101974</v>
      </c>
      <c r="E231" s="0" t="str">
        <f aca="false">IF(OR(AND($B$9="superior",D231&gt;$B$10),AND($B$9="inferior",D231&lt;-$B$10)),"Rechazar H0","No rechazar H0")</f>
        <v>No rechazar H0</v>
      </c>
      <c r="F231" s="0" t="str">
        <f aca="false">IF(AND(B231="H0 verdadera",E231="Rechazar H0"),"Error tipo I",IF(AND(B231="Ha verdadera",E231="No rechazar H0"),"Error tipo II","Decisión correcta"))</f>
        <v>Error tipo II</v>
      </c>
    </row>
    <row r="232" customFormat="false" ht="15" hidden="false" customHeight="false" outlineLevel="0" collapsed="false">
      <c r="A232" s="0" t="n">
        <v>211</v>
      </c>
      <c r="B232" s="0" t="s">
        <v>85</v>
      </c>
      <c r="C232" s="17" t="n">
        <v>-0.154489382991136</v>
      </c>
      <c r="D232" s="17" t="n">
        <f aca="false">(C232-$B$4)/($B$6/SQRT($B$7))</f>
        <v>-0.772446914955679</v>
      </c>
      <c r="E232" s="0" t="str">
        <f aca="false">IF(OR(AND($B$9="superior",D232&gt;$B$10),AND($B$9="inferior",D232&lt;-$B$10)),"Rechazar H0","No rechazar H0")</f>
        <v>No rechazar H0</v>
      </c>
      <c r="F232" s="0" t="str">
        <f aca="false">IF(AND(B232="H0 verdadera",E232="Rechazar H0"),"Error tipo I",IF(AND(B232="Ha verdadera",E232="No rechazar H0"),"Error tipo II","Decisión correcta"))</f>
        <v>Decisión correcta</v>
      </c>
    </row>
    <row r="233" customFormat="false" ht="15" hidden="false" customHeight="false" outlineLevel="0" collapsed="false">
      <c r="A233" s="0" t="n">
        <v>212</v>
      </c>
      <c r="B233" s="0" t="s">
        <v>86</v>
      </c>
      <c r="C233" s="17" t="n">
        <v>-0.297364439036469</v>
      </c>
      <c r="D233" s="17" t="n">
        <f aca="false">(C233-$B$4)/($B$6/SQRT($B$7))</f>
        <v>-1.48682219518235</v>
      </c>
      <c r="E233" s="0" t="str">
        <f aca="false">IF(OR(AND($B$9="superior",D233&gt;$B$10),AND($B$9="inferior",D233&lt;-$B$10)),"Rechazar H0","No rechazar H0")</f>
        <v>No rechazar H0</v>
      </c>
      <c r="F233" s="0" t="str">
        <f aca="false">IF(AND(B233="H0 verdadera",E233="Rechazar H0"),"Error tipo I",IF(AND(B233="Ha verdadera",E233="No rechazar H0"),"Error tipo II","Decisión correcta"))</f>
        <v>Error tipo II</v>
      </c>
    </row>
    <row r="234" customFormat="false" ht="15" hidden="false" customHeight="false" outlineLevel="0" collapsed="false">
      <c r="A234" s="0" t="n">
        <v>213</v>
      </c>
      <c r="B234" s="0" t="s">
        <v>85</v>
      </c>
      <c r="C234" s="17" t="n">
        <v>-0.0709941867852721</v>
      </c>
      <c r="D234" s="17" t="n">
        <f aca="false">(C234-$B$4)/($B$6/SQRT($B$7))</f>
        <v>-0.35497093392636</v>
      </c>
      <c r="E234" s="0" t="str">
        <f aca="false">IF(OR(AND($B$9="superior",D234&gt;$B$10),AND($B$9="inferior",D234&lt;-$B$10)),"Rechazar H0","No rechazar H0")</f>
        <v>No rechazar H0</v>
      </c>
      <c r="F234" s="0" t="str">
        <f aca="false">IF(AND(B234="H0 verdadera",E234="Rechazar H0"),"Error tipo I",IF(AND(B234="Ha verdadera",E234="No rechazar H0"),"Error tipo II","Decisión correcta"))</f>
        <v>Decisión correcta</v>
      </c>
    </row>
    <row r="235" customFormat="false" ht="15" hidden="false" customHeight="false" outlineLevel="0" collapsed="false">
      <c r="A235" s="0" t="n">
        <v>214</v>
      </c>
      <c r="B235" s="0" t="s">
        <v>85</v>
      </c>
      <c r="C235" s="17" t="n">
        <v>0.0505923125867813</v>
      </c>
      <c r="D235" s="17" t="n">
        <f aca="false">(C235-$B$4)/($B$6/SQRT($B$7))</f>
        <v>0.252961562933907</v>
      </c>
      <c r="E235" s="0" t="str">
        <f aca="false">IF(OR(AND($B$9="superior",D235&gt;$B$10),AND($B$9="inferior",D235&lt;-$B$10)),"Rechazar H0","No rechazar H0")</f>
        <v>No rechazar H0</v>
      </c>
      <c r="F235" s="0" t="str">
        <f aca="false">IF(AND(B235="H0 verdadera",E235="Rechazar H0"),"Error tipo I",IF(AND(B235="Ha verdadera",E235="No rechazar H0"),"Error tipo II","Decisión correcta"))</f>
        <v>Decisión correcta</v>
      </c>
    </row>
    <row r="236" customFormat="false" ht="15" hidden="false" customHeight="false" outlineLevel="0" collapsed="false">
      <c r="A236" s="0" t="n">
        <v>215</v>
      </c>
      <c r="B236" s="0" t="s">
        <v>85</v>
      </c>
      <c r="C236" s="17" t="n">
        <v>0.220601883405492</v>
      </c>
      <c r="D236" s="17" t="n">
        <f aca="false">(C236-$B$4)/($B$6/SQRT($B$7))</f>
        <v>1.10300941702746</v>
      </c>
      <c r="E236" s="0" t="str">
        <f aca="false">IF(OR(AND($B$9="superior",D236&gt;$B$10),AND($B$9="inferior",D236&lt;-$B$10)),"Rechazar H0","No rechazar H0")</f>
        <v>No rechazar H0</v>
      </c>
      <c r="F236" s="0" t="str">
        <f aca="false">IF(AND(B236="H0 verdadera",E236="Rechazar H0"),"Error tipo I",IF(AND(B236="Ha verdadera",E236="No rechazar H0"),"Error tipo II","Decisión correcta"))</f>
        <v>Decisión correcta</v>
      </c>
    </row>
    <row r="237" customFormat="false" ht="15" hidden="false" customHeight="false" outlineLevel="0" collapsed="false">
      <c r="A237" s="0" t="n">
        <v>216</v>
      </c>
      <c r="B237" s="0" t="s">
        <v>85</v>
      </c>
      <c r="C237" s="17" t="n">
        <v>0.493722512116252</v>
      </c>
      <c r="D237" s="17" t="n">
        <f aca="false">(C237-$B$4)/($B$6/SQRT($B$7))</f>
        <v>2.46861256058126</v>
      </c>
      <c r="E237" s="0" t="str">
        <f aca="false">IF(OR(AND($B$9="superior",D237&gt;$B$10),AND($B$9="inferior",D237&lt;-$B$10)),"Rechazar H0","No rechazar H0")</f>
        <v>No rechazar H0</v>
      </c>
      <c r="F237" s="0" t="str">
        <f aca="false">IF(AND(B237="H0 verdadera",E237="Rechazar H0"),"Error tipo I",IF(AND(B237="Ha verdadera",E237="No rechazar H0"),"Error tipo II","Decisión correcta"))</f>
        <v>Decisión correcta</v>
      </c>
    </row>
    <row r="238" customFormat="false" ht="15" hidden="false" customHeight="false" outlineLevel="0" collapsed="false">
      <c r="A238" s="0" t="n">
        <v>217</v>
      </c>
      <c r="B238" s="0" t="s">
        <v>85</v>
      </c>
      <c r="C238" s="17" t="n">
        <v>-0.098530808097779</v>
      </c>
      <c r="D238" s="17" t="n">
        <f aca="false">(C238-$B$4)/($B$6/SQRT($B$7))</f>
        <v>-0.492654040488895</v>
      </c>
      <c r="E238" s="0" t="str">
        <f aca="false">IF(OR(AND($B$9="superior",D238&gt;$B$10),AND($B$9="inferior",D238&lt;-$B$10)),"Rechazar H0","No rechazar H0")</f>
        <v>No rechazar H0</v>
      </c>
      <c r="F238" s="0" t="str">
        <f aca="false">IF(AND(B238="H0 verdadera",E238="Rechazar H0"),"Error tipo I",IF(AND(B238="Ha verdadera",E238="No rechazar H0"),"Error tipo II","Decisión correcta"))</f>
        <v>Decisión correcta</v>
      </c>
    </row>
    <row r="239" customFormat="false" ht="15" hidden="false" customHeight="false" outlineLevel="0" collapsed="false">
      <c r="A239" s="0" t="n">
        <v>218</v>
      </c>
      <c r="B239" s="0" t="s">
        <v>86</v>
      </c>
      <c r="C239" s="17" t="n">
        <v>-0.369240445622521</v>
      </c>
      <c r="D239" s="17" t="n">
        <f aca="false">(C239-$B$4)/($B$6/SQRT($B$7))</f>
        <v>-1.84620222811261</v>
      </c>
      <c r="E239" s="0" t="str">
        <f aca="false">IF(OR(AND($B$9="superior",D239&gt;$B$10),AND($B$9="inferior",D239&lt;-$B$10)),"Rechazar H0","No rechazar H0")</f>
        <v>Rechazar H0</v>
      </c>
      <c r="F239" s="0" t="str">
        <f aca="false">IF(AND(B239="H0 verdadera",E239="Rechazar H0"),"Error tipo I",IF(AND(B239="Ha verdadera",E239="No rechazar H0"),"Error tipo II","Decisión correcta"))</f>
        <v>Decisión correcta</v>
      </c>
    </row>
    <row r="240" customFormat="false" ht="15" hidden="false" customHeight="false" outlineLevel="0" collapsed="false">
      <c r="A240" s="0" t="n">
        <v>219</v>
      </c>
      <c r="B240" s="0" t="s">
        <v>86</v>
      </c>
      <c r="C240" s="17" t="n">
        <v>-0.635334964143937</v>
      </c>
      <c r="D240" s="17" t="n">
        <f aca="false">(C240-$B$4)/($B$6/SQRT($B$7))</f>
        <v>-3.17667482071969</v>
      </c>
      <c r="E240" s="0" t="str">
        <f aca="false">IF(OR(AND($B$9="superior",D240&gt;$B$10),AND($B$9="inferior",D240&lt;-$B$10)),"Rechazar H0","No rechazar H0")</f>
        <v>Rechazar H0</v>
      </c>
      <c r="F240" s="0" t="str">
        <f aca="false">IF(AND(B240="H0 verdadera",E240="Rechazar H0"),"Error tipo I",IF(AND(B240="Ha verdadera",E240="No rechazar H0"),"Error tipo II","Decisión correcta"))</f>
        <v>Decisión correcta</v>
      </c>
    </row>
    <row r="241" customFormat="false" ht="15" hidden="false" customHeight="false" outlineLevel="0" collapsed="false">
      <c r="A241" s="0" t="n">
        <v>220</v>
      </c>
      <c r="B241" s="0" t="s">
        <v>85</v>
      </c>
      <c r="C241" s="17" t="n">
        <v>-0.184065844296044</v>
      </c>
      <c r="D241" s="17" t="n">
        <f aca="false">(C241-$B$4)/($B$6/SQRT($B$7))</f>
        <v>-0.920329221480219</v>
      </c>
      <c r="E241" s="0" t="str">
        <f aca="false">IF(OR(AND($B$9="superior",D241&gt;$B$10),AND($B$9="inferior",D241&lt;-$B$10)),"Rechazar H0","No rechazar H0")</f>
        <v>No rechazar H0</v>
      </c>
      <c r="F241" s="0" t="str">
        <f aca="false">IF(AND(B241="H0 verdadera",E241="Rechazar H0"),"Error tipo I",IF(AND(B241="Ha verdadera",E241="No rechazar H0"),"Error tipo II","Decisión correcta"))</f>
        <v>Decisión correcta</v>
      </c>
    </row>
    <row r="242" customFormat="false" ht="15" hidden="false" customHeight="false" outlineLevel="0" collapsed="false">
      <c r="A242" s="0" t="n">
        <v>221</v>
      </c>
      <c r="B242" s="0" t="s">
        <v>85</v>
      </c>
      <c r="C242" s="17" t="n">
        <v>-0.000875936647912006</v>
      </c>
      <c r="D242" s="17" t="n">
        <f aca="false">(C242-$B$4)/($B$6/SQRT($B$7))</f>
        <v>-0.00437968323956003</v>
      </c>
      <c r="E242" s="0" t="str">
        <f aca="false">IF(OR(AND($B$9="superior",D242&gt;$B$10),AND($B$9="inferior",D242&lt;-$B$10)),"Rechazar H0","No rechazar H0")</f>
        <v>No rechazar H0</v>
      </c>
      <c r="F242" s="0" t="str">
        <f aca="false">IF(AND(B242="H0 verdadera",E242="Rechazar H0"),"Error tipo I",IF(AND(B242="Ha verdadera",E242="No rechazar H0"),"Error tipo II","Decisión correcta"))</f>
        <v>Decisión correcta</v>
      </c>
    </row>
    <row r="243" customFormat="false" ht="15" hidden="false" customHeight="false" outlineLevel="0" collapsed="false">
      <c r="A243" s="0" t="n">
        <v>222</v>
      </c>
      <c r="B243" s="0" t="s">
        <v>85</v>
      </c>
      <c r="C243" s="17" t="n">
        <v>-0.236496039999241</v>
      </c>
      <c r="D243" s="17" t="n">
        <f aca="false">(C243-$B$4)/($B$6/SQRT($B$7))</f>
        <v>-1.1824801999962</v>
      </c>
      <c r="E243" s="0" t="str">
        <f aca="false">IF(OR(AND($B$9="superior",D243&gt;$B$10),AND($B$9="inferior",D243&lt;-$B$10)),"Rechazar H0","No rechazar H0")</f>
        <v>No rechazar H0</v>
      </c>
      <c r="F243" s="0" t="str">
        <f aca="false">IF(AND(B243="H0 verdadera",E243="Rechazar H0"),"Error tipo I",IF(AND(B243="Ha verdadera",E243="No rechazar H0"),"Error tipo II","Decisión correcta"))</f>
        <v>Decisión correcta</v>
      </c>
    </row>
    <row r="244" customFormat="false" ht="15" hidden="false" customHeight="false" outlineLevel="0" collapsed="false">
      <c r="A244" s="0" t="n">
        <v>223</v>
      </c>
      <c r="B244" s="0" t="s">
        <v>86</v>
      </c>
      <c r="C244" s="17" t="n">
        <v>-0.311704216065849</v>
      </c>
      <c r="D244" s="17" t="n">
        <f aca="false">(C244-$B$4)/($B$6/SQRT($B$7))</f>
        <v>-1.55852108032924</v>
      </c>
      <c r="E244" s="0" t="str">
        <f aca="false">IF(OR(AND($B$9="superior",D244&gt;$B$10),AND($B$9="inferior",D244&lt;-$B$10)),"Rechazar H0","No rechazar H0")</f>
        <v>No rechazar H0</v>
      </c>
      <c r="F244" s="0" t="str">
        <f aca="false">IF(AND(B244="H0 verdadera",E244="Rechazar H0"),"Error tipo I",IF(AND(B244="Ha verdadera",E244="No rechazar H0"),"Error tipo II","Decisión correcta"))</f>
        <v>Error tipo II</v>
      </c>
    </row>
    <row r="245" customFormat="false" ht="15" hidden="false" customHeight="false" outlineLevel="0" collapsed="false">
      <c r="A245" s="0" t="n">
        <v>224</v>
      </c>
      <c r="B245" s="0" t="s">
        <v>86</v>
      </c>
      <c r="C245" s="17" t="n">
        <v>-0.691106844880382</v>
      </c>
      <c r="D245" s="17" t="n">
        <f aca="false">(C245-$B$4)/($B$6/SQRT($B$7))</f>
        <v>-3.45553422440191</v>
      </c>
      <c r="E245" s="0" t="str">
        <f aca="false">IF(OR(AND($B$9="superior",D245&gt;$B$10),AND($B$9="inferior",D245&lt;-$B$10)),"Rechazar H0","No rechazar H0")</f>
        <v>Rechazar H0</v>
      </c>
      <c r="F245" s="0" t="str">
        <f aca="false">IF(AND(B245="H0 verdadera",E245="Rechazar H0"),"Error tipo I",IF(AND(B245="Ha verdadera",E245="No rechazar H0"),"Error tipo II","Decisión correcta"))</f>
        <v>Decisión correcta</v>
      </c>
    </row>
    <row r="246" customFormat="false" ht="15" hidden="false" customHeight="false" outlineLevel="0" collapsed="false">
      <c r="A246" s="0" t="n">
        <v>225</v>
      </c>
      <c r="B246" s="0" t="s">
        <v>85</v>
      </c>
      <c r="C246" s="17" t="n">
        <v>-0.0519880866645993</v>
      </c>
      <c r="D246" s="17" t="n">
        <f aca="false">(C246-$B$4)/($B$6/SQRT($B$7))</f>
        <v>-0.259940433322996</v>
      </c>
      <c r="E246" s="0" t="str">
        <f aca="false">IF(OR(AND($B$9="superior",D246&gt;$B$10),AND($B$9="inferior",D246&lt;-$B$10)),"Rechazar H0","No rechazar H0")</f>
        <v>No rechazar H0</v>
      </c>
      <c r="F246" s="0" t="str">
        <f aca="false">IF(AND(B246="H0 verdadera",E246="Rechazar H0"),"Error tipo I",IF(AND(B246="Ha verdadera",E246="No rechazar H0"),"Error tipo II","Decisión correcta"))</f>
        <v>Decisión correcta</v>
      </c>
    </row>
    <row r="247" customFormat="false" ht="15" hidden="false" customHeight="false" outlineLevel="0" collapsed="false">
      <c r="A247" s="0" t="n">
        <v>226</v>
      </c>
      <c r="B247" s="0" t="s">
        <v>85</v>
      </c>
      <c r="C247" s="17" t="n">
        <v>-0.0705983821817375</v>
      </c>
      <c r="D247" s="17" t="n">
        <f aca="false">(C247-$B$4)/($B$6/SQRT($B$7))</f>
        <v>-0.352991910908687</v>
      </c>
      <c r="E247" s="0" t="str">
        <f aca="false">IF(OR(AND($B$9="superior",D247&gt;$B$10),AND($B$9="inferior",D247&lt;-$B$10)),"Rechazar H0","No rechazar H0")</f>
        <v>No rechazar H0</v>
      </c>
      <c r="F247" s="0" t="str">
        <f aca="false">IF(AND(B247="H0 verdadera",E247="Rechazar H0"),"Error tipo I",IF(AND(B247="Ha verdadera",E247="No rechazar H0"),"Error tipo II","Decisión correcta"))</f>
        <v>Decisión correcta</v>
      </c>
    </row>
    <row r="248" customFormat="false" ht="15" hidden="false" customHeight="false" outlineLevel="0" collapsed="false">
      <c r="A248" s="0" t="n">
        <v>227</v>
      </c>
      <c r="B248" s="0" t="s">
        <v>86</v>
      </c>
      <c r="C248" s="17" t="n">
        <v>-0.470801040925075</v>
      </c>
      <c r="D248" s="17" t="n">
        <f aca="false">(C248-$B$4)/($B$6/SQRT($B$7))</f>
        <v>-2.35400520462538</v>
      </c>
      <c r="E248" s="0" t="str">
        <f aca="false">IF(OR(AND($B$9="superior",D248&gt;$B$10),AND($B$9="inferior",D248&lt;-$B$10)),"Rechazar H0","No rechazar H0")</f>
        <v>Rechazar H0</v>
      </c>
      <c r="F248" s="0" t="str">
        <f aca="false">IF(AND(B248="H0 verdadera",E248="Rechazar H0"),"Error tipo I",IF(AND(B248="Ha verdadera",E248="No rechazar H0"),"Error tipo II","Decisión correcta"))</f>
        <v>Decisión correcta</v>
      </c>
    </row>
    <row r="249" customFormat="false" ht="15" hidden="false" customHeight="false" outlineLevel="0" collapsed="false">
      <c r="A249" s="0" t="n">
        <v>228</v>
      </c>
      <c r="B249" s="0" t="s">
        <v>86</v>
      </c>
      <c r="C249" s="17" t="n">
        <v>-0.407853623294762</v>
      </c>
      <c r="D249" s="17" t="n">
        <f aca="false">(C249-$B$4)/($B$6/SQRT($B$7))</f>
        <v>-2.03926811647381</v>
      </c>
      <c r="E249" s="0" t="str">
        <f aca="false">IF(OR(AND($B$9="superior",D249&gt;$B$10),AND($B$9="inferior",D249&lt;-$B$10)),"Rechazar H0","No rechazar H0")</f>
        <v>Rechazar H0</v>
      </c>
      <c r="F249" s="0" t="str">
        <f aca="false">IF(AND(B249="H0 verdadera",E249="Rechazar H0"),"Error tipo I",IF(AND(B249="Ha verdadera",E249="No rechazar H0"),"Error tipo II","Decisión correcta"))</f>
        <v>Decisión correcta</v>
      </c>
    </row>
    <row r="250" customFormat="false" ht="15" hidden="false" customHeight="false" outlineLevel="0" collapsed="false">
      <c r="A250" s="0" t="n">
        <v>229</v>
      </c>
      <c r="B250" s="0" t="s">
        <v>86</v>
      </c>
      <c r="C250" s="17" t="n">
        <v>-0.578035574742606</v>
      </c>
      <c r="D250" s="17" t="n">
        <f aca="false">(C250-$B$4)/($B$6/SQRT($B$7))</f>
        <v>-2.89017787371303</v>
      </c>
      <c r="E250" s="0" t="str">
        <f aca="false">IF(OR(AND($B$9="superior",D250&gt;$B$10),AND($B$9="inferior",D250&lt;-$B$10)),"Rechazar H0","No rechazar H0")</f>
        <v>Rechazar H0</v>
      </c>
      <c r="F250" s="0" t="str">
        <f aca="false">IF(AND(B250="H0 verdadera",E250="Rechazar H0"),"Error tipo I",IF(AND(B250="Ha verdadera",E250="No rechazar H0"),"Error tipo II","Decisión correcta"))</f>
        <v>Decisión correcta</v>
      </c>
    </row>
    <row r="251" customFormat="false" ht="15" hidden="false" customHeight="false" outlineLevel="0" collapsed="false">
      <c r="A251" s="0" t="n">
        <v>230</v>
      </c>
      <c r="B251" s="0" t="s">
        <v>86</v>
      </c>
      <c r="C251" s="17" t="n">
        <v>-0.605322706011754</v>
      </c>
      <c r="D251" s="17" t="n">
        <f aca="false">(C251-$B$4)/($B$6/SQRT($B$7))</f>
        <v>-3.02661353005877</v>
      </c>
      <c r="E251" s="0" t="str">
        <f aca="false">IF(OR(AND($B$9="superior",D251&gt;$B$10),AND($B$9="inferior",D251&lt;-$B$10)),"Rechazar H0","No rechazar H0")</f>
        <v>Rechazar H0</v>
      </c>
      <c r="F251" s="0" t="str">
        <f aca="false">IF(AND(B251="H0 verdadera",E251="Rechazar H0"),"Error tipo I",IF(AND(B251="Ha verdadera",E251="No rechazar H0"),"Error tipo II","Decisión correcta"))</f>
        <v>Decisión correcta</v>
      </c>
    </row>
    <row r="252" customFormat="false" ht="15" hidden="false" customHeight="false" outlineLevel="0" collapsed="false">
      <c r="A252" s="0" t="n">
        <v>231</v>
      </c>
      <c r="B252" s="0" t="s">
        <v>85</v>
      </c>
      <c r="C252" s="17" t="n">
        <v>0.0676388276150335</v>
      </c>
      <c r="D252" s="17" t="n">
        <f aca="false">(C252-$B$4)/($B$6/SQRT($B$7))</f>
        <v>0.338194138075167</v>
      </c>
      <c r="E252" s="0" t="str">
        <f aca="false">IF(OR(AND($B$9="superior",D252&gt;$B$10),AND($B$9="inferior",D252&lt;-$B$10)),"Rechazar H0","No rechazar H0")</f>
        <v>No rechazar H0</v>
      </c>
      <c r="F252" s="0" t="str">
        <f aca="false">IF(AND(B252="H0 verdadera",E252="Rechazar H0"),"Error tipo I",IF(AND(B252="Ha verdadera",E252="No rechazar H0"),"Error tipo II","Decisión correcta"))</f>
        <v>Decisión correcta</v>
      </c>
    </row>
    <row r="253" customFormat="false" ht="15" hidden="false" customHeight="false" outlineLevel="0" collapsed="false">
      <c r="A253" s="0" t="n">
        <v>232</v>
      </c>
      <c r="B253" s="0" t="s">
        <v>85</v>
      </c>
      <c r="C253" s="17" t="n">
        <v>-0.496561755876977</v>
      </c>
      <c r="D253" s="17" t="n">
        <f aca="false">(C253-$B$4)/($B$6/SQRT($B$7))</f>
        <v>-2.48280877938489</v>
      </c>
      <c r="E253" s="0" t="str">
        <f aca="false">IF(OR(AND($B$9="superior",D253&gt;$B$10),AND($B$9="inferior",D253&lt;-$B$10)),"Rechazar H0","No rechazar H0")</f>
        <v>Rechazar H0</v>
      </c>
      <c r="F253" s="0" t="str">
        <f aca="false">IF(AND(B253="H0 verdadera",E253="Rechazar H0"),"Error tipo I",IF(AND(B253="Ha verdadera",E253="No rechazar H0"),"Error tipo II","Decisión correcta"))</f>
        <v>Error tipo I</v>
      </c>
    </row>
    <row r="254" customFormat="false" ht="15" hidden="false" customHeight="false" outlineLevel="0" collapsed="false">
      <c r="A254" s="0" t="n">
        <v>233</v>
      </c>
      <c r="B254" s="0" t="s">
        <v>86</v>
      </c>
      <c r="C254" s="17" t="n">
        <v>-0.609951149857452</v>
      </c>
      <c r="D254" s="17" t="n">
        <f aca="false">(C254-$B$4)/($B$6/SQRT($B$7))</f>
        <v>-3.04975574928726</v>
      </c>
      <c r="E254" s="0" t="str">
        <f aca="false">IF(OR(AND($B$9="superior",D254&gt;$B$10),AND($B$9="inferior",D254&lt;-$B$10)),"Rechazar H0","No rechazar H0")</f>
        <v>Rechazar H0</v>
      </c>
      <c r="F254" s="0" t="str">
        <f aca="false">IF(AND(B254="H0 verdadera",E254="Rechazar H0"),"Error tipo I",IF(AND(B254="Ha verdadera",E254="No rechazar H0"),"Error tipo II","Decisión correcta"))</f>
        <v>Decisión correcta</v>
      </c>
    </row>
    <row r="255" customFormat="false" ht="15" hidden="false" customHeight="false" outlineLevel="0" collapsed="false">
      <c r="A255" s="0" t="n">
        <v>234</v>
      </c>
      <c r="B255" s="0" t="s">
        <v>86</v>
      </c>
      <c r="C255" s="17" t="n">
        <v>-0.619388399528476</v>
      </c>
      <c r="D255" s="17" t="n">
        <f aca="false">(C255-$B$4)/($B$6/SQRT($B$7))</f>
        <v>-3.09694199764238</v>
      </c>
      <c r="E255" s="0" t="str">
        <f aca="false">IF(OR(AND($B$9="superior",D255&gt;$B$10),AND($B$9="inferior",D255&lt;-$B$10)),"Rechazar H0","No rechazar H0")</f>
        <v>Rechazar H0</v>
      </c>
      <c r="F255" s="0" t="str">
        <f aca="false">IF(AND(B255="H0 verdadera",E255="Rechazar H0"),"Error tipo I",IF(AND(B255="Ha verdadera",E255="No rechazar H0"),"Error tipo II","Decisión correcta"))</f>
        <v>Decisión correcta</v>
      </c>
    </row>
    <row r="256" customFormat="false" ht="15" hidden="false" customHeight="false" outlineLevel="0" collapsed="false">
      <c r="A256" s="0" t="n">
        <v>235</v>
      </c>
      <c r="B256" s="0" t="s">
        <v>85</v>
      </c>
      <c r="C256" s="17" t="n">
        <v>-0.338787512085951</v>
      </c>
      <c r="D256" s="17" t="n">
        <f aca="false">(C256-$B$4)/($B$6/SQRT($B$7))</f>
        <v>-1.69393756042976</v>
      </c>
      <c r="E256" s="0" t="str">
        <f aca="false">IF(OR(AND($B$9="superior",D256&gt;$B$10),AND($B$9="inferior",D256&lt;-$B$10)),"Rechazar H0","No rechazar H0")</f>
        <v>Rechazar H0</v>
      </c>
      <c r="F256" s="0" t="str">
        <f aca="false">IF(AND(B256="H0 verdadera",E256="Rechazar H0"),"Error tipo I",IF(AND(B256="Ha verdadera",E256="No rechazar H0"),"Error tipo II","Decisión correcta"))</f>
        <v>Error tipo I</v>
      </c>
    </row>
    <row r="257" customFormat="false" ht="15" hidden="false" customHeight="false" outlineLevel="0" collapsed="false">
      <c r="A257" s="0" t="n">
        <v>236</v>
      </c>
      <c r="B257" s="0" t="s">
        <v>85</v>
      </c>
      <c r="C257" s="17" t="n">
        <v>-0.0964010733343615</v>
      </c>
      <c r="D257" s="17" t="n">
        <f aca="false">(C257-$B$4)/($B$6/SQRT($B$7))</f>
        <v>-0.482005366671807</v>
      </c>
      <c r="E257" s="0" t="str">
        <f aca="false">IF(OR(AND($B$9="superior",D257&gt;$B$10),AND($B$9="inferior",D257&lt;-$B$10)),"Rechazar H0","No rechazar H0")</f>
        <v>No rechazar H0</v>
      </c>
      <c r="F257" s="0" t="str">
        <f aca="false">IF(AND(B257="H0 verdadera",E257="Rechazar H0"),"Error tipo I",IF(AND(B257="Ha verdadera",E257="No rechazar H0"),"Error tipo II","Decisión correcta"))</f>
        <v>Decisión correcta</v>
      </c>
    </row>
    <row r="258" customFormat="false" ht="15" hidden="false" customHeight="false" outlineLevel="0" collapsed="false">
      <c r="A258" s="0" t="n">
        <v>237</v>
      </c>
      <c r="B258" s="0" t="s">
        <v>85</v>
      </c>
      <c r="C258" s="17" t="n">
        <v>-0.0651805054973432</v>
      </c>
      <c r="D258" s="17" t="n">
        <f aca="false">(C258-$B$4)/($B$6/SQRT($B$7))</f>
        <v>-0.325902527486716</v>
      </c>
      <c r="E258" s="0" t="str">
        <f aca="false">IF(OR(AND($B$9="superior",D258&gt;$B$10),AND($B$9="inferior",D258&lt;-$B$10)),"Rechazar H0","No rechazar H0")</f>
        <v>No rechazar H0</v>
      </c>
      <c r="F258" s="0" t="str">
        <f aca="false">IF(AND(B258="H0 verdadera",E258="Rechazar H0"),"Error tipo I",IF(AND(B258="Ha verdadera",E258="No rechazar H0"),"Error tipo II","Decisión correcta"))</f>
        <v>Decisión correcta</v>
      </c>
    </row>
    <row r="259" customFormat="false" ht="15" hidden="false" customHeight="false" outlineLevel="0" collapsed="false">
      <c r="A259" s="0" t="n">
        <v>238</v>
      </c>
      <c r="B259" s="0" t="s">
        <v>86</v>
      </c>
      <c r="C259" s="17" t="n">
        <v>-0.264311641736135</v>
      </c>
      <c r="D259" s="17" t="n">
        <f aca="false">(C259-$B$4)/($B$6/SQRT($B$7))</f>
        <v>-1.32155820868068</v>
      </c>
      <c r="E259" s="0" t="str">
        <f aca="false">IF(OR(AND($B$9="superior",D259&gt;$B$10),AND($B$9="inferior",D259&lt;-$B$10)),"Rechazar H0","No rechazar H0")</f>
        <v>No rechazar H0</v>
      </c>
      <c r="F259" s="0" t="str">
        <f aca="false">IF(AND(B259="H0 verdadera",E259="Rechazar H0"),"Error tipo I",IF(AND(B259="Ha verdadera",E259="No rechazar H0"),"Error tipo II","Decisión correcta"))</f>
        <v>Error tipo II</v>
      </c>
    </row>
    <row r="260" customFormat="false" ht="15" hidden="false" customHeight="false" outlineLevel="0" collapsed="false">
      <c r="A260" s="0" t="n">
        <v>239</v>
      </c>
      <c r="B260" s="0" t="s">
        <v>85</v>
      </c>
      <c r="C260" s="17" t="n">
        <v>0.24754297790585</v>
      </c>
      <c r="D260" s="17" t="n">
        <f aca="false">(C260-$B$4)/($B$6/SQRT($B$7))</f>
        <v>1.23771488952925</v>
      </c>
      <c r="E260" s="0" t="str">
        <f aca="false">IF(OR(AND($B$9="superior",D260&gt;$B$10),AND($B$9="inferior",D260&lt;-$B$10)),"Rechazar H0","No rechazar H0")</f>
        <v>No rechazar H0</v>
      </c>
      <c r="F260" s="0" t="str">
        <f aca="false">IF(AND(B260="H0 verdadera",E260="Rechazar H0"),"Error tipo I",IF(AND(B260="Ha verdadera",E260="No rechazar H0"),"Error tipo II","Decisión correcta"))</f>
        <v>Decisión correcta</v>
      </c>
    </row>
    <row r="261" customFormat="false" ht="15" hidden="false" customHeight="false" outlineLevel="0" collapsed="false">
      <c r="A261" s="0" t="n">
        <v>240</v>
      </c>
      <c r="B261" s="0" t="s">
        <v>85</v>
      </c>
      <c r="C261" s="17" t="n">
        <v>-0.212032141422209</v>
      </c>
      <c r="D261" s="17" t="n">
        <f aca="false">(C261-$B$4)/($B$6/SQRT($B$7))</f>
        <v>-1.06016070711104</v>
      </c>
      <c r="E261" s="0" t="str">
        <f aca="false">IF(OR(AND($B$9="superior",D261&gt;$B$10),AND($B$9="inferior",D261&lt;-$B$10)),"Rechazar H0","No rechazar H0")</f>
        <v>No rechazar H0</v>
      </c>
      <c r="F261" s="0" t="str">
        <f aca="false">IF(AND(B261="H0 verdadera",E261="Rechazar H0"),"Error tipo I",IF(AND(B261="Ha verdadera",E261="No rechazar H0"),"Error tipo II","Decisión correcta"))</f>
        <v>Decisión correcta</v>
      </c>
    </row>
    <row r="262" customFormat="false" ht="15" hidden="false" customHeight="false" outlineLevel="0" collapsed="false">
      <c r="A262" s="0" t="n">
        <v>241</v>
      </c>
      <c r="B262" s="0" t="s">
        <v>86</v>
      </c>
      <c r="C262" s="17" t="n">
        <v>-0.791986148091607</v>
      </c>
      <c r="D262" s="17" t="n">
        <f aca="false">(C262-$B$4)/($B$6/SQRT($B$7))</f>
        <v>-3.95993074045803</v>
      </c>
      <c r="E262" s="0" t="str">
        <f aca="false">IF(OR(AND($B$9="superior",D262&gt;$B$10),AND($B$9="inferior",D262&lt;-$B$10)),"Rechazar H0","No rechazar H0")</f>
        <v>Rechazar H0</v>
      </c>
      <c r="F262" s="0" t="str">
        <f aca="false">IF(AND(B262="H0 verdadera",E262="Rechazar H0"),"Error tipo I",IF(AND(B262="Ha verdadera",E262="No rechazar H0"),"Error tipo II","Decisión correcta"))</f>
        <v>Decisión correcta</v>
      </c>
    </row>
    <row r="263" customFormat="false" ht="15" hidden="false" customHeight="false" outlineLevel="0" collapsed="false">
      <c r="A263" s="0" t="n">
        <v>242</v>
      </c>
      <c r="B263" s="0" t="s">
        <v>86</v>
      </c>
      <c r="C263" s="17" t="n">
        <v>-0.473807199272393</v>
      </c>
      <c r="D263" s="17" t="n">
        <f aca="false">(C263-$B$4)/($B$6/SQRT($B$7))</f>
        <v>-2.36903599636197</v>
      </c>
      <c r="E263" s="0" t="str">
        <f aca="false">IF(OR(AND($B$9="superior",D263&gt;$B$10),AND($B$9="inferior",D263&lt;-$B$10)),"Rechazar H0","No rechazar H0")</f>
        <v>Rechazar H0</v>
      </c>
      <c r="F263" s="0" t="str">
        <f aca="false">IF(AND(B263="H0 verdadera",E263="Rechazar H0"),"Error tipo I",IF(AND(B263="Ha verdadera",E263="No rechazar H0"),"Error tipo II","Decisión correcta"))</f>
        <v>Decisión correcta</v>
      </c>
    </row>
    <row r="264" customFormat="false" ht="15" hidden="false" customHeight="false" outlineLevel="0" collapsed="false">
      <c r="A264" s="0" t="n">
        <v>243</v>
      </c>
      <c r="B264" s="0" t="s">
        <v>86</v>
      </c>
      <c r="C264" s="17" t="n">
        <v>-0.70671810733719</v>
      </c>
      <c r="D264" s="17" t="n">
        <f aca="false">(C264-$B$4)/($B$6/SQRT($B$7))</f>
        <v>-3.53359053668595</v>
      </c>
      <c r="E264" s="0" t="str">
        <f aca="false">IF(OR(AND($B$9="superior",D264&gt;$B$10),AND($B$9="inferior",D264&lt;-$B$10)),"Rechazar H0","No rechazar H0")</f>
        <v>Rechazar H0</v>
      </c>
      <c r="F264" s="0" t="str">
        <f aca="false">IF(AND(B264="H0 verdadera",E264="Rechazar H0"),"Error tipo I",IF(AND(B264="Ha verdadera",E264="No rechazar H0"),"Error tipo II","Decisión correcta"))</f>
        <v>Decisión correcta</v>
      </c>
    </row>
    <row r="265" customFormat="false" ht="15" hidden="false" customHeight="false" outlineLevel="0" collapsed="false">
      <c r="A265" s="0" t="n">
        <v>244</v>
      </c>
      <c r="B265" s="0" t="s">
        <v>85</v>
      </c>
      <c r="C265" s="17" t="n">
        <v>-0.0180059184165621</v>
      </c>
      <c r="D265" s="17" t="n">
        <f aca="false">(C265-$B$4)/($B$6/SQRT($B$7))</f>
        <v>-0.0900295920828104</v>
      </c>
      <c r="E265" s="0" t="str">
        <f aca="false">IF(OR(AND($B$9="superior",D265&gt;$B$10),AND($B$9="inferior",D265&lt;-$B$10)),"Rechazar H0","No rechazar H0")</f>
        <v>No rechazar H0</v>
      </c>
      <c r="F265" s="0" t="str">
        <f aca="false">IF(AND(B265="H0 verdadera",E265="Rechazar H0"),"Error tipo I",IF(AND(B265="Ha verdadera",E265="No rechazar H0"),"Error tipo II","Decisión correcta"))</f>
        <v>Decisión correcta</v>
      </c>
    </row>
    <row r="266" customFormat="false" ht="15" hidden="false" customHeight="false" outlineLevel="0" collapsed="false">
      <c r="A266" s="0" t="n">
        <v>245</v>
      </c>
      <c r="B266" s="0" t="s">
        <v>85</v>
      </c>
      <c r="C266" s="17" t="n">
        <v>-0.249302039057037</v>
      </c>
      <c r="D266" s="17" t="n">
        <f aca="false">(C266-$B$4)/($B$6/SQRT($B$7))</f>
        <v>-1.24651019528518</v>
      </c>
      <c r="E266" s="0" t="str">
        <f aca="false">IF(OR(AND($B$9="superior",D266&gt;$B$10),AND($B$9="inferior",D266&lt;-$B$10)),"Rechazar H0","No rechazar H0")</f>
        <v>No rechazar H0</v>
      </c>
      <c r="F266" s="0" t="str">
        <f aca="false">IF(AND(B266="H0 verdadera",E266="Rechazar H0"),"Error tipo I",IF(AND(B266="Ha verdadera",E266="No rechazar H0"),"Error tipo II","Decisión correcta"))</f>
        <v>Decisión correcta</v>
      </c>
    </row>
    <row r="267" customFormat="false" ht="15" hidden="false" customHeight="false" outlineLevel="0" collapsed="false">
      <c r="A267" s="0" t="n">
        <v>246</v>
      </c>
      <c r="B267" s="0" t="s">
        <v>85</v>
      </c>
      <c r="C267" s="17" t="n">
        <v>-0.0425706297877616</v>
      </c>
      <c r="D267" s="17" t="n">
        <f aca="false">(C267-$B$4)/($B$6/SQRT($B$7))</f>
        <v>-0.212853148938808</v>
      </c>
      <c r="E267" s="0" t="str">
        <f aca="false">IF(OR(AND($B$9="superior",D267&gt;$B$10),AND($B$9="inferior",D267&lt;-$B$10)),"Rechazar H0","No rechazar H0")</f>
        <v>No rechazar H0</v>
      </c>
      <c r="F267" s="0" t="str">
        <f aca="false">IF(AND(B267="H0 verdadera",E267="Rechazar H0"),"Error tipo I",IF(AND(B267="Ha verdadera",E267="No rechazar H0"),"Error tipo II","Decisión correcta"))</f>
        <v>Decisión correcta</v>
      </c>
    </row>
    <row r="268" customFormat="false" ht="15" hidden="false" customHeight="false" outlineLevel="0" collapsed="false">
      <c r="A268" s="0" t="n">
        <v>247</v>
      </c>
      <c r="B268" s="0" t="s">
        <v>85</v>
      </c>
      <c r="C268" s="17" t="n">
        <v>0.173867944079173</v>
      </c>
      <c r="D268" s="17" t="n">
        <f aca="false">(C268-$B$4)/($B$6/SQRT($B$7))</f>
        <v>0.869339720395865</v>
      </c>
      <c r="E268" s="0" t="str">
        <f aca="false">IF(OR(AND($B$9="superior",D268&gt;$B$10),AND($B$9="inferior",D268&lt;-$B$10)),"Rechazar H0","No rechazar H0")</f>
        <v>No rechazar H0</v>
      </c>
      <c r="F268" s="0" t="str">
        <f aca="false">IF(AND(B268="H0 verdadera",E268="Rechazar H0"),"Error tipo I",IF(AND(B268="Ha verdadera",E268="No rechazar H0"),"Error tipo II","Decisión correcta"))</f>
        <v>Decisión correcta</v>
      </c>
    </row>
    <row r="269" customFormat="false" ht="15" hidden="false" customHeight="false" outlineLevel="0" collapsed="false">
      <c r="A269" s="0" t="n">
        <v>248</v>
      </c>
      <c r="B269" s="0" t="s">
        <v>85</v>
      </c>
      <c r="C269" s="17" t="n">
        <v>0.0756431185858275</v>
      </c>
      <c r="D269" s="17" t="n">
        <f aca="false">(C269-$B$4)/($B$6/SQRT($B$7))</f>
        <v>0.378215592929137</v>
      </c>
      <c r="E269" s="0" t="str">
        <f aca="false">IF(OR(AND($B$9="superior",D269&gt;$B$10),AND($B$9="inferior",D269&lt;-$B$10)),"Rechazar H0","No rechazar H0")</f>
        <v>No rechazar H0</v>
      </c>
      <c r="F269" s="0" t="str">
        <f aca="false">IF(AND(B269="H0 verdadera",E269="Rechazar H0"),"Error tipo I",IF(AND(B269="Ha verdadera",E269="No rechazar H0"),"Error tipo II","Decisión correcta"))</f>
        <v>Decisión correcta</v>
      </c>
    </row>
    <row r="270" customFormat="false" ht="15" hidden="false" customHeight="false" outlineLevel="0" collapsed="false">
      <c r="A270" s="0" t="n">
        <v>249</v>
      </c>
      <c r="B270" s="0" t="s">
        <v>85</v>
      </c>
      <c r="C270" s="17" t="n">
        <v>-0.212223311901214</v>
      </c>
      <c r="D270" s="17" t="n">
        <f aca="false">(C270-$B$4)/($B$6/SQRT($B$7))</f>
        <v>-1.06111655950607</v>
      </c>
      <c r="E270" s="0" t="str">
        <f aca="false">IF(OR(AND($B$9="superior",D270&gt;$B$10),AND($B$9="inferior",D270&lt;-$B$10)),"Rechazar H0","No rechazar H0")</f>
        <v>No rechazar H0</v>
      </c>
      <c r="F270" s="0" t="str">
        <f aca="false">IF(AND(B270="H0 verdadera",E270="Rechazar H0"),"Error tipo I",IF(AND(B270="Ha verdadera",E270="No rechazar H0"),"Error tipo II","Decisión correcta"))</f>
        <v>Decisión correcta</v>
      </c>
    </row>
    <row r="271" customFormat="false" ht="15" hidden="false" customHeight="false" outlineLevel="0" collapsed="false">
      <c r="A271" s="0" t="n">
        <v>250</v>
      </c>
      <c r="B271" s="0" t="s">
        <v>85</v>
      </c>
      <c r="C271" s="17" t="n">
        <v>0.148229695041414</v>
      </c>
      <c r="D271" s="17" t="n">
        <f aca="false">(C271-$B$4)/($B$6/SQRT($B$7))</f>
        <v>0.74114847520707</v>
      </c>
      <c r="E271" s="0" t="str">
        <f aca="false">IF(OR(AND($B$9="superior",D271&gt;$B$10),AND($B$9="inferior",D271&lt;-$B$10)),"Rechazar H0","No rechazar H0")</f>
        <v>No rechazar H0</v>
      </c>
      <c r="F271" s="0" t="str">
        <f aca="false">IF(AND(B271="H0 verdadera",E271="Rechazar H0"),"Error tipo I",IF(AND(B271="Ha verdadera",E271="No rechazar H0"),"Error tipo II","Decisión correcta"))</f>
        <v>Decisión correcta</v>
      </c>
    </row>
    <row r="272" customFormat="false" ht="15" hidden="false" customHeight="false" outlineLevel="0" collapsed="false">
      <c r="A272" s="0" t="n">
        <v>251</v>
      </c>
      <c r="B272" s="0" t="s">
        <v>86</v>
      </c>
      <c r="C272" s="17" t="n">
        <v>-0.15444871154105</v>
      </c>
      <c r="D272" s="17" t="n">
        <f aca="false">(C272-$B$4)/($B$6/SQRT($B$7))</f>
        <v>-0.772243557705251</v>
      </c>
      <c r="E272" s="0" t="str">
        <f aca="false">IF(OR(AND($B$9="superior",D272&gt;$B$10),AND($B$9="inferior",D272&lt;-$B$10)),"Rechazar H0","No rechazar H0")</f>
        <v>No rechazar H0</v>
      </c>
      <c r="F272" s="0" t="str">
        <f aca="false">IF(AND(B272="H0 verdadera",E272="Rechazar H0"),"Error tipo I",IF(AND(B272="Ha verdadera",E272="No rechazar H0"),"Error tipo II","Decisión correcta"))</f>
        <v>Error tipo II</v>
      </c>
    </row>
    <row r="273" customFormat="false" ht="15" hidden="false" customHeight="false" outlineLevel="0" collapsed="false">
      <c r="A273" s="0" t="n">
        <v>252</v>
      </c>
      <c r="B273" s="0" t="s">
        <v>85</v>
      </c>
      <c r="C273" s="17" t="n">
        <v>-0.210919779510207</v>
      </c>
      <c r="D273" s="17" t="n">
        <f aca="false">(C273-$B$4)/($B$6/SQRT($B$7))</f>
        <v>-1.05459889755103</v>
      </c>
      <c r="E273" s="0" t="str">
        <f aca="false">IF(OR(AND($B$9="superior",D273&gt;$B$10),AND($B$9="inferior",D273&lt;-$B$10)),"Rechazar H0","No rechazar H0")</f>
        <v>No rechazar H0</v>
      </c>
      <c r="F273" s="0" t="str">
        <f aca="false">IF(AND(B273="H0 verdadera",E273="Rechazar H0"),"Error tipo I",IF(AND(B273="Ha verdadera",E273="No rechazar H0"),"Error tipo II","Decisión correcta"))</f>
        <v>Decisión correcta</v>
      </c>
    </row>
    <row r="274" customFormat="false" ht="15" hidden="false" customHeight="false" outlineLevel="0" collapsed="false">
      <c r="A274" s="0" t="n">
        <v>253</v>
      </c>
      <c r="B274" s="0" t="s">
        <v>85</v>
      </c>
      <c r="C274" s="17" t="n">
        <v>0.492847157223739</v>
      </c>
      <c r="D274" s="17" t="n">
        <f aca="false">(C274-$B$4)/($B$6/SQRT($B$7))</f>
        <v>2.46423578611869</v>
      </c>
      <c r="E274" s="0" t="str">
        <f aca="false">IF(OR(AND($B$9="superior",D274&gt;$B$10),AND($B$9="inferior",D274&lt;-$B$10)),"Rechazar H0","No rechazar H0")</f>
        <v>No rechazar H0</v>
      </c>
      <c r="F274" s="0" t="str">
        <f aca="false">IF(AND(B274="H0 verdadera",E274="Rechazar H0"),"Error tipo I",IF(AND(B274="Ha verdadera",E274="No rechazar H0"),"Error tipo II","Decisión correcta"))</f>
        <v>Decisión correcta</v>
      </c>
    </row>
    <row r="275" customFormat="false" ht="15" hidden="false" customHeight="false" outlineLevel="0" collapsed="false">
      <c r="A275" s="0" t="n">
        <v>254</v>
      </c>
      <c r="B275" s="0" t="s">
        <v>86</v>
      </c>
      <c r="C275" s="17" t="n">
        <v>-0.312917746416732</v>
      </c>
      <c r="D275" s="17" t="n">
        <f aca="false">(C275-$B$4)/($B$6/SQRT($B$7))</f>
        <v>-1.56458873208366</v>
      </c>
      <c r="E275" s="0" t="str">
        <f aca="false">IF(OR(AND($B$9="superior",D275&gt;$B$10),AND($B$9="inferior",D275&lt;-$B$10)),"Rechazar H0","No rechazar H0")</f>
        <v>No rechazar H0</v>
      </c>
      <c r="F275" s="0" t="str">
        <f aca="false">IF(AND(B275="H0 verdadera",E275="Rechazar H0"),"Error tipo I",IF(AND(B275="Ha verdadera",E275="No rechazar H0"),"Error tipo II","Decisión correcta"))</f>
        <v>Error tipo II</v>
      </c>
    </row>
    <row r="276" customFormat="false" ht="15" hidden="false" customHeight="false" outlineLevel="0" collapsed="false">
      <c r="A276" s="0" t="n">
        <v>255</v>
      </c>
      <c r="B276" s="0" t="s">
        <v>86</v>
      </c>
      <c r="C276" s="17" t="n">
        <v>-0.407272055173674</v>
      </c>
      <c r="D276" s="17" t="n">
        <f aca="false">(C276-$B$4)/($B$6/SQRT($B$7))</f>
        <v>-2.03636027586837</v>
      </c>
      <c r="E276" s="0" t="str">
        <f aca="false">IF(OR(AND($B$9="superior",D276&gt;$B$10),AND($B$9="inferior",D276&lt;-$B$10)),"Rechazar H0","No rechazar H0")</f>
        <v>Rechazar H0</v>
      </c>
      <c r="F276" s="0" t="str">
        <f aca="false">IF(AND(B276="H0 verdadera",E276="Rechazar H0"),"Error tipo I",IF(AND(B276="Ha verdadera",E276="No rechazar H0"),"Error tipo II","Decisión correcta"))</f>
        <v>Decisión correcta</v>
      </c>
    </row>
    <row r="277" customFormat="false" ht="15" hidden="false" customHeight="false" outlineLevel="0" collapsed="false">
      <c r="A277" s="0" t="n">
        <v>256</v>
      </c>
      <c r="B277" s="0" t="s">
        <v>86</v>
      </c>
      <c r="C277" s="17" t="n">
        <v>-0.484590165788314</v>
      </c>
      <c r="D277" s="17" t="n">
        <f aca="false">(C277-$B$4)/($B$6/SQRT($B$7))</f>
        <v>-2.42295082894157</v>
      </c>
      <c r="E277" s="0" t="str">
        <f aca="false">IF(OR(AND($B$9="superior",D277&gt;$B$10),AND($B$9="inferior",D277&lt;-$B$10)),"Rechazar H0","No rechazar H0")</f>
        <v>Rechazar H0</v>
      </c>
      <c r="F277" s="0" t="str">
        <f aca="false">IF(AND(B277="H0 verdadera",E277="Rechazar H0"),"Error tipo I",IF(AND(B277="Ha verdadera",E277="No rechazar H0"),"Error tipo II","Decisión correcta"))</f>
        <v>Decisión correcta</v>
      </c>
    </row>
    <row r="278" customFormat="false" ht="15" hidden="false" customHeight="false" outlineLevel="0" collapsed="false">
      <c r="A278" s="0" t="n">
        <v>257</v>
      </c>
      <c r="B278" s="0" t="s">
        <v>85</v>
      </c>
      <c r="C278" s="17" t="n">
        <v>0.0746159571307241</v>
      </c>
      <c r="D278" s="17" t="n">
        <f aca="false">(C278-$B$4)/($B$6/SQRT($B$7))</f>
        <v>0.373079785653621</v>
      </c>
      <c r="E278" s="0" t="str">
        <f aca="false">IF(OR(AND($B$9="superior",D278&gt;$B$10),AND($B$9="inferior",D278&lt;-$B$10)),"Rechazar H0","No rechazar H0")</f>
        <v>No rechazar H0</v>
      </c>
      <c r="F278" s="0" t="str">
        <f aca="false">IF(AND(B278="H0 verdadera",E278="Rechazar H0"),"Error tipo I",IF(AND(B278="Ha verdadera",E278="No rechazar H0"),"Error tipo II","Decisión correcta"))</f>
        <v>Decisión correcta</v>
      </c>
    </row>
    <row r="279" customFormat="false" ht="15" hidden="false" customHeight="false" outlineLevel="0" collapsed="false">
      <c r="A279" s="0" t="n">
        <v>258</v>
      </c>
      <c r="B279" s="0" t="s">
        <v>86</v>
      </c>
      <c r="C279" s="17" t="n">
        <v>-0.138880324673782</v>
      </c>
      <c r="D279" s="17" t="n">
        <f aca="false">(C279-$B$4)/($B$6/SQRT($B$7))</f>
        <v>-0.694401623368908</v>
      </c>
      <c r="E279" s="0" t="str">
        <f aca="false">IF(OR(AND($B$9="superior",D279&gt;$B$10),AND($B$9="inferior",D279&lt;-$B$10)),"Rechazar H0","No rechazar H0")</f>
        <v>No rechazar H0</v>
      </c>
      <c r="F279" s="0" t="str">
        <f aca="false">IF(AND(B279="H0 verdadera",E279="Rechazar H0"),"Error tipo I",IF(AND(B279="Ha verdadera",E279="No rechazar H0"),"Error tipo II","Decisión correcta"))</f>
        <v>Error tipo II</v>
      </c>
    </row>
    <row r="280" customFormat="false" ht="15" hidden="false" customHeight="false" outlineLevel="0" collapsed="false">
      <c r="A280" s="0" t="n">
        <v>259</v>
      </c>
      <c r="B280" s="0" t="s">
        <v>86</v>
      </c>
      <c r="C280" s="17" t="n">
        <v>-0.283626516589216</v>
      </c>
      <c r="D280" s="17" t="n">
        <f aca="false">(C280-$B$4)/($B$6/SQRT($B$7))</f>
        <v>-1.41813258294608</v>
      </c>
      <c r="E280" s="0" t="str">
        <f aca="false">IF(OR(AND($B$9="superior",D280&gt;$B$10),AND($B$9="inferior",D280&lt;-$B$10)),"Rechazar H0","No rechazar H0")</f>
        <v>No rechazar H0</v>
      </c>
      <c r="F280" s="0" t="str">
        <f aca="false">IF(AND(B280="H0 verdadera",E280="Rechazar H0"),"Error tipo I",IF(AND(B280="Ha verdadera",E280="No rechazar H0"),"Error tipo II","Decisión correcta"))</f>
        <v>Error tipo II</v>
      </c>
    </row>
    <row r="281" customFormat="false" ht="15" hidden="false" customHeight="false" outlineLevel="0" collapsed="false">
      <c r="A281" s="0" t="n">
        <v>260</v>
      </c>
      <c r="B281" s="0" t="s">
        <v>86</v>
      </c>
      <c r="C281" s="17" t="n">
        <v>-0.000385804110753165</v>
      </c>
      <c r="D281" s="17" t="n">
        <f aca="false">(C281-$B$4)/($B$6/SQRT($B$7))</f>
        <v>-0.00192902055376583</v>
      </c>
      <c r="E281" s="0" t="str">
        <f aca="false">IF(OR(AND($B$9="superior",D281&gt;$B$10),AND($B$9="inferior",D281&lt;-$B$10)),"Rechazar H0","No rechazar H0")</f>
        <v>No rechazar H0</v>
      </c>
      <c r="F281" s="0" t="str">
        <f aca="false">IF(AND(B281="H0 verdadera",E281="Rechazar H0"),"Error tipo I",IF(AND(B281="Ha verdadera",E281="No rechazar H0"),"Error tipo II","Decisión correcta"))</f>
        <v>Error tipo II</v>
      </c>
    </row>
    <row r="282" customFormat="false" ht="15" hidden="false" customHeight="false" outlineLevel="0" collapsed="false">
      <c r="A282" s="0" t="n">
        <v>261</v>
      </c>
      <c r="B282" s="0" t="s">
        <v>86</v>
      </c>
      <c r="C282" s="17" t="n">
        <v>-0.235061049098557</v>
      </c>
      <c r="D282" s="17" t="n">
        <f aca="false">(C282-$B$4)/($B$6/SQRT($B$7))</f>
        <v>-1.17530524549278</v>
      </c>
      <c r="E282" s="0" t="str">
        <f aca="false">IF(OR(AND($B$9="superior",D282&gt;$B$10),AND($B$9="inferior",D282&lt;-$B$10)),"Rechazar H0","No rechazar H0")</f>
        <v>No rechazar H0</v>
      </c>
      <c r="F282" s="0" t="str">
        <f aca="false">IF(AND(B282="H0 verdadera",E282="Rechazar H0"),"Error tipo I",IF(AND(B282="Ha verdadera",E282="No rechazar H0"),"Error tipo II","Decisión correcta"))</f>
        <v>Error tipo II</v>
      </c>
    </row>
    <row r="283" customFormat="false" ht="15" hidden="false" customHeight="false" outlineLevel="0" collapsed="false">
      <c r="A283" s="0" t="n">
        <v>262</v>
      </c>
      <c r="B283" s="0" t="s">
        <v>86</v>
      </c>
      <c r="C283" s="17" t="n">
        <v>-0.264733052203384</v>
      </c>
      <c r="D283" s="17" t="n">
        <f aca="false">(C283-$B$4)/($B$6/SQRT($B$7))</f>
        <v>-1.32366526101692</v>
      </c>
      <c r="E283" s="0" t="str">
        <f aca="false">IF(OR(AND($B$9="superior",D283&gt;$B$10),AND($B$9="inferior",D283&lt;-$B$10)),"Rechazar H0","No rechazar H0")</f>
        <v>No rechazar H0</v>
      </c>
      <c r="F283" s="0" t="str">
        <f aca="false">IF(AND(B283="H0 verdadera",E283="Rechazar H0"),"Error tipo I",IF(AND(B283="Ha verdadera",E283="No rechazar H0"),"Error tipo II","Decisión correcta"))</f>
        <v>Error tipo II</v>
      </c>
    </row>
    <row r="284" customFormat="false" ht="15" hidden="false" customHeight="false" outlineLevel="0" collapsed="false">
      <c r="A284" s="0" t="n">
        <v>263</v>
      </c>
      <c r="B284" s="0" t="s">
        <v>85</v>
      </c>
      <c r="C284" s="17" t="n">
        <v>0.224545973807386</v>
      </c>
      <c r="D284" s="17" t="n">
        <f aca="false">(C284-$B$4)/($B$6/SQRT($B$7))</f>
        <v>1.12272986903693</v>
      </c>
      <c r="E284" s="0" t="str">
        <f aca="false">IF(OR(AND($B$9="superior",D284&gt;$B$10),AND($B$9="inferior",D284&lt;-$B$10)),"Rechazar H0","No rechazar H0")</f>
        <v>No rechazar H0</v>
      </c>
      <c r="F284" s="0" t="str">
        <f aca="false">IF(AND(B284="H0 verdadera",E284="Rechazar H0"),"Error tipo I",IF(AND(B284="Ha verdadera",E284="No rechazar H0"),"Error tipo II","Decisión correcta"))</f>
        <v>Decisión correcta</v>
      </c>
    </row>
    <row r="285" customFormat="false" ht="15" hidden="false" customHeight="false" outlineLevel="0" collapsed="false">
      <c r="A285" s="0" t="n">
        <v>264</v>
      </c>
      <c r="B285" s="0" t="s">
        <v>86</v>
      </c>
      <c r="C285" s="17" t="n">
        <v>-0.459780916448791</v>
      </c>
      <c r="D285" s="17" t="n">
        <f aca="false">(C285-$B$4)/($B$6/SQRT($B$7))</f>
        <v>-2.29890458224395</v>
      </c>
      <c r="E285" s="0" t="str">
        <f aca="false">IF(OR(AND($B$9="superior",D285&gt;$B$10),AND($B$9="inferior",D285&lt;-$B$10)),"Rechazar H0","No rechazar H0")</f>
        <v>Rechazar H0</v>
      </c>
      <c r="F285" s="0" t="str">
        <f aca="false">IF(AND(B285="H0 verdadera",E285="Rechazar H0"),"Error tipo I",IF(AND(B285="Ha verdadera",E285="No rechazar H0"),"Error tipo II","Decisión correcta"))</f>
        <v>Decisión correcta</v>
      </c>
    </row>
    <row r="286" customFormat="false" ht="15" hidden="false" customHeight="false" outlineLevel="0" collapsed="false">
      <c r="A286" s="0" t="n">
        <v>265</v>
      </c>
      <c r="B286" s="0" t="s">
        <v>86</v>
      </c>
      <c r="C286" s="17" t="n">
        <v>-0.575648897837611</v>
      </c>
      <c r="D286" s="17" t="n">
        <f aca="false">(C286-$B$4)/($B$6/SQRT($B$7))</f>
        <v>-2.87824448918806</v>
      </c>
      <c r="E286" s="0" t="str">
        <f aca="false">IF(OR(AND($B$9="superior",D286&gt;$B$10),AND($B$9="inferior",D286&lt;-$B$10)),"Rechazar H0","No rechazar H0")</f>
        <v>Rechazar H0</v>
      </c>
      <c r="F286" s="0" t="str">
        <f aca="false">IF(AND(B286="H0 verdadera",E286="Rechazar H0"),"Error tipo I",IF(AND(B286="Ha verdadera",E286="No rechazar H0"),"Error tipo II","Decisión correcta"))</f>
        <v>Decisión correcta</v>
      </c>
    </row>
    <row r="287" customFormat="false" ht="15" hidden="false" customHeight="false" outlineLevel="0" collapsed="false">
      <c r="A287" s="0" t="n">
        <v>266</v>
      </c>
      <c r="B287" s="0" t="s">
        <v>85</v>
      </c>
      <c r="C287" s="17" t="n">
        <v>-0.24041329933279</v>
      </c>
      <c r="D287" s="17" t="n">
        <f aca="false">(C287-$B$4)/($B$6/SQRT($B$7))</f>
        <v>-1.20206649666395</v>
      </c>
      <c r="E287" s="0" t="str">
        <f aca="false">IF(OR(AND($B$9="superior",D287&gt;$B$10),AND($B$9="inferior",D287&lt;-$B$10)),"Rechazar H0","No rechazar H0")</f>
        <v>No rechazar H0</v>
      </c>
      <c r="F287" s="0" t="str">
        <f aca="false">IF(AND(B287="H0 verdadera",E287="Rechazar H0"),"Error tipo I",IF(AND(B287="Ha verdadera",E287="No rechazar H0"),"Error tipo II","Decisión correcta"))</f>
        <v>Decisión correcta</v>
      </c>
    </row>
    <row r="288" customFormat="false" ht="15" hidden="false" customHeight="false" outlineLevel="0" collapsed="false">
      <c r="A288" s="0" t="n">
        <v>267</v>
      </c>
      <c r="B288" s="0" t="s">
        <v>86</v>
      </c>
      <c r="C288" s="17" t="n">
        <v>-0.806714921304417</v>
      </c>
      <c r="D288" s="17" t="n">
        <f aca="false">(C288-$B$4)/($B$6/SQRT($B$7))</f>
        <v>-4.03357460652209</v>
      </c>
      <c r="E288" s="0" t="str">
        <f aca="false">IF(OR(AND($B$9="superior",D288&gt;$B$10),AND($B$9="inferior",D288&lt;-$B$10)),"Rechazar H0","No rechazar H0")</f>
        <v>Rechazar H0</v>
      </c>
      <c r="F288" s="0" t="str">
        <f aca="false">IF(AND(B288="H0 verdadera",E288="Rechazar H0"),"Error tipo I",IF(AND(B288="Ha verdadera",E288="No rechazar H0"),"Error tipo II","Decisión correcta"))</f>
        <v>Decisión correcta</v>
      </c>
    </row>
    <row r="289" customFormat="false" ht="15" hidden="false" customHeight="false" outlineLevel="0" collapsed="false">
      <c r="A289" s="0" t="n">
        <v>268</v>
      </c>
      <c r="B289" s="0" t="s">
        <v>85</v>
      </c>
      <c r="C289" s="17" t="n">
        <v>-0.0278069535593433</v>
      </c>
      <c r="D289" s="17" t="n">
        <f aca="false">(C289-$B$4)/($B$6/SQRT($B$7))</f>
        <v>-0.139034767796716</v>
      </c>
      <c r="E289" s="0" t="str">
        <f aca="false">IF(OR(AND($B$9="superior",D289&gt;$B$10),AND($B$9="inferior",D289&lt;-$B$10)),"Rechazar H0","No rechazar H0")</f>
        <v>No rechazar H0</v>
      </c>
      <c r="F289" s="0" t="str">
        <f aca="false">IF(AND(B289="H0 verdadera",E289="Rechazar H0"),"Error tipo I",IF(AND(B289="Ha verdadera",E289="No rechazar H0"),"Error tipo II","Decisión correcta"))</f>
        <v>Decisión correcta</v>
      </c>
    </row>
    <row r="290" customFormat="false" ht="15" hidden="false" customHeight="false" outlineLevel="0" collapsed="false">
      <c r="A290" s="0" t="n">
        <v>269</v>
      </c>
      <c r="B290" s="0" t="s">
        <v>86</v>
      </c>
      <c r="C290" s="17" t="n">
        <v>-0.501638032803842</v>
      </c>
      <c r="D290" s="17" t="n">
        <f aca="false">(C290-$B$4)/($B$6/SQRT($B$7))</f>
        <v>-2.50819016401921</v>
      </c>
      <c r="E290" s="0" t="str">
        <f aca="false">IF(OR(AND($B$9="superior",D290&gt;$B$10),AND($B$9="inferior",D290&lt;-$B$10)),"Rechazar H0","No rechazar H0")</f>
        <v>Rechazar H0</v>
      </c>
      <c r="F290" s="0" t="str">
        <f aca="false">IF(AND(B290="H0 verdadera",E290="Rechazar H0"),"Error tipo I",IF(AND(B290="Ha verdadera",E290="No rechazar H0"),"Error tipo II","Decisión correcta"))</f>
        <v>Decisión correcta</v>
      </c>
    </row>
    <row r="291" customFormat="false" ht="15" hidden="false" customHeight="false" outlineLevel="0" collapsed="false">
      <c r="A291" s="0" t="n">
        <v>270</v>
      </c>
      <c r="B291" s="0" t="s">
        <v>86</v>
      </c>
      <c r="C291" s="17" t="n">
        <v>-0.71648638434366</v>
      </c>
      <c r="D291" s="17" t="n">
        <f aca="false">(C291-$B$4)/($B$6/SQRT($B$7))</f>
        <v>-3.5824319217183</v>
      </c>
      <c r="E291" s="0" t="str">
        <f aca="false">IF(OR(AND($B$9="superior",D291&gt;$B$10),AND($B$9="inferior",D291&lt;-$B$10)),"Rechazar H0","No rechazar H0")</f>
        <v>Rechazar H0</v>
      </c>
      <c r="F291" s="0" t="str">
        <f aca="false">IF(AND(B291="H0 verdadera",E291="Rechazar H0"),"Error tipo I",IF(AND(B291="Ha verdadera",E291="No rechazar H0"),"Error tipo II","Decisión correcta"))</f>
        <v>Decisión correcta</v>
      </c>
    </row>
    <row r="292" customFormat="false" ht="15" hidden="false" customHeight="false" outlineLevel="0" collapsed="false">
      <c r="A292" s="0" t="n">
        <v>271</v>
      </c>
      <c r="B292" s="0" t="s">
        <v>85</v>
      </c>
      <c r="C292" s="17" t="n">
        <v>0.414292134219545</v>
      </c>
      <c r="D292" s="17" t="n">
        <f aca="false">(C292-$B$4)/($B$6/SQRT($B$7))</f>
        <v>2.07146067109773</v>
      </c>
      <c r="E292" s="0" t="str">
        <f aca="false">IF(OR(AND($B$9="superior",D292&gt;$B$10),AND($B$9="inferior",D292&lt;-$B$10)),"Rechazar H0","No rechazar H0")</f>
        <v>No rechazar H0</v>
      </c>
      <c r="F292" s="0" t="str">
        <f aca="false">IF(AND(B292="H0 verdadera",E292="Rechazar H0"),"Error tipo I",IF(AND(B292="Ha verdadera",E292="No rechazar H0"),"Error tipo II","Decisión correcta"))</f>
        <v>Decisión correcta</v>
      </c>
    </row>
    <row r="293" customFormat="false" ht="15" hidden="false" customHeight="false" outlineLevel="0" collapsed="false">
      <c r="A293" s="0" t="n">
        <v>272</v>
      </c>
      <c r="B293" s="0" t="s">
        <v>86</v>
      </c>
      <c r="C293" s="17" t="n">
        <v>-0.472840083883467</v>
      </c>
      <c r="D293" s="17" t="n">
        <f aca="false">(C293-$B$4)/($B$6/SQRT($B$7))</f>
        <v>-2.36420041941733</v>
      </c>
      <c r="E293" s="0" t="str">
        <f aca="false">IF(OR(AND($B$9="superior",D293&gt;$B$10),AND($B$9="inferior",D293&lt;-$B$10)),"Rechazar H0","No rechazar H0")</f>
        <v>Rechazar H0</v>
      </c>
      <c r="F293" s="0" t="str">
        <f aca="false">IF(AND(B293="H0 verdadera",E293="Rechazar H0"),"Error tipo I",IF(AND(B293="Ha verdadera",E293="No rechazar H0"),"Error tipo II","Decisión correcta"))</f>
        <v>Decisión correcta</v>
      </c>
    </row>
    <row r="294" customFormat="false" ht="15" hidden="false" customHeight="false" outlineLevel="0" collapsed="false">
      <c r="A294" s="0" t="n">
        <v>273</v>
      </c>
      <c r="B294" s="0" t="s">
        <v>86</v>
      </c>
      <c r="C294" s="17" t="n">
        <v>-0.469570807994058</v>
      </c>
      <c r="D294" s="17" t="n">
        <f aca="false">(C294-$B$4)/($B$6/SQRT($B$7))</f>
        <v>-2.34785403997029</v>
      </c>
      <c r="E294" s="0" t="str">
        <f aca="false">IF(OR(AND($B$9="superior",D294&gt;$B$10),AND($B$9="inferior",D294&lt;-$B$10)),"Rechazar H0","No rechazar H0")</f>
        <v>Rechazar H0</v>
      </c>
      <c r="F294" s="0" t="str">
        <f aca="false">IF(AND(B294="H0 verdadera",E294="Rechazar H0"),"Error tipo I",IF(AND(B294="Ha verdadera",E294="No rechazar H0"),"Error tipo II","Decisión correcta"))</f>
        <v>Decisión correcta</v>
      </c>
    </row>
    <row r="295" customFormat="false" ht="15" hidden="false" customHeight="false" outlineLevel="0" collapsed="false">
      <c r="A295" s="0" t="n">
        <v>274</v>
      </c>
      <c r="B295" s="0" t="s">
        <v>86</v>
      </c>
      <c r="C295" s="17" t="n">
        <v>-0.273990528192846</v>
      </c>
      <c r="D295" s="17" t="n">
        <f aca="false">(C295-$B$4)/($B$6/SQRT($B$7))</f>
        <v>-1.36995264096423</v>
      </c>
      <c r="E295" s="0" t="str">
        <f aca="false">IF(OR(AND($B$9="superior",D295&gt;$B$10),AND($B$9="inferior",D295&lt;-$B$10)),"Rechazar H0","No rechazar H0")</f>
        <v>No rechazar H0</v>
      </c>
      <c r="F295" s="0" t="str">
        <f aca="false">IF(AND(B295="H0 verdadera",E295="Rechazar H0"),"Error tipo I",IF(AND(B295="Ha verdadera",E295="No rechazar H0"),"Error tipo II","Decisión correcta"))</f>
        <v>Error tipo II</v>
      </c>
    </row>
    <row r="296" customFormat="false" ht="15" hidden="false" customHeight="false" outlineLevel="0" collapsed="false">
      <c r="A296" s="0" t="n">
        <v>275</v>
      </c>
      <c r="B296" s="0" t="s">
        <v>85</v>
      </c>
      <c r="C296" s="17" t="n">
        <v>-0.125610791993213</v>
      </c>
      <c r="D296" s="17" t="n">
        <f aca="false">(C296-$B$4)/($B$6/SQRT($B$7))</f>
        <v>-0.628053959966063</v>
      </c>
      <c r="E296" s="0" t="str">
        <f aca="false">IF(OR(AND($B$9="superior",D296&gt;$B$10),AND($B$9="inferior",D296&lt;-$B$10)),"Rechazar H0","No rechazar H0")</f>
        <v>No rechazar H0</v>
      </c>
      <c r="F296" s="0" t="str">
        <f aca="false">IF(AND(B296="H0 verdadera",E296="Rechazar H0"),"Error tipo I",IF(AND(B296="Ha verdadera",E296="No rechazar H0"),"Error tipo II","Decisión correcta"))</f>
        <v>Decisión correcta</v>
      </c>
    </row>
    <row r="297" customFormat="false" ht="15" hidden="false" customHeight="false" outlineLevel="0" collapsed="false">
      <c r="A297" s="0" t="n">
        <v>276</v>
      </c>
      <c r="B297" s="0" t="s">
        <v>86</v>
      </c>
      <c r="C297" s="17" t="n">
        <v>-0.533952321000107</v>
      </c>
      <c r="D297" s="17" t="n">
        <f aca="false">(C297-$B$4)/($B$6/SQRT($B$7))</f>
        <v>-2.66976160500053</v>
      </c>
      <c r="E297" s="0" t="str">
        <f aca="false">IF(OR(AND($B$9="superior",D297&gt;$B$10),AND($B$9="inferior",D297&lt;-$B$10)),"Rechazar H0","No rechazar H0")</f>
        <v>Rechazar H0</v>
      </c>
      <c r="F297" s="0" t="str">
        <f aca="false">IF(AND(B297="H0 verdadera",E297="Rechazar H0"),"Error tipo I",IF(AND(B297="Ha verdadera",E297="No rechazar H0"),"Error tipo II","Decisión correcta"))</f>
        <v>Decisión correcta</v>
      </c>
    </row>
    <row r="298" customFormat="false" ht="15" hidden="false" customHeight="false" outlineLevel="0" collapsed="false">
      <c r="A298" s="0" t="n">
        <v>277</v>
      </c>
      <c r="B298" s="0" t="s">
        <v>85</v>
      </c>
      <c r="C298" s="17" t="n">
        <v>-0.111103172647314</v>
      </c>
      <c r="D298" s="17" t="n">
        <f aca="false">(C298-$B$4)/($B$6/SQRT($B$7))</f>
        <v>-0.555515863236572</v>
      </c>
      <c r="E298" s="0" t="str">
        <f aca="false">IF(OR(AND($B$9="superior",D298&gt;$B$10),AND($B$9="inferior",D298&lt;-$B$10)),"Rechazar H0","No rechazar H0")</f>
        <v>No rechazar H0</v>
      </c>
      <c r="F298" s="0" t="str">
        <f aca="false">IF(AND(B298="H0 verdadera",E298="Rechazar H0"),"Error tipo I",IF(AND(B298="Ha verdadera",E298="No rechazar H0"),"Error tipo II","Decisión correcta"))</f>
        <v>Decisión correcta</v>
      </c>
    </row>
    <row r="299" customFormat="false" ht="15" hidden="false" customHeight="false" outlineLevel="0" collapsed="false">
      <c r="A299" s="0" t="n">
        <v>278</v>
      </c>
      <c r="B299" s="0" t="s">
        <v>85</v>
      </c>
      <c r="C299" s="17" t="n">
        <v>-0.00803945215330504</v>
      </c>
      <c r="D299" s="17" t="n">
        <f aca="false">(C299-$B$4)/($B$6/SQRT($B$7))</f>
        <v>-0.0401972607665252</v>
      </c>
      <c r="E299" s="0" t="str">
        <f aca="false">IF(OR(AND($B$9="superior",D299&gt;$B$10),AND($B$9="inferior",D299&lt;-$B$10)),"Rechazar H0","No rechazar H0")</f>
        <v>No rechazar H0</v>
      </c>
      <c r="F299" s="0" t="str">
        <f aca="false">IF(AND(B299="H0 verdadera",E299="Rechazar H0"),"Error tipo I",IF(AND(B299="Ha verdadera",E299="No rechazar H0"),"Error tipo II","Decisión correcta"))</f>
        <v>Decisión correcta</v>
      </c>
    </row>
    <row r="300" customFormat="false" ht="15" hidden="false" customHeight="false" outlineLevel="0" collapsed="false">
      <c r="A300" s="0" t="n">
        <v>279</v>
      </c>
      <c r="B300" s="0" t="s">
        <v>85</v>
      </c>
      <c r="C300" s="17" t="n">
        <v>0.156544396748456</v>
      </c>
      <c r="D300" s="17" t="n">
        <f aca="false">(C300-$B$4)/($B$6/SQRT($B$7))</f>
        <v>0.782721983742282</v>
      </c>
      <c r="E300" s="0" t="str">
        <f aca="false">IF(OR(AND($B$9="superior",D300&gt;$B$10),AND($B$9="inferior",D300&lt;-$B$10)),"Rechazar H0","No rechazar H0")</f>
        <v>No rechazar H0</v>
      </c>
      <c r="F300" s="0" t="str">
        <f aca="false">IF(AND(B300="H0 verdadera",E300="Rechazar H0"),"Error tipo I",IF(AND(B300="Ha verdadera",E300="No rechazar H0"),"Error tipo II","Decisión correcta"))</f>
        <v>Decisión correcta</v>
      </c>
    </row>
    <row r="301" customFormat="false" ht="15" hidden="false" customHeight="false" outlineLevel="0" collapsed="false">
      <c r="A301" s="0" t="n">
        <v>280</v>
      </c>
      <c r="B301" s="0" t="s">
        <v>85</v>
      </c>
      <c r="C301" s="17" t="n">
        <v>0.393716492376595</v>
      </c>
      <c r="D301" s="17" t="n">
        <f aca="false">(C301-$B$4)/($B$6/SQRT($B$7))</f>
        <v>1.96858246188298</v>
      </c>
      <c r="E301" s="0" t="str">
        <f aca="false">IF(OR(AND($B$9="superior",D301&gt;$B$10),AND($B$9="inferior",D301&lt;-$B$10)),"Rechazar H0","No rechazar H0")</f>
        <v>No rechazar H0</v>
      </c>
      <c r="F301" s="0" t="str">
        <f aca="false">IF(AND(B301="H0 verdadera",E301="Rechazar H0"),"Error tipo I",IF(AND(B301="Ha verdadera",E301="No rechazar H0"),"Error tipo II","Decisión correcta"))</f>
        <v>Decisión correcta</v>
      </c>
    </row>
    <row r="302" customFormat="false" ht="15" hidden="false" customHeight="false" outlineLevel="0" collapsed="false">
      <c r="A302" s="0" t="n">
        <v>281</v>
      </c>
      <c r="B302" s="0" t="s">
        <v>86</v>
      </c>
      <c r="C302" s="17" t="n">
        <v>-0.33884955536227</v>
      </c>
      <c r="D302" s="17" t="n">
        <f aca="false">(C302-$B$4)/($B$6/SQRT($B$7))</f>
        <v>-1.69424777681135</v>
      </c>
      <c r="E302" s="0" t="str">
        <f aca="false">IF(OR(AND($B$9="superior",D302&gt;$B$10),AND($B$9="inferior",D302&lt;-$B$10)),"Rechazar H0","No rechazar H0")</f>
        <v>Rechazar H0</v>
      </c>
      <c r="F302" s="0" t="str">
        <f aca="false">IF(AND(B302="H0 verdadera",E302="Rechazar H0"),"Error tipo I",IF(AND(B302="Ha verdadera",E302="No rechazar H0"),"Error tipo II","Decisión correcta"))</f>
        <v>Decisión correcta</v>
      </c>
    </row>
    <row r="303" customFormat="false" ht="15" hidden="false" customHeight="false" outlineLevel="0" collapsed="false">
      <c r="A303" s="0" t="n">
        <v>282</v>
      </c>
      <c r="B303" s="0" t="s">
        <v>85</v>
      </c>
      <c r="C303" s="17" t="n">
        <v>0.307376044241594</v>
      </c>
      <c r="D303" s="17" t="n">
        <f aca="false">(C303-$B$4)/($B$6/SQRT($B$7))</f>
        <v>1.53688022120797</v>
      </c>
      <c r="E303" s="0" t="str">
        <f aca="false">IF(OR(AND($B$9="superior",D303&gt;$B$10),AND($B$9="inferior",D303&lt;-$B$10)),"Rechazar H0","No rechazar H0")</f>
        <v>No rechazar H0</v>
      </c>
      <c r="F303" s="0" t="str">
        <f aca="false">IF(AND(B303="H0 verdadera",E303="Rechazar H0"),"Error tipo I",IF(AND(B303="Ha verdadera",E303="No rechazar H0"),"Error tipo II","Decisión correcta"))</f>
        <v>Decisión correcta</v>
      </c>
    </row>
    <row r="304" customFormat="false" ht="15" hidden="false" customHeight="false" outlineLevel="0" collapsed="false">
      <c r="A304" s="0" t="n">
        <v>283</v>
      </c>
      <c r="B304" s="0" t="s">
        <v>85</v>
      </c>
      <c r="C304" s="17" t="n">
        <v>0.0121247445380202</v>
      </c>
      <c r="D304" s="17" t="n">
        <f aca="false">(C304-$B$4)/($B$6/SQRT($B$7))</f>
        <v>0.0606237226901012</v>
      </c>
      <c r="E304" s="0" t="str">
        <f aca="false">IF(OR(AND($B$9="superior",D304&gt;$B$10),AND($B$9="inferior",D304&lt;-$B$10)),"Rechazar H0","No rechazar H0")</f>
        <v>No rechazar H0</v>
      </c>
      <c r="F304" s="0" t="str">
        <f aca="false">IF(AND(B304="H0 verdadera",E304="Rechazar H0"),"Error tipo I",IF(AND(B304="Ha verdadera",E304="No rechazar H0"),"Error tipo II","Decisión correcta"))</f>
        <v>Decisión correcta</v>
      </c>
    </row>
    <row r="305" customFormat="false" ht="15" hidden="false" customHeight="false" outlineLevel="0" collapsed="false">
      <c r="A305" s="0" t="n">
        <v>284</v>
      </c>
      <c r="B305" s="0" t="s">
        <v>86</v>
      </c>
      <c r="C305" s="17" t="n">
        <v>-0.346181099747819</v>
      </c>
      <c r="D305" s="17" t="n">
        <f aca="false">(C305-$B$4)/($B$6/SQRT($B$7))</f>
        <v>-1.73090549873909</v>
      </c>
      <c r="E305" s="0" t="str">
        <f aca="false">IF(OR(AND($B$9="superior",D305&gt;$B$10),AND($B$9="inferior",D305&lt;-$B$10)),"Rechazar H0","No rechazar H0")</f>
        <v>Rechazar H0</v>
      </c>
      <c r="F305" s="0" t="str">
        <f aca="false">IF(AND(B305="H0 verdadera",E305="Rechazar H0"),"Error tipo I",IF(AND(B305="Ha verdadera",E305="No rechazar H0"),"Error tipo II","Decisión correcta"))</f>
        <v>Decisión correcta</v>
      </c>
    </row>
    <row r="306" customFormat="false" ht="15" hidden="false" customHeight="false" outlineLevel="0" collapsed="false">
      <c r="A306" s="0" t="n">
        <v>285</v>
      </c>
      <c r="B306" s="0" t="s">
        <v>86</v>
      </c>
      <c r="C306" s="17" t="n">
        <v>-0.414941342316993</v>
      </c>
      <c r="D306" s="17" t="n">
        <f aca="false">(C306-$B$4)/($B$6/SQRT($B$7))</f>
        <v>-2.07470671158496</v>
      </c>
      <c r="E306" s="0" t="str">
        <f aca="false">IF(OR(AND($B$9="superior",D306&gt;$B$10),AND($B$9="inferior",D306&lt;-$B$10)),"Rechazar H0","No rechazar H0")</f>
        <v>Rechazar H0</v>
      </c>
      <c r="F306" s="0" t="str">
        <f aca="false">IF(AND(B306="H0 verdadera",E306="Rechazar H0"),"Error tipo I",IF(AND(B306="Ha verdadera",E306="No rechazar H0"),"Error tipo II","Decisión correcta"))</f>
        <v>Decisión correcta</v>
      </c>
    </row>
    <row r="307" customFormat="false" ht="15" hidden="false" customHeight="false" outlineLevel="0" collapsed="false">
      <c r="A307" s="0" t="n">
        <v>286</v>
      </c>
      <c r="B307" s="0" t="s">
        <v>86</v>
      </c>
      <c r="C307" s="17" t="n">
        <v>-0.453127382131154</v>
      </c>
      <c r="D307" s="17" t="n">
        <f aca="false">(C307-$B$4)/($B$6/SQRT($B$7))</f>
        <v>-2.26563691065577</v>
      </c>
      <c r="E307" s="0" t="str">
        <f aca="false">IF(OR(AND($B$9="superior",D307&gt;$B$10),AND($B$9="inferior",D307&lt;-$B$10)),"Rechazar H0","No rechazar H0")</f>
        <v>Rechazar H0</v>
      </c>
      <c r="F307" s="0" t="str">
        <f aca="false">IF(AND(B307="H0 verdadera",E307="Rechazar H0"),"Error tipo I",IF(AND(B307="Ha verdadera",E307="No rechazar H0"),"Error tipo II","Decisión correcta"))</f>
        <v>Decisión correcta</v>
      </c>
    </row>
    <row r="308" customFormat="false" ht="15" hidden="false" customHeight="false" outlineLevel="0" collapsed="false">
      <c r="A308" s="0" t="n">
        <v>287</v>
      </c>
      <c r="B308" s="0" t="s">
        <v>86</v>
      </c>
      <c r="C308" s="17" t="n">
        <v>0.175826755567315</v>
      </c>
      <c r="D308" s="17" t="n">
        <f aca="false">(C308-$B$4)/($B$6/SQRT($B$7))</f>
        <v>0.879133777836572</v>
      </c>
      <c r="E308" s="0" t="str">
        <f aca="false">IF(OR(AND($B$9="superior",D308&gt;$B$10),AND($B$9="inferior",D308&lt;-$B$10)),"Rechazar H0","No rechazar H0")</f>
        <v>No rechazar H0</v>
      </c>
      <c r="F308" s="0" t="str">
        <f aca="false">IF(AND(B308="H0 verdadera",E308="Rechazar H0"),"Error tipo I",IF(AND(B308="Ha verdadera",E308="No rechazar H0"),"Error tipo II","Decisión correcta"))</f>
        <v>Error tipo II</v>
      </c>
    </row>
    <row r="309" customFormat="false" ht="15" hidden="false" customHeight="false" outlineLevel="0" collapsed="false">
      <c r="A309" s="0" t="n">
        <v>288</v>
      </c>
      <c r="B309" s="0" t="s">
        <v>86</v>
      </c>
      <c r="C309" s="17" t="n">
        <v>-0.531972258634383</v>
      </c>
      <c r="D309" s="17" t="n">
        <f aca="false">(C309-$B$4)/($B$6/SQRT($B$7))</f>
        <v>-2.65986129317191</v>
      </c>
      <c r="E309" s="0" t="str">
        <f aca="false">IF(OR(AND($B$9="superior",D309&gt;$B$10),AND($B$9="inferior",D309&lt;-$B$10)),"Rechazar H0","No rechazar H0")</f>
        <v>Rechazar H0</v>
      </c>
      <c r="F309" s="0" t="str">
        <f aca="false">IF(AND(B309="H0 verdadera",E309="Rechazar H0"),"Error tipo I",IF(AND(B309="Ha verdadera",E309="No rechazar H0"),"Error tipo II","Decisión correcta"))</f>
        <v>Decisión correcta</v>
      </c>
    </row>
    <row r="310" customFormat="false" ht="15" hidden="false" customHeight="false" outlineLevel="0" collapsed="false">
      <c r="A310" s="0" t="n">
        <v>289</v>
      </c>
      <c r="B310" s="0" t="s">
        <v>86</v>
      </c>
      <c r="C310" s="17" t="n">
        <v>-0.702918787271015</v>
      </c>
      <c r="D310" s="17" t="n">
        <f aca="false">(C310-$B$4)/($B$6/SQRT($B$7))</f>
        <v>-3.51459393635507</v>
      </c>
      <c r="E310" s="0" t="str">
        <f aca="false">IF(OR(AND($B$9="superior",D310&gt;$B$10),AND($B$9="inferior",D310&lt;-$B$10)),"Rechazar H0","No rechazar H0")</f>
        <v>Rechazar H0</v>
      </c>
      <c r="F310" s="0" t="str">
        <f aca="false">IF(AND(B310="H0 verdadera",E310="Rechazar H0"),"Error tipo I",IF(AND(B310="Ha verdadera",E310="No rechazar H0"),"Error tipo II","Decisión correcta"))</f>
        <v>Decisión correcta</v>
      </c>
    </row>
    <row r="311" customFormat="false" ht="15" hidden="false" customHeight="false" outlineLevel="0" collapsed="false">
      <c r="A311" s="0" t="n">
        <v>290</v>
      </c>
      <c r="B311" s="0" t="s">
        <v>86</v>
      </c>
      <c r="C311" s="17" t="n">
        <v>-0.228089561849356</v>
      </c>
      <c r="D311" s="17" t="n">
        <f aca="false">(C311-$B$4)/($B$6/SQRT($B$7))</f>
        <v>-1.14044780924678</v>
      </c>
      <c r="E311" s="0" t="str">
        <f aca="false">IF(OR(AND($B$9="superior",D311&gt;$B$10),AND($B$9="inferior",D311&lt;-$B$10)),"Rechazar H0","No rechazar H0")</f>
        <v>No rechazar H0</v>
      </c>
      <c r="F311" s="0" t="str">
        <f aca="false">IF(AND(B311="H0 verdadera",E311="Rechazar H0"),"Error tipo I",IF(AND(B311="Ha verdadera",E311="No rechazar H0"),"Error tipo II","Decisión correcta"))</f>
        <v>Error tipo II</v>
      </c>
    </row>
    <row r="312" customFormat="false" ht="15" hidden="false" customHeight="false" outlineLevel="0" collapsed="false">
      <c r="A312" s="0" t="n">
        <v>291</v>
      </c>
      <c r="B312" s="0" t="s">
        <v>85</v>
      </c>
      <c r="C312" s="17" t="n">
        <v>-0.123026501237376</v>
      </c>
      <c r="D312" s="17" t="n">
        <f aca="false">(C312-$B$4)/($B$6/SQRT($B$7))</f>
        <v>-0.615132506186879</v>
      </c>
      <c r="E312" s="0" t="str">
        <f aca="false">IF(OR(AND($B$9="superior",D312&gt;$B$10),AND($B$9="inferior",D312&lt;-$B$10)),"Rechazar H0","No rechazar H0")</f>
        <v>No rechazar H0</v>
      </c>
      <c r="F312" s="0" t="str">
        <f aca="false">IF(AND(B312="H0 verdadera",E312="Rechazar H0"),"Error tipo I",IF(AND(B312="Ha verdadera",E312="No rechazar H0"),"Error tipo II","Decisión correcta"))</f>
        <v>Decisión correcta</v>
      </c>
    </row>
    <row r="313" customFormat="false" ht="15" hidden="false" customHeight="false" outlineLevel="0" collapsed="false">
      <c r="A313" s="0" t="n">
        <v>292</v>
      </c>
      <c r="B313" s="0" t="s">
        <v>85</v>
      </c>
      <c r="C313" s="17" t="n">
        <v>0.110292238222196</v>
      </c>
      <c r="D313" s="17" t="n">
        <f aca="false">(C313-$B$4)/($B$6/SQRT($B$7))</f>
        <v>0.551461191110981</v>
      </c>
      <c r="E313" s="0" t="str">
        <f aca="false">IF(OR(AND($B$9="superior",D313&gt;$B$10),AND($B$9="inferior",D313&lt;-$B$10)),"Rechazar H0","No rechazar H0")</f>
        <v>No rechazar H0</v>
      </c>
      <c r="F313" s="0" t="str">
        <f aca="false">IF(AND(B313="H0 verdadera",E313="Rechazar H0"),"Error tipo I",IF(AND(B313="Ha verdadera",E313="No rechazar H0"),"Error tipo II","Decisión correcta"))</f>
        <v>Decisión correcta</v>
      </c>
    </row>
    <row r="314" customFormat="false" ht="15" hidden="false" customHeight="false" outlineLevel="0" collapsed="false">
      <c r="A314" s="0" t="n">
        <v>293</v>
      </c>
      <c r="B314" s="0" t="s">
        <v>86</v>
      </c>
      <c r="C314" s="17" t="n">
        <v>-0.363774682727189</v>
      </c>
      <c r="D314" s="17" t="n">
        <f aca="false">(C314-$B$4)/($B$6/SQRT($B$7))</f>
        <v>-1.81887341363594</v>
      </c>
      <c r="E314" s="0" t="str">
        <f aca="false">IF(OR(AND($B$9="superior",D314&gt;$B$10),AND($B$9="inferior",D314&lt;-$B$10)),"Rechazar H0","No rechazar H0")</f>
        <v>Rechazar H0</v>
      </c>
      <c r="F314" s="0" t="str">
        <f aca="false">IF(AND(B314="H0 verdadera",E314="Rechazar H0"),"Error tipo I",IF(AND(B314="Ha verdadera",E314="No rechazar H0"),"Error tipo II","Decisión correcta"))</f>
        <v>Decisión correcta</v>
      </c>
    </row>
    <row r="315" customFormat="false" ht="15" hidden="false" customHeight="false" outlineLevel="0" collapsed="false">
      <c r="A315" s="0" t="n">
        <v>294</v>
      </c>
      <c r="B315" s="0" t="s">
        <v>85</v>
      </c>
      <c r="C315" s="17" t="n">
        <v>0.0465386948160306</v>
      </c>
      <c r="D315" s="17" t="n">
        <f aca="false">(C315-$B$4)/($B$6/SQRT($B$7))</f>
        <v>0.232693474080153</v>
      </c>
      <c r="E315" s="0" t="str">
        <f aca="false">IF(OR(AND($B$9="superior",D315&gt;$B$10),AND($B$9="inferior",D315&lt;-$B$10)),"Rechazar H0","No rechazar H0")</f>
        <v>No rechazar H0</v>
      </c>
      <c r="F315" s="0" t="str">
        <f aca="false">IF(AND(B315="H0 verdadera",E315="Rechazar H0"),"Error tipo I",IF(AND(B315="Ha verdadera",E315="No rechazar H0"),"Error tipo II","Decisión correcta"))</f>
        <v>Decisión correcta</v>
      </c>
    </row>
    <row r="316" customFormat="false" ht="15" hidden="false" customHeight="false" outlineLevel="0" collapsed="false">
      <c r="A316" s="0" t="n">
        <v>295</v>
      </c>
      <c r="B316" s="0" t="s">
        <v>86</v>
      </c>
      <c r="C316" s="17" t="n">
        <v>-0.604201841564883</v>
      </c>
      <c r="D316" s="17" t="n">
        <f aca="false">(C316-$B$4)/($B$6/SQRT($B$7))</f>
        <v>-3.02100920782442</v>
      </c>
      <c r="E316" s="0" t="str">
        <f aca="false">IF(OR(AND($B$9="superior",D316&gt;$B$10),AND($B$9="inferior",D316&lt;-$B$10)),"Rechazar H0","No rechazar H0")</f>
        <v>Rechazar H0</v>
      </c>
      <c r="F316" s="0" t="str">
        <f aca="false">IF(AND(B316="H0 verdadera",E316="Rechazar H0"),"Error tipo I",IF(AND(B316="Ha verdadera",E316="No rechazar H0"),"Error tipo II","Decisión correcta"))</f>
        <v>Decisión correcta</v>
      </c>
    </row>
    <row r="317" customFormat="false" ht="15" hidden="false" customHeight="false" outlineLevel="0" collapsed="false">
      <c r="A317" s="0" t="n">
        <v>296</v>
      </c>
      <c r="B317" s="0" t="s">
        <v>85</v>
      </c>
      <c r="C317" s="17" t="n">
        <v>0.0406081839655561</v>
      </c>
      <c r="D317" s="17" t="n">
        <f aca="false">(C317-$B$4)/($B$6/SQRT($B$7))</f>
        <v>0.203040919827781</v>
      </c>
      <c r="E317" s="0" t="str">
        <f aca="false">IF(OR(AND($B$9="superior",D317&gt;$B$10),AND($B$9="inferior",D317&lt;-$B$10)),"Rechazar H0","No rechazar H0")</f>
        <v>No rechazar H0</v>
      </c>
      <c r="F317" s="0" t="str">
        <f aca="false">IF(AND(B317="H0 verdadera",E317="Rechazar H0"),"Error tipo I",IF(AND(B317="Ha verdadera",E317="No rechazar H0"),"Error tipo II","Decisión correcta"))</f>
        <v>Decisión correcta</v>
      </c>
    </row>
    <row r="318" customFormat="false" ht="15" hidden="false" customHeight="false" outlineLevel="0" collapsed="false">
      <c r="A318" s="0" t="n">
        <v>297</v>
      </c>
      <c r="B318" s="0" t="s">
        <v>85</v>
      </c>
      <c r="C318" s="17" t="n">
        <v>0.292615039491865</v>
      </c>
      <c r="D318" s="17" t="n">
        <f aca="false">(C318-$B$4)/($B$6/SQRT($B$7))</f>
        <v>1.46307519745933</v>
      </c>
      <c r="E318" s="0" t="str">
        <f aca="false">IF(OR(AND($B$9="superior",D318&gt;$B$10),AND($B$9="inferior",D318&lt;-$B$10)),"Rechazar H0","No rechazar H0")</f>
        <v>No rechazar H0</v>
      </c>
      <c r="F318" s="0" t="str">
        <f aca="false">IF(AND(B318="H0 verdadera",E318="Rechazar H0"),"Error tipo I",IF(AND(B318="Ha verdadera",E318="No rechazar H0"),"Error tipo II","Decisión correcta"))</f>
        <v>Decisión correcta</v>
      </c>
    </row>
    <row r="319" customFormat="false" ht="15" hidden="false" customHeight="false" outlineLevel="0" collapsed="false">
      <c r="A319" s="0" t="n">
        <v>298</v>
      </c>
      <c r="B319" s="0" t="s">
        <v>85</v>
      </c>
      <c r="C319" s="17" t="n">
        <v>-0.296945000740803</v>
      </c>
      <c r="D319" s="17" t="n">
        <f aca="false">(C319-$B$4)/($B$6/SQRT($B$7))</f>
        <v>-1.48472500370402</v>
      </c>
      <c r="E319" s="0" t="str">
        <f aca="false">IF(OR(AND($B$9="superior",D319&gt;$B$10),AND($B$9="inferior",D319&lt;-$B$10)),"Rechazar H0","No rechazar H0")</f>
        <v>No rechazar H0</v>
      </c>
      <c r="F319" s="0" t="str">
        <f aca="false">IF(AND(B319="H0 verdadera",E319="Rechazar H0"),"Error tipo I",IF(AND(B319="Ha verdadera",E319="No rechazar H0"),"Error tipo II","Decisión correcta"))</f>
        <v>Decisión correcta</v>
      </c>
    </row>
    <row r="320" customFormat="false" ht="15" hidden="false" customHeight="false" outlineLevel="0" collapsed="false">
      <c r="A320" s="0" t="n">
        <v>299</v>
      </c>
      <c r="B320" s="0" t="s">
        <v>86</v>
      </c>
      <c r="C320" s="17" t="n">
        <v>-0.626008325161121</v>
      </c>
      <c r="D320" s="17" t="n">
        <f aca="false">(C320-$B$4)/($B$6/SQRT($B$7))</f>
        <v>-3.13004162580561</v>
      </c>
      <c r="E320" s="0" t="str">
        <f aca="false">IF(OR(AND($B$9="superior",D320&gt;$B$10),AND($B$9="inferior",D320&lt;-$B$10)),"Rechazar H0","No rechazar H0")</f>
        <v>Rechazar H0</v>
      </c>
      <c r="F320" s="0" t="str">
        <f aca="false">IF(AND(B320="H0 verdadera",E320="Rechazar H0"),"Error tipo I",IF(AND(B320="Ha verdadera",E320="No rechazar H0"),"Error tipo II","Decisión correcta"))</f>
        <v>Decisión correcta</v>
      </c>
    </row>
    <row r="321" customFormat="false" ht="15" hidden="false" customHeight="false" outlineLevel="0" collapsed="false">
      <c r="A321" s="0" t="n">
        <v>300</v>
      </c>
      <c r="B321" s="0" t="s">
        <v>86</v>
      </c>
      <c r="C321" s="17" t="n">
        <v>-0.347994860099374</v>
      </c>
      <c r="D321" s="17" t="n">
        <f aca="false">(C321-$B$4)/($B$6/SQRT($B$7))</f>
        <v>-1.73997430049687</v>
      </c>
      <c r="E321" s="0" t="str">
        <f aca="false">IF(OR(AND($B$9="superior",D321&gt;$B$10),AND($B$9="inferior",D321&lt;-$B$10)),"Rechazar H0","No rechazar H0")</f>
        <v>Rechazar H0</v>
      </c>
      <c r="F321" s="0" t="str">
        <f aca="false">IF(AND(B321="H0 verdadera",E321="Rechazar H0"),"Error tipo I",IF(AND(B321="Ha verdadera",E321="No rechazar H0"),"Error tipo II","Decisión correcta"))</f>
        <v>Decisión correcta</v>
      </c>
    </row>
    <row r="322" customFormat="false" ht="15" hidden="false" customHeight="false" outlineLevel="0" collapsed="false">
      <c r="A322" s="0" t="n">
        <v>301</v>
      </c>
      <c r="B322" s="0" t="s">
        <v>86</v>
      </c>
      <c r="C322" s="17" t="n">
        <v>-0.537964323378081</v>
      </c>
      <c r="D322" s="17" t="n">
        <f aca="false">(C322-$B$4)/($B$6/SQRT($B$7))</f>
        <v>-2.6898216168904</v>
      </c>
      <c r="E322" s="0" t="str">
        <f aca="false">IF(OR(AND($B$9="superior",D322&gt;$B$10),AND($B$9="inferior",D322&lt;-$B$10)),"Rechazar H0","No rechazar H0")</f>
        <v>Rechazar H0</v>
      </c>
      <c r="F322" s="0" t="str">
        <f aca="false">IF(AND(B322="H0 verdadera",E322="Rechazar H0"),"Error tipo I",IF(AND(B322="Ha verdadera",E322="No rechazar H0"),"Error tipo II","Decisión correcta"))</f>
        <v>Decisión correcta</v>
      </c>
    </row>
    <row r="323" customFormat="false" ht="15" hidden="false" customHeight="false" outlineLevel="0" collapsed="false">
      <c r="A323" s="0" t="n">
        <v>302</v>
      </c>
      <c r="B323" s="0" t="s">
        <v>85</v>
      </c>
      <c r="C323" s="17" t="n">
        <v>-0.204086783569027</v>
      </c>
      <c r="D323" s="17" t="n">
        <f aca="false">(C323-$B$4)/($B$6/SQRT($B$7))</f>
        <v>-1.02043391784514</v>
      </c>
      <c r="E323" s="0" t="str">
        <f aca="false">IF(OR(AND($B$9="superior",D323&gt;$B$10),AND($B$9="inferior",D323&lt;-$B$10)),"Rechazar H0","No rechazar H0")</f>
        <v>No rechazar H0</v>
      </c>
      <c r="F323" s="0" t="str">
        <f aca="false">IF(AND(B323="H0 verdadera",E323="Rechazar H0"),"Error tipo I",IF(AND(B323="Ha verdadera",E323="No rechazar H0"),"Error tipo II","Decisión correcta"))</f>
        <v>Decisión correcta</v>
      </c>
    </row>
    <row r="324" customFormat="false" ht="15" hidden="false" customHeight="false" outlineLevel="0" collapsed="false">
      <c r="A324" s="0" t="n">
        <v>303</v>
      </c>
      <c r="B324" s="0" t="s">
        <v>85</v>
      </c>
      <c r="C324" s="17" t="n">
        <v>0.0309077727924171</v>
      </c>
      <c r="D324" s="17" t="n">
        <f aca="false">(C324-$B$4)/($B$6/SQRT($B$7))</f>
        <v>0.154538863962085</v>
      </c>
      <c r="E324" s="0" t="str">
        <f aca="false">IF(OR(AND($B$9="superior",D324&gt;$B$10),AND($B$9="inferior",D324&lt;-$B$10)),"Rechazar H0","No rechazar H0")</f>
        <v>No rechazar H0</v>
      </c>
      <c r="F324" s="0" t="str">
        <f aca="false">IF(AND(B324="H0 verdadera",E324="Rechazar H0"),"Error tipo I",IF(AND(B324="Ha verdadera",E324="No rechazar H0"),"Error tipo II","Decisión correcta"))</f>
        <v>Decisión correcta</v>
      </c>
    </row>
    <row r="325" customFormat="false" ht="15" hidden="false" customHeight="false" outlineLevel="0" collapsed="false">
      <c r="A325" s="0" t="n">
        <v>304</v>
      </c>
      <c r="B325" s="0" t="s">
        <v>86</v>
      </c>
      <c r="C325" s="17" t="n">
        <v>-0.351309512946649</v>
      </c>
      <c r="D325" s="17" t="n">
        <f aca="false">(C325-$B$4)/($B$6/SQRT($B$7))</f>
        <v>-1.75654756473325</v>
      </c>
      <c r="E325" s="0" t="str">
        <f aca="false">IF(OR(AND($B$9="superior",D325&gt;$B$10),AND($B$9="inferior",D325&lt;-$B$10)),"Rechazar H0","No rechazar H0")</f>
        <v>Rechazar H0</v>
      </c>
      <c r="F325" s="0" t="str">
        <f aca="false">IF(AND(B325="H0 verdadera",E325="Rechazar H0"),"Error tipo I",IF(AND(B325="Ha verdadera",E325="No rechazar H0"),"Error tipo II","Decisión correcta"))</f>
        <v>Decisión correcta</v>
      </c>
    </row>
    <row r="326" customFormat="false" ht="15" hidden="false" customHeight="false" outlineLevel="0" collapsed="false">
      <c r="A326" s="0" t="n">
        <v>305</v>
      </c>
      <c r="B326" s="0" t="s">
        <v>85</v>
      </c>
      <c r="C326" s="17" t="n">
        <v>0.462971277428428</v>
      </c>
      <c r="D326" s="17" t="n">
        <f aca="false">(C326-$B$4)/($B$6/SQRT($B$7))</f>
        <v>2.31485638714214</v>
      </c>
      <c r="E326" s="0" t="str">
        <f aca="false">IF(OR(AND($B$9="superior",D326&gt;$B$10),AND($B$9="inferior",D326&lt;-$B$10)),"Rechazar H0","No rechazar H0")</f>
        <v>No rechazar H0</v>
      </c>
      <c r="F326" s="0" t="str">
        <f aca="false">IF(AND(B326="H0 verdadera",E326="Rechazar H0"),"Error tipo I",IF(AND(B326="Ha verdadera",E326="No rechazar H0"),"Error tipo II","Decisión correcta"))</f>
        <v>Decisión correcta</v>
      </c>
    </row>
    <row r="327" customFormat="false" ht="15" hidden="false" customHeight="false" outlineLevel="0" collapsed="false">
      <c r="A327" s="0" t="n">
        <v>306</v>
      </c>
      <c r="B327" s="0" t="s">
        <v>85</v>
      </c>
      <c r="C327" s="17" t="n">
        <v>-0.0098686375323818</v>
      </c>
      <c r="D327" s="17" t="n">
        <f aca="false">(C327-$B$4)/($B$6/SQRT($B$7))</f>
        <v>-0.049343187661909</v>
      </c>
      <c r="E327" s="0" t="str">
        <f aca="false">IF(OR(AND($B$9="superior",D327&gt;$B$10),AND($B$9="inferior",D327&lt;-$B$10)),"Rechazar H0","No rechazar H0")</f>
        <v>No rechazar H0</v>
      </c>
      <c r="F327" s="0" t="str">
        <f aca="false">IF(AND(B327="H0 verdadera",E327="Rechazar H0"),"Error tipo I",IF(AND(B327="Ha verdadera",E327="No rechazar H0"),"Error tipo II","Decisión correcta"))</f>
        <v>Decisión correcta</v>
      </c>
    </row>
    <row r="328" customFormat="false" ht="15" hidden="false" customHeight="false" outlineLevel="0" collapsed="false">
      <c r="A328" s="0" t="n">
        <v>307</v>
      </c>
      <c r="B328" s="0" t="s">
        <v>86</v>
      </c>
      <c r="C328" s="17" t="n">
        <v>-0.214927942893515</v>
      </c>
      <c r="D328" s="17" t="n">
        <f aca="false">(C328-$B$4)/($B$6/SQRT($B$7))</f>
        <v>-1.07463971446757</v>
      </c>
      <c r="E328" s="0" t="str">
        <f aca="false">IF(OR(AND($B$9="superior",D328&gt;$B$10),AND($B$9="inferior",D328&lt;-$B$10)),"Rechazar H0","No rechazar H0")</f>
        <v>No rechazar H0</v>
      </c>
      <c r="F328" s="0" t="str">
        <f aca="false">IF(AND(B328="H0 verdadera",E328="Rechazar H0"),"Error tipo I",IF(AND(B328="Ha verdadera",E328="No rechazar H0"),"Error tipo II","Decisión correcta"))</f>
        <v>Error tipo II</v>
      </c>
    </row>
    <row r="329" customFormat="false" ht="15" hidden="false" customHeight="false" outlineLevel="0" collapsed="false">
      <c r="A329" s="0" t="n">
        <v>308</v>
      </c>
      <c r="B329" s="0" t="s">
        <v>85</v>
      </c>
      <c r="C329" s="17" t="n">
        <v>-0.239900539108221</v>
      </c>
      <c r="D329" s="17" t="n">
        <f aca="false">(C329-$B$4)/($B$6/SQRT($B$7))</f>
        <v>-1.1995026955411</v>
      </c>
      <c r="E329" s="0" t="str">
        <f aca="false">IF(OR(AND($B$9="superior",D329&gt;$B$10),AND($B$9="inferior",D329&lt;-$B$10)),"Rechazar H0","No rechazar H0")</f>
        <v>No rechazar H0</v>
      </c>
      <c r="F329" s="0" t="str">
        <f aca="false">IF(AND(B329="H0 verdadera",E329="Rechazar H0"),"Error tipo I",IF(AND(B329="Ha verdadera",E329="No rechazar H0"),"Error tipo II","Decisión correcta"))</f>
        <v>Decisión correcta</v>
      </c>
    </row>
    <row r="330" customFormat="false" ht="15" hidden="false" customHeight="false" outlineLevel="0" collapsed="false">
      <c r="A330" s="0" t="n">
        <v>309</v>
      </c>
      <c r="B330" s="0" t="s">
        <v>85</v>
      </c>
      <c r="C330" s="17" t="n">
        <v>-0.366379270011655</v>
      </c>
      <c r="D330" s="17" t="n">
        <f aca="false">(C330-$B$4)/($B$6/SQRT($B$7))</f>
        <v>-1.83189635005828</v>
      </c>
      <c r="E330" s="0" t="str">
        <f aca="false">IF(OR(AND($B$9="superior",D330&gt;$B$10),AND($B$9="inferior",D330&lt;-$B$10)),"Rechazar H0","No rechazar H0")</f>
        <v>Rechazar H0</v>
      </c>
      <c r="F330" s="0" t="str">
        <f aca="false">IF(AND(B330="H0 verdadera",E330="Rechazar H0"),"Error tipo I",IF(AND(B330="Ha verdadera",E330="No rechazar H0"),"Error tipo II","Decisión correcta"))</f>
        <v>Error tipo I</v>
      </c>
    </row>
    <row r="331" customFormat="false" ht="15" hidden="false" customHeight="false" outlineLevel="0" collapsed="false">
      <c r="A331" s="0" t="n">
        <v>310</v>
      </c>
      <c r="B331" s="0" t="s">
        <v>85</v>
      </c>
      <c r="C331" s="17" t="n">
        <v>-0.213257522038017</v>
      </c>
      <c r="D331" s="17" t="n">
        <f aca="false">(C331-$B$4)/($B$6/SQRT($B$7))</f>
        <v>-1.06628761019009</v>
      </c>
      <c r="E331" s="0" t="str">
        <f aca="false">IF(OR(AND($B$9="superior",D331&gt;$B$10),AND($B$9="inferior",D331&lt;-$B$10)),"Rechazar H0","No rechazar H0")</f>
        <v>No rechazar H0</v>
      </c>
      <c r="F331" s="0" t="str">
        <f aca="false">IF(AND(B331="H0 verdadera",E331="Rechazar H0"),"Error tipo I",IF(AND(B331="Ha verdadera",E331="No rechazar H0"),"Error tipo II","Decisión correcta"))</f>
        <v>Decisión correcta</v>
      </c>
    </row>
    <row r="332" customFormat="false" ht="15" hidden="false" customHeight="false" outlineLevel="0" collapsed="false">
      <c r="A332" s="0" t="n">
        <v>311</v>
      </c>
      <c r="B332" s="0" t="s">
        <v>85</v>
      </c>
      <c r="C332" s="17" t="n">
        <v>0.185312388008381</v>
      </c>
      <c r="D332" s="17" t="n">
        <f aca="false">(C332-$B$4)/($B$6/SQRT($B$7))</f>
        <v>0.926561940041904</v>
      </c>
      <c r="E332" s="0" t="str">
        <f aca="false">IF(OR(AND($B$9="superior",D332&gt;$B$10),AND($B$9="inferior",D332&lt;-$B$10)),"Rechazar H0","No rechazar H0")</f>
        <v>No rechazar H0</v>
      </c>
      <c r="F332" s="0" t="str">
        <f aca="false">IF(AND(B332="H0 verdadera",E332="Rechazar H0"),"Error tipo I",IF(AND(B332="Ha verdadera",E332="No rechazar H0"),"Error tipo II","Decisión correcta"))</f>
        <v>Decisión correcta</v>
      </c>
    </row>
    <row r="333" customFormat="false" ht="15" hidden="false" customHeight="false" outlineLevel="0" collapsed="false">
      <c r="A333" s="0" t="n">
        <v>312</v>
      </c>
      <c r="B333" s="0" t="s">
        <v>86</v>
      </c>
      <c r="C333" s="17" t="n">
        <v>-0.508874923849147</v>
      </c>
      <c r="D333" s="17" t="n">
        <f aca="false">(C333-$B$4)/($B$6/SQRT($B$7))</f>
        <v>-2.54437461924573</v>
      </c>
      <c r="E333" s="0" t="str">
        <f aca="false">IF(OR(AND($B$9="superior",D333&gt;$B$10),AND($B$9="inferior",D333&lt;-$B$10)),"Rechazar H0","No rechazar H0")</f>
        <v>Rechazar H0</v>
      </c>
      <c r="F333" s="0" t="str">
        <f aca="false">IF(AND(B333="H0 verdadera",E333="Rechazar H0"),"Error tipo I",IF(AND(B333="Ha verdadera",E333="No rechazar H0"),"Error tipo II","Decisión correcta"))</f>
        <v>Decisión correcta</v>
      </c>
    </row>
    <row r="334" customFormat="false" ht="15" hidden="false" customHeight="false" outlineLevel="0" collapsed="false">
      <c r="A334" s="0" t="n">
        <v>313</v>
      </c>
      <c r="B334" s="0" t="s">
        <v>86</v>
      </c>
      <c r="C334" s="17" t="n">
        <v>-0.4794137076076</v>
      </c>
      <c r="D334" s="17" t="n">
        <f aca="false">(C334-$B$4)/($B$6/SQRT($B$7))</f>
        <v>-2.397068538038</v>
      </c>
      <c r="E334" s="0" t="str">
        <f aca="false">IF(OR(AND($B$9="superior",D334&gt;$B$10),AND($B$9="inferior",D334&lt;-$B$10)),"Rechazar H0","No rechazar H0")</f>
        <v>Rechazar H0</v>
      </c>
      <c r="F334" s="0" t="str">
        <f aca="false">IF(AND(B334="H0 verdadera",E334="Rechazar H0"),"Error tipo I",IF(AND(B334="Ha verdadera",E334="No rechazar H0"),"Error tipo II","Decisión correcta"))</f>
        <v>Decisión correcta</v>
      </c>
    </row>
    <row r="335" customFormat="false" ht="15" hidden="false" customHeight="false" outlineLevel="0" collapsed="false">
      <c r="A335" s="0" t="n">
        <v>314</v>
      </c>
      <c r="B335" s="0" t="s">
        <v>86</v>
      </c>
      <c r="C335" s="17" t="n">
        <v>-0.725870751908799</v>
      </c>
      <c r="D335" s="17" t="n">
        <f aca="false">(C335-$B$4)/($B$6/SQRT($B$7))</f>
        <v>-3.629353759544</v>
      </c>
      <c r="E335" s="0" t="str">
        <f aca="false">IF(OR(AND($B$9="superior",D335&gt;$B$10),AND($B$9="inferior",D335&lt;-$B$10)),"Rechazar H0","No rechazar H0")</f>
        <v>Rechazar H0</v>
      </c>
      <c r="F335" s="0" t="str">
        <f aca="false">IF(AND(B335="H0 verdadera",E335="Rechazar H0"),"Error tipo I",IF(AND(B335="Ha verdadera",E335="No rechazar H0"),"Error tipo II","Decisión correcta"))</f>
        <v>Decisión correcta</v>
      </c>
    </row>
    <row r="336" customFormat="false" ht="15" hidden="false" customHeight="false" outlineLevel="0" collapsed="false">
      <c r="A336" s="0" t="n">
        <v>315</v>
      </c>
      <c r="B336" s="0" t="s">
        <v>86</v>
      </c>
      <c r="C336" s="17" t="n">
        <v>-0.32133841949466</v>
      </c>
      <c r="D336" s="17" t="n">
        <f aca="false">(C336-$B$4)/($B$6/SQRT($B$7))</f>
        <v>-1.6066920974733</v>
      </c>
      <c r="E336" s="0" t="str">
        <f aca="false">IF(OR(AND($B$9="superior",D336&gt;$B$10),AND($B$9="inferior",D336&lt;-$B$10)),"Rechazar H0","No rechazar H0")</f>
        <v>No rechazar H0</v>
      </c>
      <c r="F336" s="0" t="str">
        <f aca="false">IF(AND(B336="H0 verdadera",E336="Rechazar H0"),"Error tipo I",IF(AND(B336="Ha verdadera",E336="No rechazar H0"),"Error tipo II","Decisión correcta"))</f>
        <v>Error tipo II</v>
      </c>
    </row>
    <row r="337" customFormat="false" ht="15" hidden="false" customHeight="false" outlineLevel="0" collapsed="false">
      <c r="A337" s="0" t="n">
        <v>316</v>
      </c>
      <c r="B337" s="0" t="s">
        <v>85</v>
      </c>
      <c r="C337" s="17" t="n">
        <v>0.0899700324563282</v>
      </c>
      <c r="D337" s="17" t="n">
        <f aca="false">(C337-$B$4)/($B$6/SQRT($B$7))</f>
        <v>0.449850162281641</v>
      </c>
      <c r="E337" s="0" t="str">
        <f aca="false">IF(OR(AND($B$9="superior",D337&gt;$B$10),AND($B$9="inferior",D337&lt;-$B$10)),"Rechazar H0","No rechazar H0")</f>
        <v>No rechazar H0</v>
      </c>
      <c r="F337" s="0" t="str">
        <f aca="false">IF(AND(B337="H0 verdadera",E337="Rechazar H0"),"Error tipo I",IF(AND(B337="Ha verdadera",E337="No rechazar H0"),"Error tipo II","Decisión correcta"))</f>
        <v>Decisión correcta</v>
      </c>
    </row>
    <row r="338" customFormat="false" ht="15" hidden="false" customHeight="false" outlineLevel="0" collapsed="false">
      <c r="A338" s="0" t="n">
        <v>317</v>
      </c>
      <c r="B338" s="0" t="s">
        <v>85</v>
      </c>
      <c r="C338" s="17" t="n">
        <v>-0.0926863002757519</v>
      </c>
      <c r="D338" s="17" t="n">
        <f aca="false">(C338-$B$4)/($B$6/SQRT($B$7))</f>
        <v>-0.46343150137876</v>
      </c>
      <c r="E338" s="0" t="str">
        <f aca="false">IF(OR(AND($B$9="superior",D338&gt;$B$10),AND($B$9="inferior",D338&lt;-$B$10)),"Rechazar H0","No rechazar H0")</f>
        <v>No rechazar H0</v>
      </c>
      <c r="F338" s="0" t="str">
        <f aca="false">IF(AND(B338="H0 verdadera",E338="Rechazar H0"),"Error tipo I",IF(AND(B338="Ha verdadera",E338="No rechazar H0"),"Error tipo II","Decisión correcta"))</f>
        <v>Decisión correcta</v>
      </c>
    </row>
    <row r="339" customFormat="false" ht="15" hidden="false" customHeight="false" outlineLevel="0" collapsed="false">
      <c r="A339" s="0" t="n">
        <v>318</v>
      </c>
      <c r="B339" s="0" t="s">
        <v>86</v>
      </c>
      <c r="C339" s="17" t="n">
        <v>-0.290780498290312</v>
      </c>
      <c r="D339" s="17" t="n">
        <f aca="false">(C339-$B$4)/($B$6/SQRT($B$7))</f>
        <v>-1.45390249145156</v>
      </c>
      <c r="E339" s="0" t="str">
        <f aca="false">IF(OR(AND($B$9="superior",D339&gt;$B$10),AND($B$9="inferior",D339&lt;-$B$10)),"Rechazar H0","No rechazar H0")</f>
        <v>No rechazar H0</v>
      </c>
      <c r="F339" s="0" t="str">
        <f aca="false">IF(AND(B339="H0 verdadera",E339="Rechazar H0"),"Error tipo I",IF(AND(B339="Ha verdadera",E339="No rechazar H0"),"Error tipo II","Decisión correcta"))</f>
        <v>Error tipo II</v>
      </c>
    </row>
    <row r="340" customFormat="false" ht="15" hidden="false" customHeight="false" outlineLevel="0" collapsed="false">
      <c r="A340" s="0" t="n">
        <v>319</v>
      </c>
      <c r="B340" s="0" t="s">
        <v>85</v>
      </c>
      <c r="C340" s="17" t="n">
        <v>-0.102485506128418</v>
      </c>
      <c r="D340" s="17" t="n">
        <f aca="false">(C340-$B$4)/($B$6/SQRT($B$7))</f>
        <v>-0.512427530642089</v>
      </c>
      <c r="E340" s="0" t="str">
        <f aca="false">IF(OR(AND($B$9="superior",D340&gt;$B$10),AND($B$9="inferior",D340&lt;-$B$10)),"Rechazar H0","No rechazar H0")</f>
        <v>No rechazar H0</v>
      </c>
      <c r="F340" s="0" t="str">
        <f aca="false">IF(AND(B340="H0 verdadera",E340="Rechazar H0"),"Error tipo I",IF(AND(B340="Ha verdadera",E340="No rechazar H0"),"Error tipo II","Decisión correcta"))</f>
        <v>Decisión correcta</v>
      </c>
    </row>
    <row r="341" customFormat="false" ht="15" hidden="false" customHeight="false" outlineLevel="0" collapsed="false">
      <c r="A341" s="0" t="n">
        <v>320</v>
      </c>
      <c r="B341" s="0" t="s">
        <v>85</v>
      </c>
      <c r="C341" s="17" t="n">
        <v>-0.0135282152203637</v>
      </c>
      <c r="D341" s="17" t="n">
        <f aca="false">(C341-$B$4)/($B$6/SQRT($B$7))</f>
        <v>-0.0676410761018184</v>
      </c>
      <c r="E341" s="0" t="str">
        <f aca="false">IF(OR(AND($B$9="superior",D341&gt;$B$10),AND($B$9="inferior",D341&lt;-$B$10)),"Rechazar H0","No rechazar H0")</f>
        <v>No rechazar H0</v>
      </c>
      <c r="F341" s="0" t="str">
        <f aca="false">IF(AND(B341="H0 verdadera",E341="Rechazar H0"),"Error tipo I",IF(AND(B341="Ha verdadera",E341="No rechazar H0"),"Error tipo II","Decisión correcta"))</f>
        <v>Decisión correcta</v>
      </c>
    </row>
    <row r="342" customFormat="false" ht="15" hidden="false" customHeight="false" outlineLevel="0" collapsed="false">
      <c r="A342" s="0" t="n">
        <v>321</v>
      </c>
      <c r="B342" s="0" t="s">
        <v>86</v>
      </c>
      <c r="C342" s="17" t="n">
        <v>-0.272984516436772</v>
      </c>
      <c r="D342" s="17" t="n">
        <f aca="false">(C342-$B$4)/($B$6/SQRT($B$7))</f>
        <v>-1.36492258218386</v>
      </c>
      <c r="E342" s="0" t="str">
        <f aca="false">IF(OR(AND($B$9="superior",D342&gt;$B$10),AND($B$9="inferior",D342&lt;-$B$10)),"Rechazar H0","No rechazar H0")</f>
        <v>No rechazar H0</v>
      </c>
      <c r="F342" s="0" t="str">
        <f aca="false">IF(AND(B342="H0 verdadera",E342="Rechazar H0"),"Error tipo I",IF(AND(B342="Ha verdadera",E342="No rechazar H0"),"Error tipo II","Decisión correcta"))</f>
        <v>Error tipo II</v>
      </c>
    </row>
    <row r="343" customFormat="false" ht="15" hidden="false" customHeight="false" outlineLevel="0" collapsed="false">
      <c r="A343" s="0" t="n">
        <v>322</v>
      </c>
      <c r="B343" s="0" t="s">
        <v>86</v>
      </c>
      <c r="C343" s="17" t="n">
        <v>-0.337013598836597</v>
      </c>
      <c r="D343" s="17" t="n">
        <f aca="false">(C343-$B$4)/($B$6/SQRT($B$7))</f>
        <v>-1.68506799418298</v>
      </c>
      <c r="E343" s="0" t="str">
        <f aca="false">IF(OR(AND($B$9="superior",D343&gt;$B$10),AND($B$9="inferior",D343&lt;-$B$10)),"Rechazar H0","No rechazar H0")</f>
        <v>Rechazar H0</v>
      </c>
      <c r="F343" s="0" t="str">
        <f aca="false">IF(AND(B343="H0 verdadera",E343="Rechazar H0"),"Error tipo I",IF(AND(B343="Ha verdadera",E343="No rechazar H0"),"Error tipo II","Decisión correcta"))</f>
        <v>Decisión correcta</v>
      </c>
    </row>
    <row r="344" customFormat="false" ht="15" hidden="false" customHeight="false" outlineLevel="0" collapsed="false">
      <c r="A344" s="0" t="n">
        <v>323</v>
      </c>
      <c r="B344" s="0" t="s">
        <v>85</v>
      </c>
      <c r="C344" s="17" t="n">
        <v>-0.16450715734955</v>
      </c>
      <c r="D344" s="17" t="n">
        <f aca="false">(C344-$B$4)/($B$6/SQRT($B$7))</f>
        <v>-0.822535786747749</v>
      </c>
      <c r="E344" s="0" t="str">
        <f aca="false">IF(OR(AND($B$9="superior",D344&gt;$B$10),AND($B$9="inferior",D344&lt;-$B$10)),"Rechazar H0","No rechazar H0")</f>
        <v>No rechazar H0</v>
      </c>
      <c r="F344" s="0" t="str">
        <f aca="false">IF(AND(B344="H0 verdadera",E344="Rechazar H0"),"Error tipo I",IF(AND(B344="Ha verdadera",E344="No rechazar H0"),"Error tipo II","Decisión correcta"))</f>
        <v>Decisión correcta</v>
      </c>
    </row>
    <row r="345" customFormat="false" ht="15" hidden="false" customHeight="false" outlineLevel="0" collapsed="false">
      <c r="A345" s="0" t="n">
        <v>324</v>
      </c>
      <c r="B345" s="0" t="s">
        <v>86</v>
      </c>
      <c r="C345" s="17" t="n">
        <v>-0.431771783567311</v>
      </c>
      <c r="D345" s="17" t="n">
        <f aca="false">(C345-$B$4)/($B$6/SQRT($B$7))</f>
        <v>-2.15885891783656</v>
      </c>
      <c r="E345" s="0" t="str">
        <f aca="false">IF(OR(AND($B$9="superior",D345&gt;$B$10),AND($B$9="inferior",D345&lt;-$B$10)),"Rechazar H0","No rechazar H0")</f>
        <v>Rechazar H0</v>
      </c>
      <c r="F345" s="0" t="str">
        <f aca="false">IF(AND(B345="H0 verdadera",E345="Rechazar H0"),"Error tipo I",IF(AND(B345="Ha verdadera",E345="No rechazar H0"),"Error tipo II","Decisión correcta"))</f>
        <v>Decisión correcta</v>
      </c>
    </row>
    <row r="346" customFormat="false" ht="15" hidden="false" customHeight="false" outlineLevel="0" collapsed="false">
      <c r="A346" s="0" t="n">
        <v>325</v>
      </c>
      <c r="B346" s="0" t="s">
        <v>86</v>
      </c>
      <c r="C346" s="17" t="n">
        <v>-0.278982203739186</v>
      </c>
      <c r="D346" s="17" t="n">
        <f aca="false">(C346-$B$4)/($B$6/SQRT($B$7))</f>
        <v>-1.39491101869593</v>
      </c>
      <c r="E346" s="0" t="str">
        <f aca="false">IF(OR(AND($B$9="superior",D346&gt;$B$10),AND($B$9="inferior",D346&lt;-$B$10)),"Rechazar H0","No rechazar H0")</f>
        <v>No rechazar H0</v>
      </c>
      <c r="F346" s="0" t="str">
        <f aca="false">IF(AND(B346="H0 verdadera",E346="Rechazar H0"),"Error tipo I",IF(AND(B346="Ha verdadera",E346="No rechazar H0"),"Error tipo II","Decisión correcta"))</f>
        <v>Error tipo II</v>
      </c>
    </row>
    <row r="347" customFormat="false" ht="15" hidden="false" customHeight="false" outlineLevel="0" collapsed="false">
      <c r="A347" s="0" t="n">
        <v>326</v>
      </c>
      <c r="B347" s="0" t="s">
        <v>86</v>
      </c>
      <c r="C347" s="17" t="n">
        <v>-0.599033096204596</v>
      </c>
      <c r="D347" s="17" t="n">
        <f aca="false">(C347-$B$4)/($B$6/SQRT($B$7))</f>
        <v>-2.99516548102298</v>
      </c>
      <c r="E347" s="0" t="str">
        <f aca="false">IF(OR(AND($B$9="superior",D347&gt;$B$10),AND($B$9="inferior",D347&lt;-$B$10)),"Rechazar H0","No rechazar H0")</f>
        <v>Rechazar H0</v>
      </c>
      <c r="F347" s="0" t="str">
        <f aca="false">IF(AND(B347="H0 verdadera",E347="Rechazar H0"),"Error tipo I",IF(AND(B347="Ha verdadera",E347="No rechazar H0"),"Error tipo II","Decisión correcta"))</f>
        <v>Decisión correcta</v>
      </c>
    </row>
    <row r="348" customFormat="false" ht="15" hidden="false" customHeight="false" outlineLevel="0" collapsed="false">
      <c r="A348" s="0" t="n">
        <v>327</v>
      </c>
      <c r="B348" s="0" t="s">
        <v>85</v>
      </c>
      <c r="C348" s="17" t="n">
        <v>0.22482824165042</v>
      </c>
      <c r="D348" s="17" t="n">
        <f aca="false">(C348-$B$4)/($B$6/SQRT($B$7))</f>
        <v>1.1241412082521</v>
      </c>
      <c r="E348" s="0" t="str">
        <f aca="false">IF(OR(AND($B$9="superior",D348&gt;$B$10),AND($B$9="inferior",D348&lt;-$B$10)),"Rechazar H0","No rechazar H0")</f>
        <v>No rechazar H0</v>
      </c>
      <c r="F348" s="0" t="str">
        <f aca="false">IF(AND(B348="H0 verdadera",E348="Rechazar H0"),"Error tipo I",IF(AND(B348="Ha verdadera",E348="No rechazar H0"),"Error tipo II","Decisión correcta"))</f>
        <v>Decisión correcta</v>
      </c>
    </row>
    <row r="349" customFormat="false" ht="15" hidden="false" customHeight="false" outlineLevel="0" collapsed="false">
      <c r="A349" s="0" t="n">
        <v>328</v>
      </c>
      <c r="B349" s="0" t="s">
        <v>85</v>
      </c>
      <c r="C349" s="17" t="n">
        <v>0.166034881403028</v>
      </c>
      <c r="D349" s="17" t="n">
        <f aca="false">(C349-$B$4)/($B$6/SQRT($B$7))</f>
        <v>0.83017440701514</v>
      </c>
      <c r="E349" s="0" t="str">
        <f aca="false">IF(OR(AND($B$9="superior",D349&gt;$B$10),AND($B$9="inferior",D349&lt;-$B$10)),"Rechazar H0","No rechazar H0")</f>
        <v>No rechazar H0</v>
      </c>
      <c r="F349" s="0" t="str">
        <f aca="false">IF(AND(B349="H0 verdadera",E349="Rechazar H0"),"Error tipo I",IF(AND(B349="Ha verdadera",E349="No rechazar H0"),"Error tipo II","Decisión correcta"))</f>
        <v>Decisión correcta</v>
      </c>
    </row>
    <row r="350" customFormat="false" ht="15" hidden="false" customHeight="false" outlineLevel="0" collapsed="false">
      <c r="A350" s="0" t="n">
        <v>329</v>
      </c>
      <c r="B350" s="0" t="s">
        <v>86</v>
      </c>
      <c r="C350" s="17" t="n">
        <v>-0.327172520518497</v>
      </c>
      <c r="D350" s="17" t="n">
        <f aca="false">(C350-$B$4)/($B$6/SQRT($B$7))</f>
        <v>-1.63586260259249</v>
      </c>
      <c r="E350" s="0" t="str">
        <f aca="false">IF(OR(AND($B$9="superior",D350&gt;$B$10),AND($B$9="inferior",D350&lt;-$B$10)),"Rechazar H0","No rechazar H0")</f>
        <v>No rechazar H0</v>
      </c>
      <c r="F350" s="0" t="str">
        <f aca="false">IF(AND(B350="H0 verdadera",E350="Rechazar H0"),"Error tipo I",IF(AND(B350="Ha verdadera",E350="No rechazar H0"),"Error tipo II","Decisión correcta"))</f>
        <v>Error tipo II</v>
      </c>
    </row>
    <row r="351" customFormat="false" ht="15" hidden="false" customHeight="false" outlineLevel="0" collapsed="false">
      <c r="A351" s="0" t="n">
        <v>330</v>
      </c>
      <c r="B351" s="0" t="s">
        <v>86</v>
      </c>
      <c r="C351" s="17" t="n">
        <v>-0.521335907695174</v>
      </c>
      <c r="D351" s="17" t="n">
        <f aca="false">(C351-$B$4)/($B$6/SQRT($B$7))</f>
        <v>-2.60667953847587</v>
      </c>
      <c r="E351" s="0" t="str">
        <f aca="false">IF(OR(AND($B$9="superior",D351&gt;$B$10),AND($B$9="inferior",D351&lt;-$B$10)),"Rechazar H0","No rechazar H0")</f>
        <v>Rechazar H0</v>
      </c>
      <c r="F351" s="0" t="str">
        <f aca="false">IF(AND(B351="H0 verdadera",E351="Rechazar H0"),"Error tipo I",IF(AND(B351="Ha verdadera",E351="No rechazar H0"),"Error tipo II","Decisión correcta"))</f>
        <v>Decisión correcta</v>
      </c>
    </row>
    <row r="352" customFormat="false" ht="15" hidden="false" customHeight="false" outlineLevel="0" collapsed="false">
      <c r="A352" s="0" t="n">
        <v>331</v>
      </c>
      <c r="B352" s="0" t="s">
        <v>85</v>
      </c>
      <c r="C352" s="17" t="n">
        <v>0.0523685168299779</v>
      </c>
      <c r="D352" s="17" t="n">
        <f aca="false">(C352-$B$4)/($B$6/SQRT($B$7))</f>
        <v>0.26184258414989</v>
      </c>
      <c r="E352" s="0" t="str">
        <f aca="false">IF(OR(AND($B$9="superior",D352&gt;$B$10),AND($B$9="inferior",D352&lt;-$B$10)),"Rechazar H0","No rechazar H0")</f>
        <v>No rechazar H0</v>
      </c>
      <c r="F352" s="0" t="str">
        <f aca="false">IF(AND(B352="H0 verdadera",E352="Rechazar H0"),"Error tipo I",IF(AND(B352="Ha verdadera",E352="No rechazar H0"),"Error tipo II","Decisión correcta"))</f>
        <v>Decisión correcta</v>
      </c>
    </row>
    <row r="353" customFormat="false" ht="15" hidden="false" customHeight="false" outlineLevel="0" collapsed="false">
      <c r="A353" s="0" t="n">
        <v>332</v>
      </c>
      <c r="B353" s="0" t="s">
        <v>86</v>
      </c>
      <c r="C353" s="17" t="n">
        <v>-0.320203391453452</v>
      </c>
      <c r="D353" s="17" t="n">
        <f aca="false">(C353-$B$4)/($B$6/SQRT($B$7))</f>
        <v>-1.60101695726726</v>
      </c>
      <c r="E353" s="0" t="str">
        <f aca="false">IF(OR(AND($B$9="superior",D353&gt;$B$10),AND($B$9="inferior",D353&lt;-$B$10)),"Rechazar H0","No rechazar H0")</f>
        <v>No rechazar H0</v>
      </c>
      <c r="F353" s="0" t="str">
        <f aca="false">IF(AND(B353="H0 verdadera",E353="Rechazar H0"),"Error tipo I",IF(AND(B353="Ha verdadera",E353="No rechazar H0"),"Error tipo II","Decisión correcta"))</f>
        <v>Error tipo II</v>
      </c>
    </row>
    <row r="354" customFormat="false" ht="15" hidden="false" customHeight="false" outlineLevel="0" collapsed="false">
      <c r="A354" s="0" t="n">
        <v>333</v>
      </c>
      <c r="B354" s="0" t="s">
        <v>85</v>
      </c>
      <c r="C354" s="17" t="n">
        <v>0.130881648778841</v>
      </c>
      <c r="D354" s="17" t="n">
        <f aca="false">(C354-$B$4)/($B$6/SQRT($B$7))</f>
        <v>0.654408243894205</v>
      </c>
      <c r="E354" s="0" t="str">
        <f aca="false">IF(OR(AND($B$9="superior",D354&gt;$B$10),AND($B$9="inferior",D354&lt;-$B$10)),"Rechazar H0","No rechazar H0")</f>
        <v>No rechazar H0</v>
      </c>
      <c r="F354" s="0" t="str">
        <f aca="false">IF(AND(B354="H0 verdadera",E354="Rechazar H0"),"Error tipo I",IF(AND(B354="Ha verdadera",E354="No rechazar H0"),"Error tipo II","Decisión correcta"))</f>
        <v>Decisión correcta</v>
      </c>
    </row>
    <row r="355" customFormat="false" ht="15" hidden="false" customHeight="false" outlineLevel="0" collapsed="false">
      <c r="A355" s="0" t="n">
        <v>334</v>
      </c>
      <c r="B355" s="0" t="s">
        <v>86</v>
      </c>
      <c r="C355" s="17" t="n">
        <v>-0.580324267467675</v>
      </c>
      <c r="D355" s="17" t="n">
        <f aca="false">(C355-$B$4)/($B$6/SQRT($B$7))</f>
        <v>-2.90162133733837</v>
      </c>
      <c r="E355" s="0" t="str">
        <f aca="false">IF(OR(AND($B$9="superior",D355&gt;$B$10),AND($B$9="inferior",D355&lt;-$B$10)),"Rechazar H0","No rechazar H0")</f>
        <v>Rechazar H0</v>
      </c>
      <c r="F355" s="0" t="str">
        <f aca="false">IF(AND(B355="H0 verdadera",E355="Rechazar H0"),"Error tipo I",IF(AND(B355="Ha verdadera",E355="No rechazar H0"),"Error tipo II","Decisión correcta"))</f>
        <v>Decisión correcta</v>
      </c>
    </row>
    <row r="356" customFormat="false" ht="15" hidden="false" customHeight="false" outlineLevel="0" collapsed="false">
      <c r="A356" s="0" t="n">
        <v>335</v>
      </c>
      <c r="B356" s="0" t="s">
        <v>86</v>
      </c>
      <c r="C356" s="17" t="n">
        <v>-0.454615205324291</v>
      </c>
      <c r="D356" s="17" t="n">
        <f aca="false">(C356-$B$4)/($B$6/SQRT($B$7))</f>
        <v>-2.27307602662146</v>
      </c>
      <c r="E356" s="0" t="str">
        <f aca="false">IF(OR(AND($B$9="superior",D356&gt;$B$10),AND($B$9="inferior",D356&lt;-$B$10)),"Rechazar H0","No rechazar H0")</f>
        <v>Rechazar H0</v>
      </c>
      <c r="F356" s="0" t="str">
        <f aca="false">IF(AND(B356="H0 verdadera",E356="Rechazar H0"),"Error tipo I",IF(AND(B356="Ha verdadera",E356="No rechazar H0"),"Error tipo II","Decisión correcta"))</f>
        <v>Decisión correcta</v>
      </c>
    </row>
    <row r="357" customFormat="false" ht="15" hidden="false" customHeight="false" outlineLevel="0" collapsed="false">
      <c r="A357" s="0" t="n">
        <v>336</v>
      </c>
      <c r="B357" s="0" t="s">
        <v>85</v>
      </c>
      <c r="C357" s="17" t="n">
        <v>-0.216801584218164</v>
      </c>
      <c r="D357" s="17" t="n">
        <f aca="false">(C357-$B$4)/($B$6/SQRT($B$7))</f>
        <v>-1.08400792109082</v>
      </c>
      <c r="E357" s="0" t="str">
        <f aca="false">IF(OR(AND($B$9="superior",D357&gt;$B$10),AND($B$9="inferior",D357&lt;-$B$10)),"Rechazar H0","No rechazar H0")</f>
        <v>No rechazar H0</v>
      </c>
      <c r="F357" s="0" t="str">
        <f aca="false">IF(AND(B357="H0 verdadera",E357="Rechazar H0"),"Error tipo I",IF(AND(B357="Ha verdadera",E357="No rechazar H0"),"Error tipo II","Decisión correcta"))</f>
        <v>Decisión correcta</v>
      </c>
    </row>
    <row r="358" customFormat="false" ht="15" hidden="false" customHeight="false" outlineLevel="0" collapsed="false">
      <c r="A358" s="0" t="n">
        <v>337</v>
      </c>
      <c r="B358" s="0" t="s">
        <v>86</v>
      </c>
      <c r="C358" s="17" t="n">
        <v>-0.511399491610366</v>
      </c>
      <c r="D358" s="17" t="n">
        <f aca="false">(C358-$B$4)/($B$6/SQRT($B$7))</f>
        <v>-2.55699745805183</v>
      </c>
      <c r="E358" s="0" t="str">
        <f aca="false">IF(OR(AND($B$9="superior",D358&gt;$B$10),AND($B$9="inferior",D358&lt;-$B$10)),"Rechazar H0","No rechazar H0")</f>
        <v>Rechazar H0</v>
      </c>
      <c r="F358" s="0" t="str">
        <f aca="false">IF(AND(B358="H0 verdadera",E358="Rechazar H0"),"Error tipo I",IF(AND(B358="Ha verdadera",E358="No rechazar H0"),"Error tipo II","Decisión correcta"))</f>
        <v>Decisión correcta</v>
      </c>
    </row>
    <row r="359" customFormat="false" ht="15" hidden="false" customHeight="false" outlineLevel="0" collapsed="false">
      <c r="A359" s="0" t="n">
        <v>338</v>
      </c>
      <c r="B359" s="0" t="s">
        <v>85</v>
      </c>
      <c r="C359" s="17" t="n">
        <v>0.168556508254711</v>
      </c>
      <c r="D359" s="17" t="n">
        <f aca="false">(C359-$B$4)/($B$6/SQRT($B$7))</f>
        <v>0.842782541273555</v>
      </c>
      <c r="E359" s="0" t="str">
        <f aca="false">IF(OR(AND($B$9="superior",D359&gt;$B$10),AND($B$9="inferior",D359&lt;-$B$10)),"Rechazar H0","No rechazar H0")</f>
        <v>No rechazar H0</v>
      </c>
      <c r="F359" s="0" t="str">
        <f aca="false">IF(AND(B359="H0 verdadera",E359="Rechazar H0"),"Error tipo I",IF(AND(B359="Ha verdadera",E359="No rechazar H0"),"Error tipo II","Decisión correcta"))</f>
        <v>Decisión correcta</v>
      </c>
    </row>
    <row r="360" customFormat="false" ht="15" hidden="false" customHeight="false" outlineLevel="0" collapsed="false">
      <c r="A360" s="0" t="n">
        <v>339</v>
      </c>
      <c r="B360" s="0" t="s">
        <v>86</v>
      </c>
      <c r="C360" s="17" t="n">
        <v>-0.531655156548697</v>
      </c>
      <c r="D360" s="17" t="n">
        <f aca="false">(C360-$B$4)/($B$6/SQRT($B$7))</f>
        <v>-2.65827578274348</v>
      </c>
      <c r="E360" s="0" t="str">
        <f aca="false">IF(OR(AND($B$9="superior",D360&gt;$B$10),AND($B$9="inferior",D360&lt;-$B$10)),"Rechazar H0","No rechazar H0")</f>
        <v>Rechazar H0</v>
      </c>
      <c r="F360" s="0" t="str">
        <f aca="false">IF(AND(B360="H0 verdadera",E360="Rechazar H0"),"Error tipo I",IF(AND(B360="Ha verdadera",E360="No rechazar H0"),"Error tipo II","Decisión correcta"))</f>
        <v>Decisión correcta</v>
      </c>
    </row>
    <row r="361" customFormat="false" ht="15" hidden="false" customHeight="false" outlineLevel="0" collapsed="false">
      <c r="A361" s="0" t="n">
        <v>340</v>
      </c>
      <c r="B361" s="0" t="s">
        <v>86</v>
      </c>
      <c r="C361" s="17" t="n">
        <v>-0.379956927635717</v>
      </c>
      <c r="D361" s="17" t="n">
        <f aca="false">(C361-$B$4)/($B$6/SQRT($B$7))</f>
        <v>-1.89978463817858</v>
      </c>
      <c r="E361" s="0" t="str">
        <f aca="false">IF(OR(AND($B$9="superior",D361&gt;$B$10),AND($B$9="inferior",D361&lt;-$B$10)),"Rechazar H0","No rechazar H0")</f>
        <v>Rechazar H0</v>
      </c>
      <c r="F361" s="0" t="str">
        <f aca="false">IF(AND(B361="H0 verdadera",E361="Rechazar H0"),"Error tipo I",IF(AND(B361="Ha verdadera",E361="No rechazar H0"),"Error tipo II","Decisión correcta"))</f>
        <v>Decisión correcta</v>
      </c>
    </row>
    <row r="362" customFormat="false" ht="15" hidden="false" customHeight="false" outlineLevel="0" collapsed="false">
      <c r="A362" s="0" t="n">
        <v>341</v>
      </c>
      <c r="B362" s="0" t="s">
        <v>86</v>
      </c>
      <c r="C362" s="17" t="n">
        <v>-0.506679887778358</v>
      </c>
      <c r="D362" s="17" t="n">
        <f aca="false">(C362-$B$4)/($B$6/SQRT($B$7))</f>
        <v>-2.53339943889179</v>
      </c>
      <c r="E362" s="0" t="str">
        <f aca="false">IF(OR(AND($B$9="superior",D362&gt;$B$10),AND($B$9="inferior",D362&lt;-$B$10)),"Rechazar H0","No rechazar H0")</f>
        <v>Rechazar H0</v>
      </c>
      <c r="F362" s="0" t="str">
        <f aca="false">IF(AND(B362="H0 verdadera",E362="Rechazar H0"),"Error tipo I",IF(AND(B362="Ha verdadera",E362="No rechazar H0"),"Error tipo II","Decisión correcta"))</f>
        <v>Decisión correcta</v>
      </c>
    </row>
    <row r="363" customFormat="false" ht="15" hidden="false" customHeight="false" outlineLevel="0" collapsed="false">
      <c r="A363" s="0" t="n">
        <v>342</v>
      </c>
      <c r="B363" s="0" t="s">
        <v>86</v>
      </c>
      <c r="C363" s="17" t="n">
        <v>-0.280544263274246</v>
      </c>
      <c r="D363" s="17" t="n">
        <f aca="false">(C363-$B$4)/($B$6/SQRT($B$7))</f>
        <v>-1.40272131637123</v>
      </c>
      <c r="E363" s="0" t="str">
        <f aca="false">IF(OR(AND($B$9="superior",D363&gt;$B$10),AND($B$9="inferior",D363&lt;-$B$10)),"Rechazar H0","No rechazar H0")</f>
        <v>No rechazar H0</v>
      </c>
      <c r="F363" s="0" t="str">
        <f aca="false">IF(AND(B363="H0 verdadera",E363="Rechazar H0"),"Error tipo I",IF(AND(B363="Ha verdadera",E363="No rechazar H0"),"Error tipo II","Decisión correcta"))</f>
        <v>Error tipo II</v>
      </c>
    </row>
    <row r="364" customFormat="false" ht="15" hidden="false" customHeight="false" outlineLevel="0" collapsed="false">
      <c r="A364" s="0" t="n">
        <v>343</v>
      </c>
      <c r="B364" s="0" t="s">
        <v>85</v>
      </c>
      <c r="C364" s="17" t="n">
        <v>0.1133359004008</v>
      </c>
      <c r="D364" s="17" t="n">
        <f aca="false">(C364-$B$4)/($B$6/SQRT($B$7))</f>
        <v>0.566679502003999</v>
      </c>
      <c r="E364" s="0" t="str">
        <f aca="false">IF(OR(AND($B$9="superior",D364&gt;$B$10),AND($B$9="inferior",D364&lt;-$B$10)),"Rechazar H0","No rechazar H0")</f>
        <v>No rechazar H0</v>
      </c>
      <c r="F364" s="0" t="str">
        <f aca="false">IF(AND(B364="H0 verdadera",E364="Rechazar H0"),"Error tipo I",IF(AND(B364="Ha verdadera",E364="No rechazar H0"),"Error tipo II","Decisión correcta"))</f>
        <v>Decisión correcta</v>
      </c>
    </row>
    <row r="365" customFormat="false" ht="15" hidden="false" customHeight="false" outlineLevel="0" collapsed="false">
      <c r="A365" s="0" t="n">
        <v>344</v>
      </c>
      <c r="B365" s="0" t="s">
        <v>86</v>
      </c>
      <c r="C365" s="17" t="n">
        <v>-0.45018606049987</v>
      </c>
      <c r="D365" s="17" t="n">
        <f aca="false">(C365-$B$4)/($B$6/SQRT($B$7))</f>
        <v>-2.25093030249935</v>
      </c>
      <c r="E365" s="0" t="str">
        <f aca="false">IF(OR(AND($B$9="superior",D365&gt;$B$10),AND($B$9="inferior",D365&lt;-$B$10)),"Rechazar H0","No rechazar H0")</f>
        <v>Rechazar H0</v>
      </c>
      <c r="F365" s="0" t="str">
        <f aca="false">IF(AND(B365="H0 verdadera",E365="Rechazar H0"),"Error tipo I",IF(AND(B365="Ha verdadera",E365="No rechazar H0"),"Error tipo II","Decisión correcta"))</f>
        <v>Decisión correcta</v>
      </c>
    </row>
    <row r="366" customFormat="false" ht="15" hidden="false" customHeight="false" outlineLevel="0" collapsed="false">
      <c r="A366" s="0" t="n">
        <v>345</v>
      </c>
      <c r="B366" s="0" t="s">
        <v>86</v>
      </c>
      <c r="C366" s="17" t="n">
        <v>-0.310912113363505</v>
      </c>
      <c r="D366" s="17" t="n">
        <f aca="false">(C366-$B$4)/($B$6/SQRT($B$7))</f>
        <v>-1.55456056681752</v>
      </c>
      <c r="E366" s="0" t="str">
        <f aca="false">IF(OR(AND($B$9="superior",D366&gt;$B$10),AND($B$9="inferior",D366&lt;-$B$10)),"Rechazar H0","No rechazar H0")</f>
        <v>No rechazar H0</v>
      </c>
      <c r="F366" s="0" t="str">
        <f aca="false">IF(AND(B366="H0 verdadera",E366="Rechazar H0"),"Error tipo I",IF(AND(B366="Ha verdadera",E366="No rechazar H0"),"Error tipo II","Decisión correcta"))</f>
        <v>Error tipo II</v>
      </c>
    </row>
    <row r="367" customFormat="false" ht="15" hidden="false" customHeight="false" outlineLevel="0" collapsed="false">
      <c r="A367" s="0" t="n">
        <v>346</v>
      </c>
      <c r="B367" s="0" t="s">
        <v>86</v>
      </c>
      <c r="C367" s="17" t="n">
        <v>-0.189875377037959</v>
      </c>
      <c r="D367" s="17" t="n">
        <f aca="false">(C367-$B$4)/($B$6/SQRT($B$7))</f>
        <v>-0.949376885189794</v>
      </c>
      <c r="E367" s="0" t="str">
        <f aca="false">IF(OR(AND($B$9="superior",D367&gt;$B$10),AND($B$9="inferior",D367&lt;-$B$10)),"Rechazar H0","No rechazar H0")</f>
        <v>No rechazar H0</v>
      </c>
      <c r="F367" s="0" t="str">
        <f aca="false">IF(AND(B367="H0 verdadera",E367="Rechazar H0"),"Error tipo I",IF(AND(B367="Ha verdadera",E367="No rechazar H0"),"Error tipo II","Decisión correcta"))</f>
        <v>Error tipo II</v>
      </c>
    </row>
    <row r="368" customFormat="false" ht="15" hidden="false" customHeight="false" outlineLevel="0" collapsed="false">
      <c r="A368" s="0" t="n">
        <v>347</v>
      </c>
      <c r="B368" s="0" t="s">
        <v>86</v>
      </c>
      <c r="C368" s="17" t="n">
        <v>-0.697584575169944</v>
      </c>
      <c r="D368" s="17" t="n">
        <f aca="false">(C368-$B$4)/($B$6/SQRT($B$7))</f>
        <v>-3.48792287584972</v>
      </c>
      <c r="E368" s="0" t="str">
        <f aca="false">IF(OR(AND($B$9="superior",D368&gt;$B$10),AND($B$9="inferior",D368&lt;-$B$10)),"Rechazar H0","No rechazar H0")</f>
        <v>Rechazar H0</v>
      </c>
      <c r="F368" s="0" t="str">
        <f aca="false">IF(AND(B368="H0 verdadera",E368="Rechazar H0"),"Error tipo I",IF(AND(B368="Ha verdadera",E368="No rechazar H0"),"Error tipo II","Decisión correcta"))</f>
        <v>Decisión correcta</v>
      </c>
    </row>
    <row r="369" customFormat="false" ht="15" hidden="false" customHeight="false" outlineLevel="0" collapsed="false">
      <c r="A369" s="0" t="n">
        <v>348</v>
      </c>
      <c r="B369" s="0" t="s">
        <v>85</v>
      </c>
      <c r="C369" s="17" t="n">
        <v>0.00107802453329691</v>
      </c>
      <c r="D369" s="17" t="n">
        <f aca="false">(C369-$B$4)/($B$6/SQRT($B$7))</f>
        <v>0.00539012266648454</v>
      </c>
      <c r="E369" s="0" t="str">
        <f aca="false">IF(OR(AND($B$9="superior",D369&gt;$B$10),AND($B$9="inferior",D369&lt;-$B$10)),"Rechazar H0","No rechazar H0")</f>
        <v>No rechazar H0</v>
      </c>
      <c r="F369" s="0" t="str">
        <f aca="false">IF(AND(B369="H0 verdadera",E369="Rechazar H0"),"Error tipo I",IF(AND(B369="Ha verdadera",E369="No rechazar H0"),"Error tipo II","Decisión correcta"))</f>
        <v>Decisión correcta</v>
      </c>
    </row>
    <row r="370" customFormat="false" ht="15" hidden="false" customHeight="false" outlineLevel="0" collapsed="false">
      <c r="A370" s="0" t="n">
        <v>349</v>
      </c>
      <c r="B370" s="0" t="s">
        <v>85</v>
      </c>
      <c r="C370" s="17" t="n">
        <v>-0.0548053945252979</v>
      </c>
      <c r="D370" s="17" t="n">
        <f aca="false">(C370-$B$4)/($B$6/SQRT($B$7))</f>
        <v>-0.274026972626489</v>
      </c>
      <c r="E370" s="0" t="str">
        <f aca="false">IF(OR(AND($B$9="superior",D370&gt;$B$10),AND($B$9="inferior",D370&lt;-$B$10)),"Rechazar H0","No rechazar H0")</f>
        <v>No rechazar H0</v>
      </c>
      <c r="F370" s="0" t="str">
        <f aca="false">IF(AND(B370="H0 verdadera",E370="Rechazar H0"),"Error tipo I",IF(AND(B370="Ha verdadera",E370="No rechazar H0"),"Error tipo II","Decisión correcta"))</f>
        <v>Decisión correcta</v>
      </c>
    </row>
    <row r="371" customFormat="false" ht="15" hidden="false" customHeight="false" outlineLevel="0" collapsed="false">
      <c r="A371" s="0" t="n">
        <v>350</v>
      </c>
      <c r="B371" s="0" t="s">
        <v>86</v>
      </c>
      <c r="C371" s="17" t="n">
        <v>-0.22506812659858</v>
      </c>
      <c r="D371" s="17" t="n">
        <f aca="false">(C371-$B$4)/($B$6/SQRT($B$7))</f>
        <v>-1.1253406329929</v>
      </c>
      <c r="E371" s="0" t="str">
        <f aca="false">IF(OR(AND($B$9="superior",D371&gt;$B$10),AND($B$9="inferior",D371&lt;-$B$10)),"Rechazar H0","No rechazar H0")</f>
        <v>No rechazar H0</v>
      </c>
      <c r="F371" s="0" t="str">
        <f aca="false">IF(AND(B371="H0 verdadera",E371="Rechazar H0"),"Error tipo I",IF(AND(B371="Ha verdadera",E371="No rechazar H0"),"Error tipo II","Decisión correcta"))</f>
        <v>Error tipo II</v>
      </c>
    </row>
    <row r="372" customFormat="false" ht="15" hidden="false" customHeight="false" outlineLevel="0" collapsed="false">
      <c r="A372" s="0" t="n">
        <v>351</v>
      </c>
      <c r="B372" s="0" t="s">
        <v>85</v>
      </c>
      <c r="C372" s="17" t="n">
        <v>-0.239955980220107</v>
      </c>
      <c r="D372" s="17" t="n">
        <f aca="false">(C372-$B$4)/($B$6/SQRT($B$7))</f>
        <v>-1.19977990110053</v>
      </c>
      <c r="E372" s="0" t="str">
        <f aca="false">IF(OR(AND($B$9="superior",D372&gt;$B$10),AND($B$9="inferior",D372&lt;-$B$10)),"Rechazar H0","No rechazar H0")</f>
        <v>No rechazar H0</v>
      </c>
      <c r="F372" s="0" t="str">
        <f aca="false">IF(AND(B372="H0 verdadera",E372="Rechazar H0"),"Error tipo I",IF(AND(B372="Ha verdadera",E372="No rechazar H0"),"Error tipo II","Decisión correcta"))</f>
        <v>Decisión correcta</v>
      </c>
    </row>
    <row r="373" customFormat="false" ht="15" hidden="false" customHeight="false" outlineLevel="0" collapsed="false">
      <c r="A373" s="0" t="n">
        <v>352</v>
      </c>
      <c r="B373" s="0" t="s">
        <v>86</v>
      </c>
      <c r="C373" s="17" t="n">
        <v>-0.115457831366508</v>
      </c>
      <c r="D373" s="17" t="n">
        <f aca="false">(C373-$B$4)/($B$6/SQRT($B$7))</f>
        <v>-0.577289156832538</v>
      </c>
      <c r="E373" s="0" t="str">
        <f aca="false">IF(OR(AND($B$9="superior",D373&gt;$B$10),AND($B$9="inferior",D373&lt;-$B$10)),"Rechazar H0","No rechazar H0")</f>
        <v>No rechazar H0</v>
      </c>
      <c r="F373" s="0" t="str">
        <f aca="false">IF(AND(B373="H0 verdadera",E373="Rechazar H0"),"Error tipo I",IF(AND(B373="Ha verdadera",E373="No rechazar H0"),"Error tipo II","Decisión correcta"))</f>
        <v>Error tipo II</v>
      </c>
    </row>
    <row r="374" customFormat="false" ht="15" hidden="false" customHeight="false" outlineLevel="0" collapsed="false">
      <c r="A374" s="0" t="n">
        <v>353</v>
      </c>
      <c r="B374" s="0" t="s">
        <v>85</v>
      </c>
      <c r="C374" s="17" t="n">
        <v>-0.0443005694325381</v>
      </c>
      <c r="D374" s="17" t="n">
        <f aca="false">(C374-$B$4)/($B$6/SQRT($B$7))</f>
        <v>-0.221502847162691</v>
      </c>
      <c r="E374" s="0" t="str">
        <f aca="false">IF(OR(AND($B$9="superior",D374&gt;$B$10),AND($B$9="inferior",D374&lt;-$B$10)),"Rechazar H0","No rechazar H0")</f>
        <v>No rechazar H0</v>
      </c>
      <c r="F374" s="0" t="str">
        <f aca="false">IF(AND(B374="H0 verdadera",E374="Rechazar H0"),"Error tipo I",IF(AND(B374="Ha verdadera",E374="No rechazar H0"),"Error tipo II","Decisión correcta"))</f>
        <v>Decisión correcta</v>
      </c>
    </row>
    <row r="375" customFormat="false" ht="15" hidden="false" customHeight="false" outlineLevel="0" collapsed="false">
      <c r="A375" s="0" t="n">
        <v>354</v>
      </c>
      <c r="B375" s="0" t="s">
        <v>85</v>
      </c>
      <c r="C375" s="17" t="n">
        <v>-0.0314689407177697</v>
      </c>
      <c r="D375" s="17" t="n">
        <f aca="false">(C375-$B$4)/($B$6/SQRT($B$7))</f>
        <v>-0.157344703588848</v>
      </c>
      <c r="E375" s="0" t="str">
        <f aca="false">IF(OR(AND($B$9="superior",D375&gt;$B$10),AND($B$9="inferior",D375&lt;-$B$10)),"Rechazar H0","No rechazar H0")</f>
        <v>No rechazar H0</v>
      </c>
      <c r="F375" s="0" t="str">
        <f aca="false">IF(AND(B375="H0 verdadera",E375="Rechazar H0"),"Error tipo I",IF(AND(B375="Ha verdadera",E375="No rechazar H0"),"Error tipo II","Decisión correcta"))</f>
        <v>Decisión correcta</v>
      </c>
    </row>
    <row r="376" customFormat="false" ht="15" hidden="false" customHeight="false" outlineLevel="0" collapsed="false">
      <c r="A376" s="0" t="n">
        <v>355</v>
      </c>
      <c r="B376" s="0" t="s">
        <v>85</v>
      </c>
      <c r="C376" s="17" t="n">
        <v>-0.276026804893236</v>
      </c>
      <c r="D376" s="17" t="n">
        <f aca="false">(C376-$B$4)/($B$6/SQRT($B$7))</f>
        <v>-1.38013402446618</v>
      </c>
      <c r="E376" s="0" t="str">
        <f aca="false">IF(OR(AND($B$9="superior",D376&gt;$B$10),AND($B$9="inferior",D376&lt;-$B$10)),"Rechazar H0","No rechazar H0")</f>
        <v>No rechazar H0</v>
      </c>
      <c r="F376" s="0" t="str">
        <f aca="false">IF(AND(B376="H0 verdadera",E376="Rechazar H0"),"Error tipo I",IF(AND(B376="Ha verdadera",E376="No rechazar H0"),"Error tipo II","Decisión correcta"))</f>
        <v>Decisión correcta</v>
      </c>
    </row>
    <row r="377" customFormat="false" ht="15" hidden="false" customHeight="false" outlineLevel="0" collapsed="false">
      <c r="A377" s="0" t="n">
        <v>356</v>
      </c>
      <c r="B377" s="0" t="s">
        <v>86</v>
      </c>
      <c r="C377" s="17" t="n">
        <v>-0.23345914255793</v>
      </c>
      <c r="D377" s="17" t="n">
        <f aca="false">(C377-$B$4)/($B$6/SQRT($B$7))</f>
        <v>-1.16729571278965</v>
      </c>
      <c r="E377" s="0" t="str">
        <f aca="false">IF(OR(AND($B$9="superior",D377&gt;$B$10),AND($B$9="inferior",D377&lt;-$B$10)),"Rechazar H0","No rechazar H0")</f>
        <v>No rechazar H0</v>
      </c>
      <c r="F377" s="0" t="str">
        <f aca="false">IF(AND(B377="H0 verdadera",E377="Rechazar H0"),"Error tipo I",IF(AND(B377="Ha verdadera",E377="No rechazar H0"),"Error tipo II","Decisión correcta"))</f>
        <v>Error tipo II</v>
      </c>
    </row>
    <row r="378" customFormat="false" ht="15" hidden="false" customHeight="false" outlineLevel="0" collapsed="false">
      <c r="A378" s="0" t="n">
        <v>357</v>
      </c>
      <c r="B378" s="0" t="s">
        <v>85</v>
      </c>
      <c r="C378" s="17" t="n">
        <v>0.123860509469029</v>
      </c>
      <c r="D378" s="17" t="n">
        <f aca="false">(C378-$B$4)/($B$6/SQRT($B$7))</f>
        <v>0.619302547345146</v>
      </c>
      <c r="E378" s="0" t="str">
        <f aca="false">IF(OR(AND($B$9="superior",D378&gt;$B$10),AND($B$9="inferior",D378&lt;-$B$10)),"Rechazar H0","No rechazar H0")</f>
        <v>No rechazar H0</v>
      </c>
      <c r="F378" s="0" t="str">
        <f aca="false">IF(AND(B378="H0 verdadera",E378="Rechazar H0"),"Error tipo I",IF(AND(B378="Ha verdadera",E378="No rechazar H0"),"Error tipo II","Decisión correcta"))</f>
        <v>Decisión correcta</v>
      </c>
    </row>
    <row r="379" customFormat="false" ht="15" hidden="false" customHeight="false" outlineLevel="0" collapsed="false">
      <c r="A379" s="0" t="n">
        <v>358</v>
      </c>
      <c r="B379" s="0" t="s">
        <v>85</v>
      </c>
      <c r="C379" s="17" t="n">
        <v>0.0668675192897889</v>
      </c>
      <c r="D379" s="17" t="n">
        <f aca="false">(C379-$B$4)/($B$6/SQRT($B$7))</f>
        <v>0.334337596448944</v>
      </c>
      <c r="E379" s="0" t="str">
        <f aca="false">IF(OR(AND($B$9="superior",D379&gt;$B$10),AND($B$9="inferior",D379&lt;-$B$10)),"Rechazar H0","No rechazar H0")</f>
        <v>No rechazar H0</v>
      </c>
      <c r="F379" s="0" t="str">
        <f aca="false">IF(AND(B379="H0 verdadera",E379="Rechazar H0"),"Error tipo I",IF(AND(B379="Ha verdadera",E379="No rechazar H0"),"Error tipo II","Decisión correcta"))</f>
        <v>Decisión correcta</v>
      </c>
    </row>
    <row r="380" customFormat="false" ht="15" hidden="false" customHeight="false" outlineLevel="0" collapsed="false">
      <c r="A380" s="0" t="n">
        <v>359</v>
      </c>
      <c r="B380" s="0" t="s">
        <v>85</v>
      </c>
      <c r="C380" s="17" t="n">
        <v>0.316743552773093</v>
      </c>
      <c r="D380" s="17" t="n">
        <f aca="false">(C380-$B$4)/($B$6/SQRT($B$7))</f>
        <v>1.58371776386547</v>
      </c>
      <c r="E380" s="0" t="str">
        <f aca="false">IF(OR(AND($B$9="superior",D380&gt;$B$10),AND($B$9="inferior",D380&lt;-$B$10)),"Rechazar H0","No rechazar H0")</f>
        <v>No rechazar H0</v>
      </c>
      <c r="F380" s="0" t="str">
        <f aca="false">IF(AND(B380="H0 verdadera",E380="Rechazar H0"),"Error tipo I",IF(AND(B380="Ha verdadera",E380="No rechazar H0"),"Error tipo II","Decisión correcta"))</f>
        <v>Decisión correcta</v>
      </c>
    </row>
    <row r="381" customFormat="false" ht="15" hidden="false" customHeight="false" outlineLevel="0" collapsed="false">
      <c r="A381" s="0" t="n">
        <v>360</v>
      </c>
      <c r="B381" s="0" t="s">
        <v>86</v>
      </c>
      <c r="C381" s="17" t="n">
        <v>-0.545311026562372</v>
      </c>
      <c r="D381" s="17" t="n">
        <f aca="false">(C381-$B$4)/($B$6/SQRT($B$7))</f>
        <v>-2.72655513281186</v>
      </c>
      <c r="E381" s="0" t="str">
        <f aca="false">IF(OR(AND($B$9="superior",D381&gt;$B$10),AND($B$9="inferior",D381&lt;-$B$10)),"Rechazar H0","No rechazar H0")</f>
        <v>Rechazar H0</v>
      </c>
      <c r="F381" s="0" t="str">
        <f aca="false">IF(AND(B381="H0 verdadera",E381="Rechazar H0"),"Error tipo I",IF(AND(B381="Ha verdadera",E381="No rechazar H0"),"Error tipo II","Decisión correcta"))</f>
        <v>Decisión correcta</v>
      </c>
    </row>
    <row r="382" customFormat="false" ht="15" hidden="false" customHeight="false" outlineLevel="0" collapsed="false">
      <c r="A382" s="0" t="n">
        <v>361</v>
      </c>
      <c r="B382" s="0" t="s">
        <v>86</v>
      </c>
      <c r="C382" s="17" t="n">
        <v>-0.656464988869911</v>
      </c>
      <c r="D382" s="17" t="n">
        <f aca="false">(C382-$B$4)/($B$6/SQRT($B$7))</f>
        <v>-3.28232494434955</v>
      </c>
      <c r="E382" s="0" t="str">
        <f aca="false">IF(OR(AND($B$9="superior",D382&gt;$B$10),AND($B$9="inferior",D382&lt;-$B$10)),"Rechazar H0","No rechazar H0")</f>
        <v>Rechazar H0</v>
      </c>
      <c r="F382" s="0" t="str">
        <f aca="false">IF(AND(B382="H0 verdadera",E382="Rechazar H0"),"Error tipo I",IF(AND(B382="Ha verdadera",E382="No rechazar H0"),"Error tipo II","Decisión correcta"))</f>
        <v>Decisión correcta</v>
      </c>
    </row>
    <row r="383" customFormat="false" ht="15" hidden="false" customHeight="false" outlineLevel="0" collapsed="false">
      <c r="A383" s="0" t="n">
        <v>362</v>
      </c>
      <c r="B383" s="0" t="s">
        <v>85</v>
      </c>
      <c r="C383" s="17" t="n">
        <v>0.0933583466687367</v>
      </c>
      <c r="D383" s="17" t="n">
        <f aca="false">(C383-$B$4)/($B$6/SQRT($B$7))</f>
        <v>0.466791733343683</v>
      </c>
      <c r="E383" s="0" t="str">
        <f aca="false">IF(OR(AND($B$9="superior",D383&gt;$B$10),AND($B$9="inferior",D383&lt;-$B$10)),"Rechazar H0","No rechazar H0")</f>
        <v>No rechazar H0</v>
      </c>
      <c r="F383" s="0" t="str">
        <f aca="false">IF(AND(B383="H0 verdadera",E383="Rechazar H0"),"Error tipo I",IF(AND(B383="Ha verdadera",E383="No rechazar H0"),"Error tipo II","Decisión correcta"))</f>
        <v>Decisión correcta</v>
      </c>
    </row>
    <row r="384" customFormat="false" ht="15" hidden="false" customHeight="false" outlineLevel="0" collapsed="false">
      <c r="A384" s="0" t="n">
        <v>363</v>
      </c>
      <c r="B384" s="0" t="s">
        <v>86</v>
      </c>
      <c r="C384" s="17" t="n">
        <v>-0.791999292991678</v>
      </c>
      <c r="D384" s="17" t="n">
        <f aca="false">(C384-$B$4)/($B$6/SQRT($B$7))</f>
        <v>-3.95999646495839</v>
      </c>
      <c r="E384" s="0" t="str">
        <f aca="false">IF(OR(AND($B$9="superior",D384&gt;$B$10),AND($B$9="inferior",D384&lt;-$B$10)),"Rechazar H0","No rechazar H0")</f>
        <v>Rechazar H0</v>
      </c>
      <c r="F384" s="0" t="str">
        <f aca="false">IF(AND(B384="H0 verdadera",E384="Rechazar H0"),"Error tipo I",IF(AND(B384="Ha verdadera",E384="No rechazar H0"),"Error tipo II","Decisión correcta"))</f>
        <v>Decisión correcta</v>
      </c>
    </row>
    <row r="385" customFormat="false" ht="15" hidden="false" customHeight="false" outlineLevel="0" collapsed="false">
      <c r="A385" s="0" t="n">
        <v>364</v>
      </c>
      <c r="B385" s="0" t="s">
        <v>86</v>
      </c>
      <c r="C385" s="17" t="n">
        <v>-0.220366301450378</v>
      </c>
      <c r="D385" s="17" t="n">
        <f aca="false">(C385-$B$4)/($B$6/SQRT($B$7))</f>
        <v>-1.10183150725189</v>
      </c>
      <c r="E385" s="0" t="str">
        <f aca="false">IF(OR(AND($B$9="superior",D385&gt;$B$10),AND($B$9="inferior",D385&lt;-$B$10)),"Rechazar H0","No rechazar H0")</f>
        <v>No rechazar H0</v>
      </c>
      <c r="F385" s="0" t="str">
        <f aca="false">IF(AND(B385="H0 verdadera",E385="Rechazar H0"),"Error tipo I",IF(AND(B385="Ha verdadera",E385="No rechazar H0"),"Error tipo II","Decisión correcta"))</f>
        <v>Error tipo II</v>
      </c>
    </row>
    <row r="386" customFormat="false" ht="15" hidden="false" customHeight="false" outlineLevel="0" collapsed="false">
      <c r="A386" s="0" t="n">
        <v>365</v>
      </c>
      <c r="B386" s="0" t="s">
        <v>86</v>
      </c>
      <c r="C386" s="17" t="n">
        <v>-0.721101699736267</v>
      </c>
      <c r="D386" s="17" t="n">
        <f aca="false">(C386-$B$4)/($B$6/SQRT($B$7))</f>
        <v>-3.60550849868133</v>
      </c>
      <c r="E386" s="0" t="str">
        <f aca="false">IF(OR(AND($B$9="superior",D386&gt;$B$10),AND($B$9="inferior",D386&lt;-$B$10)),"Rechazar H0","No rechazar H0")</f>
        <v>Rechazar H0</v>
      </c>
      <c r="F386" s="0" t="str">
        <f aca="false">IF(AND(B386="H0 verdadera",E386="Rechazar H0"),"Error tipo I",IF(AND(B386="Ha verdadera",E386="No rechazar H0"),"Error tipo II","Decisión correcta"))</f>
        <v>Decisión correcta</v>
      </c>
    </row>
    <row r="387" customFormat="false" ht="15" hidden="false" customHeight="false" outlineLevel="0" collapsed="false">
      <c r="A387" s="0" t="n">
        <v>366</v>
      </c>
      <c r="B387" s="0" t="s">
        <v>85</v>
      </c>
      <c r="C387" s="17" t="n">
        <v>0.0306194463102707</v>
      </c>
      <c r="D387" s="17" t="n">
        <f aca="false">(C387-$B$4)/($B$6/SQRT($B$7))</f>
        <v>0.153097231551354</v>
      </c>
      <c r="E387" s="0" t="str">
        <f aca="false">IF(OR(AND($B$9="superior",D387&gt;$B$10),AND($B$9="inferior",D387&lt;-$B$10)),"Rechazar H0","No rechazar H0")</f>
        <v>No rechazar H0</v>
      </c>
      <c r="F387" s="0" t="str">
        <f aca="false">IF(AND(B387="H0 verdadera",E387="Rechazar H0"),"Error tipo I",IF(AND(B387="Ha verdadera",E387="No rechazar H0"),"Error tipo II","Decisión correcta"))</f>
        <v>Decisión correcta</v>
      </c>
    </row>
    <row r="388" customFormat="false" ht="15" hidden="false" customHeight="false" outlineLevel="0" collapsed="false">
      <c r="A388" s="0" t="n">
        <v>367</v>
      </c>
      <c r="B388" s="0" t="s">
        <v>86</v>
      </c>
      <c r="C388" s="17" t="n">
        <v>-0.161357908254705</v>
      </c>
      <c r="D388" s="17" t="n">
        <f aca="false">(C388-$B$4)/($B$6/SQRT($B$7))</f>
        <v>-0.806789541273523</v>
      </c>
      <c r="E388" s="0" t="str">
        <f aca="false">IF(OR(AND($B$9="superior",D388&gt;$B$10),AND($B$9="inferior",D388&lt;-$B$10)),"Rechazar H0","No rechazar H0")</f>
        <v>No rechazar H0</v>
      </c>
      <c r="F388" s="0" t="str">
        <f aca="false">IF(AND(B388="H0 verdadera",E388="Rechazar H0"),"Error tipo I",IF(AND(B388="Ha verdadera",E388="No rechazar H0"),"Error tipo II","Decisión correcta"))</f>
        <v>Error tipo II</v>
      </c>
    </row>
    <row r="389" customFormat="false" ht="15" hidden="false" customHeight="false" outlineLevel="0" collapsed="false">
      <c r="A389" s="0" t="n">
        <v>368</v>
      </c>
      <c r="B389" s="0" t="s">
        <v>85</v>
      </c>
      <c r="C389" s="17" t="n">
        <v>0.0058518238766283</v>
      </c>
      <c r="D389" s="17" t="n">
        <f aca="false">(C389-$B$4)/($B$6/SQRT($B$7))</f>
        <v>0.0292591193831415</v>
      </c>
      <c r="E389" s="0" t="str">
        <f aca="false">IF(OR(AND($B$9="superior",D389&gt;$B$10),AND($B$9="inferior",D389&lt;-$B$10)),"Rechazar H0","No rechazar H0")</f>
        <v>No rechazar H0</v>
      </c>
      <c r="F389" s="0" t="str">
        <f aca="false">IF(AND(B389="H0 verdadera",E389="Rechazar H0"),"Error tipo I",IF(AND(B389="Ha verdadera",E389="No rechazar H0"),"Error tipo II","Decisión correcta"))</f>
        <v>Decisión correcta</v>
      </c>
    </row>
    <row r="390" customFormat="false" ht="15" hidden="false" customHeight="false" outlineLevel="0" collapsed="false">
      <c r="A390" s="0" t="n">
        <v>369</v>
      </c>
      <c r="B390" s="0" t="s">
        <v>86</v>
      </c>
      <c r="C390" s="17" t="n">
        <v>-0.603350128862109</v>
      </c>
      <c r="D390" s="17" t="n">
        <f aca="false">(C390-$B$4)/($B$6/SQRT($B$7))</f>
        <v>-3.01675064431054</v>
      </c>
      <c r="E390" s="0" t="str">
        <f aca="false">IF(OR(AND($B$9="superior",D390&gt;$B$10),AND($B$9="inferior",D390&lt;-$B$10)),"Rechazar H0","No rechazar H0")</f>
        <v>Rechazar H0</v>
      </c>
      <c r="F390" s="0" t="str">
        <f aca="false">IF(AND(B390="H0 verdadera",E390="Rechazar H0"),"Error tipo I",IF(AND(B390="Ha verdadera",E390="No rechazar H0"),"Error tipo II","Decisión correcta"))</f>
        <v>Decisión correcta</v>
      </c>
    </row>
    <row r="391" customFormat="false" ht="15" hidden="false" customHeight="false" outlineLevel="0" collapsed="false">
      <c r="A391" s="0" t="n">
        <v>370</v>
      </c>
      <c r="B391" s="0" t="s">
        <v>85</v>
      </c>
      <c r="C391" s="17" t="n">
        <v>0.0291805854415849</v>
      </c>
      <c r="D391" s="17" t="n">
        <f aca="false">(C391-$B$4)/($B$6/SQRT($B$7))</f>
        <v>0.145902927207924</v>
      </c>
      <c r="E391" s="0" t="str">
        <f aca="false">IF(OR(AND($B$9="superior",D391&gt;$B$10),AND($B$9="inferior",D391&lt;-$B$10)),"Rechazar H0","No rechazar H0")</f>
        <v>No rechazar H0</v>
      </c>
      <c r="F391" s="0" t="str">
        <f aca="false">IF(AND(B391="H0 verdadera",E391="Rechazar H0"),"Error tipo I",IF(AND(B391="Ha verdadera",E391="No rechazar H0"),"Error tipo II","Decisión correcta"))</f>
        <v>Decisión correcta</v>
      </c>
    </row>
    <row r="392" customFormat="false" ht="15" hidden="false" customHeight="false" outlineLevel="0" collapsed="false">
      <c r="A392" s="0" t="n">
        <v>371</v>
      </c>
      <c r="B392" s="0" t="s">
        <v>85</v>
      </c>
      <c r="C392" s="17" t="n">
        <v>-0.0323451735682959</v>
      </c>
      <c r="D392" s="17" t="n">
        <f aca="false">(C392-$B$4)/($B$6/SQRT($B$7))</f>
        <v>-0.161725867841479</v>
      </c>
      <c r="E392" s="0" t="str">
        <f aca="false">IF(OR(AND($B$9="superior",D392&gt;$B$10),AND($B$9="inferior",D392&lt;-$B$10)),"Rechazar H0","No rechazar H0")</f>
        <v>No rechazar H0</v>
      </c>
      <c r="F392" s="0" t="str">
        <f aca="false">IF(AND(B392="H0 verdadera",E392="Rechazar H0"),"Error tipo I",IF(AND(B392="Ha verdadera",E392="No rechazar H0"),"Error tipo II","Decisión correcta"))</f>
        <v>Decisión correcta</v>
      </c>
    </row>
    <row r="393" customFormat="false" ht="15" hidden="false" customHeight="false" outlineLevel="0" collapsed="false">
      <c r="A393" s="0" t="n">
        <v>372</v>
      </c>
      <c r="B393" s="0" t="s">
        <v>85</v>
      </c>
      <c r="C393" s="17" t="n">
        <v>-0.103824455806762</v>
      </c>
      <c r="D393" s="17" t="n">
        <f aca="false">(C393-$B$4)/($B$6/SQRT($B$7))</f>
        <v>-0.519122279033809</v>
      </c>
      <c r="E393" s="0" t="str">
        <f aca="false">IF(OR(AND($B$9="superior",D393&gt;$B$10),AND($B$9="inferior",D393&lt;-$B$10)),"Rechazar H0","No rechazar H0")</f>
        <v>No rechazar H0</v>
      </c>
      <c r="F393" s="0" t="str">
        <f aca="false">IF(AND(B393="H0 verdadera",E393="Rechazar H0"),"Error tipo I",IF(AND(B393="Ha verdadera",E393="No rechazar H0"),"Error tipo II","Decisión correcta"))</f>
        <v>Decisión correcta</v>
      </c>
    </row>
    <row r="394" customFormat="false" ht="15" hidden="false" customHeight="false" outlineLevel="0" collapsed="false">
      <c r="A394" s="0" t="n">
        <v>373</v>
      </c>
      <c r="B394" s="0" t="s">
        <v>86</v>
      </c>
      <c r="C394" s="17" t="n">
        <v>-0.506921800880436</v>
      </c>
      <c r="D394" s="17" t="n">
        <f aca="false">(C394-$B$4)/($B$6/SQRT($B$7))</f>
        <v>-2.53460900440218</v>
      </c>
      <c r="E394" s="0" t="str">
        <f aca="false">IF(OR(AND($B$9="superior",D394&gt;$B$10),AND($B$9="inferior",D394&lt;-$B$10)),"Rechazar H0","No rechazar H0")</f>
        <v>Rechazar H0</v>
      </c>
      <c r="F394" s="0" t="str">
        <f aca="false">IF(AND(B394="H0 verdadera",E394="Rechazar H0"),"Error tipo I",IF(AND(B394="Ha verdadera",E394="No rechazar H0"),"Error tipo II","Decisión correcta"))</f>
        <v>Decisión correcta</v>
      </c>
    </row>
    <row r="395" customFormat="false" ht="15" hidden="false" customHeight="false" outlineLevel="0" collapsed="false">
      <c r="A395" s="0" t="n">
        <v>374</v>
      </c>
      <c r="B395" s="0" t="s">
        <v>85</v>
      </c>
      <c r="C395" s="17" t="n">
        <v>0.0873758663337338</v>
      </c>
      <c r="D395" s="17" t="n">
        <f aca="false">(C395-$B$4)/($B$6/SQRT($B$7))</f>
        <v>0.436879331668669</v>
      </c>
      <c r="E395" s="0" t="str">
        <f aca="false">IF(OR(AND($B$9="superior",D395&gt;$B$10),AND($B$9="inferior",D395&lt;-$B$10)),"Rechazar H0","No rechazar H0")</f>
        <v>No rechazar H0</v>
      </c>
      <c r="F395" s="0" t="str">
        <f aca="false">IF(AND(B395="H0 verdadera",E395="Rechazar H0"),"Error tipo I",IF(AND(B395="Ha verdadera",E395="No rechazar H0"),"Error tipo II","Decisión correcta"))</f>
        <v>Decisión correcta</v>
      </c>
    </row>
    <row r="396" customFormat="false" ht="15" hidden="false" customHeight="false" outlineLevel="0" collapsed="false">
      <c r="A396" s="0" t="n">
        <v>375</v>
      </c>
      <c r="B396" s="0" t="s">
        <v>86</v>
      </c>
      <c r="C396" s="17" t="n">
        <v>-0.49861072640622</v>
      </c>
      <c r="D396" s="17" t="n">
        <f aca="false">(C396-$B$4)/($B$6/SQRT($B$7))</f>
        <v>-2.4930536320311</v>
      </c>
      <c r="E396" s="0" t="str">
        <f aca="false">IF(OR(AND($B$9="superior",D396&gt;$B$10),AND($B$9="inferior",D396&lt;-$B$10)),"Rechazar H0","No rechazar H0")</f>
        <v>Rechazar H0</v>
      </c>
      <c r="F396" s="0" t="str">
        <f aca="false">IF(AND(B396="H0 verdadera",E396="Rechazar H0"),"Error tipo I",IF(AND(B396="Ha verdadera",E396="No rechazar H0"),"Error tipo II","Decisión correcta"))</f>
        <v>Decisión correcta</v>
      </c>
    </row>
    <row r="397" customFormat="false" ht="15" hidden="false" customHeight="false" outlineLevel="0" collapsed="false">
      <c r="A397" s="0" t="n">
        <v>376</v>
      </c>
      <c r="B397" s="0" t="s">
        <v>85</v>
      </c>
      <c r="C397" s="17" t="n">
        <v>-0.531601678065917</v>
      </c>
      <c r="D397" s="17" t="n">
        <f aca="false">(C397-$B$4)/($B$6/SQRT($B$7))</f>
        <v>-2.65800839032959</v>
      </c>
      <c r="E397" s="0" t="str">
        <f aca="false">IF(OR(AND($B$9="superior",D397&gt;$B$10),AND($B$9="inferior",D397&lt;-$B$10)),"Rechazar H0","No rechazar H0")</f>
        <v>Rechazar H0</v>
      </c>
      <c r="F397" s="0" t="str">
        <f aca="false">IF(AND(B397="H0 verdadera",E397="Rechazar H0"),"Error tipo I",IF(AND(B397="Ha verdadera",E397="No rechazar H0"),"Error tipo II","Decisión correcta"))</f>
        <v>Error tipo I</v>
      </c>
    </row>
    <row r="398" customFormat="false" ht="15" hidden="false" customHeight="false" outlineLevel="0" collapsed="false">
      <c r="A398" s="0" t="n">
        <v>377</v>
      </c>
      <c r="B398" s="0" t="s">
        <v>86</v>
      </c>
      <c r="C398" s="17" t="n">
        <v>-0.740458543300397</v>
      </c>
      <c r="D398" s="17" t="n">
        <f aca="false">(C398-$B$4)/($B$6/SQRT($B$7))</f>
        <v>-3.70229271650199</v>
      </c>
      <c r="E398" s="0" t="str">
        <f aca="false">IF(OR(AND($B$9="superior",D398&gt;$B$10),AND($B$9="inferior",D398&lt;-$B$10)),"Rechazar H0","No rechazar H0")</f>
        <v>Rechazar H0</v>
      </c>
      <c r="F398" s="0" t="str">
        <f aca="false">IF(AND(B398="H0 verdadera",E398="Rechazar H0"),"Error tipo I",IF(AND(B398="Ha verdadera",E398="No rechazar H0"),"Error tipo II","Decisión correcta"))</f>
        <v>Decisión correcta</v>
      </c>
    </row>
    <row r="399" customFormat="false" ht="15" hidden="false" customHeight="false" outlineLevel="0" collapsed="false">
      <c r="A399" s="0" t="n">
        <v>378</v>
      </c>
      <c r="B399" s="0" t="s">
        <v>85</v>
      </c>
      <c r="C399" s="17" t="n">
        <v>0.355455340960608</v>
      </c>
      <c r="D399" s="17" t="n">
        <f aca="false">(C399-$B$4)/($B$6/SQRT($B$7))</f>
        <v>1.77727670480304</v>
      </c>
      <c r="E399" s="0" t="str">
        <f aca="false">IF(OR(AND($B$9="superior",D399&gt;$B$10),AND($B$9="inferior",D399&lt;-$B$10)),"Rechazar H0","No rechazar H0")</f>
        <v>No rechazar H0</v>
      </c>
      <c r="F399" s="0" t="str">
        <f aca="false">IF(AND(B399="H0 verdadera",E399="Rechazar H0"),"Error tipo I",IF(AND(B399="Ha verdadera",E399="No rechazar H0"),"Error tipo II","Decisión correcta"))</f>
        <v>Decisión correcta</v>
      </c>
    </row>
    <row r="400" customFormat="false" ht="15" hidden="false" customHeight="false" outlineLevel="0" collapsed="false">
      <c r="A400" s="0" t="n">
        <v>379</v>
      </c>
      <c r="B400" s="0" t="s">
        <v>85</v>
      </c>
      <c r="C400" s="17" t="n">
        <v>-0.217143992916601</v>
      </c>
      <c r="D400" s="17" t="n">
        <f aca="false">(C400-$B$4)/($B$6/SQRT($B$7))</f>
        <v>-1.08571996458301</v>
      </c>
      <c r="E400" s="0" t="str">
        <f aca="false">IF(OR(AND($B$9="superior",D400&gt;$B$10),AND($B$9="inferior",D400&lt;-$B$10)),"Rechazar H0","No rechazar H0")</f>
        <v>No rechazar H0</v>
      </c>
      <c r="F400" s="0" t="str">
        <f aca="false">IF(AND(B400="H0 verdadera",E400="Rechazar H0"),"Error tipo I",IF(AND(B400="Ha verdadera",E400="No rechazar H0"),"Error tipo II","Decisión correcta"))</f>
        <v>Decisión correcta</v>
      </c>
    </row>
    <row r="401" customFormat="false" ht="15" hidden="false" customHeight="false" outlineLevel="0" collapsed="false">
      <c r="A401" s="0" t="n">
        <v>380</v>
      </c>
      <c r="B401" s="0" t="s">
        <v>86</v>
      </c>
      <c r="C401" s="17" t="n">
        <v>-0.113699812756133</v>
      </c>
      <c r="D401" s="17" t="n">
        <f aca="false">(C401-$B$4)/($B$6/SQRT($B$7))</f>
        <v>-0.568499063780667</v>
      </c>
      <c r="E401" s="0" t="str">
        <f aca="false">IF(OR(AND($B$9="superior",D401&gt;$B$10),AND($B$9="inferior",D401&lt;-$B$10)),"Rechazar H0","No rechazar H0")</f>
        <v>No rechazar H0</v>
      </c>
      <c r="F401" s="0" t="str">
        <f aca="false">IF(AND(B401="H0 verdadera",E401="Rechazar H0"),"Error tipo I",IF(AND(B401="Ha verdadera",E401="No rechazar H0"),"Error tipo II","Decisión correcta"))</f>
        <v>Error tipo II</v>
      </c>
    </row>
    <row r="402" customFormat="false" ht="15" hidden="false" customHeight="false" outlineLevel="0" collapsed="false">
      <c r="A402" s="0" t="n">
        <v>381</v>
      </c>
      <c r="B402" s="0" t="s">
        <v>85</v>
      </c>
      <c r="C402" s="17" t="n">
        <v>-0.057339496415252</v>
      </c>
      <c r="D402" s="17" t="n">
        <f aca="false">(C402-$B$4)/($B$6/SQRT($B$7))</f>
        <v>-0.28669748207626</v>
      </c>
      <c r="E402" s="0" t="str">
        <f aca="false">IF(OR(AND($B$9="superior",D402&gt;$B$10),AND($B$9="inferior",D402&lt;-$B$10)),"Rechazar H0","No rechazar H0")</f>
        <v>No rechazar H0</v>
      </c>
      <c r="F402" s="0" t="str">
        <f aca="false">IF(AND(B402="H0 verdadera",E402="Rechazar H0"),"Error tipo I",IF(AND(B402="Ha verdadera",E402="No rechazar H0"),"Error tipo II","Decisión correcta"))</f>
        <v>Decisión correcta</v>
      </c>
    </row>
    <row r="403" customFormat="false" ht="15" hidden="false" customHeight="false" outlineLevel="0" collapsed="false">
      <c r="A403" s="0" t="n">
        <v>382</v>
      </c>
      <c r="B403" s="0" t="s">
        <v>86</v>
      </c>
      <c r="C403" s="17" t="n">
        <v>-0.179067472428306</v>
      </c>
      <c r="D403" s="17" t="n">
        <f aca="false">(C403-$B$4)/($B$6/SQRT($B$7))</f>
        <v>-0.895337362141531</v>
      </c>
      <c r="E403" s="0" t="str">
        <f aca="false">IF(OR(AND($B$9="superior",D403&gt;$B$10),AND($B$9="inferior",D403&lt;-$B$10)),"Rechazar H0","No rechazar H0")</f>
        <v>No rechazar H0</v>
      </c>
      <c r="F403" s="0" t="str">
        <f aca="false">IF(AND(B403="H0 verdadera",E403="Rechazar H0"),"Error tipo I",IF(AND(B403="Ha verdadera",E403="No rechazar H0"),"Error tipo II","Decisión correcta"))</f>
        <v>Error tipo II</v>
      </c>
    </row>
    <row r="404" customFormat="false" ht="15" hidden="false" customHeight="false" outlineLevel="0" collapsed="false">
      <c r="A404" s="0" t="n">
        <v>383</v>
      </c>
      <c r="B404" s="0" t="s">
        <v>85</v>
      </c>
      <c r="C404" s="17" t="n">
        <v>0.0401146817881286</v>
      </c>
      <c r="D404" s="17" t="n">
        <f aca="false">(C404-$B$4)/($B$6/SQRT($B$7))</f>
        <v>0.200573408940643</v>
      </c>
      <c r="E404" s="0" t="str">
        <f aca="false">IF(OR(AND($B$9="superior",D404&gt;$B$10),AND($B$9="inferior",D404&lt;-$B$10)),"Rechazar H0","No rechazar H0")</f>
        <v>No rechazar H0</v>
      </c>
      <c r="F404" s="0" t="str">
        <f aca="false">IF(AND(B404="H0 verdadera",E404="Rechazar H0"),"Error tipo I",IF(AND(B404="Ha verdadera",E404="No rechazar H0"),"Error tipo II","Decisión correcta"))</f>
        <v>Decisión correcta</v>
      </c>
    </row>
    <row r="405" customFormat="false" ht="15" hidden="false" customHeight="false" outlineLevel="0" collapsed="false">
      <c r="A405" s="0" t="n">
        <v>384</v>
      </c>
      <c r="B405" s="0" t="s">
        <v>85</v>
      </c>
      <c r="C405" s="17" t="n">
        <v>-0.298048075665763</v>
      </c>
      <c r="D405" s="17" t="n">
        <f aca="false">(C405-$B$4)/($B$6/SQRT($B$7))</f>
        <v>-1.49024037832881</v>
      </c>
      <c r="E405" s="0" t="str">
        <f aca="false">IF(OR(AND($B$9="superior",D405&gt;$B$10),AND($B$9="inferior",D405&lt;-$B$10)),"Rechazar H0","No rechazar H0")</f>
        <v>No rechazar H0</v>
      </c>
      <c r="F405" s="0" t="str">
        <f aca="false">IF(AND(B405="H0 verdadera",E405="Rechazar H0"),"Error tipo I",IF(AND(B405="Ha verdadera",E405="No rechazar H0"),"Error tipo II","Decisión correcta"))</f>
        <v>Decisión correcta</v>
      </c>
    </row>
    <row r="406" customFormat="false" ht="15" hidden="false" customHeight="false" outlineLevel="0" collapsed="false">
      <c r="A406" s="0" t="n">
        <v>385</v>
      </c>
      <c r="B406" s="0" t="s">
        <v>85</v>
      </c>
      <c r="C406" s="17" t="n">
        <v>-0.403809980416605</v>
      </c>
      <c r="D406" s="17" t="n">
        <f aca="false">(C406-$B$4)/($B$6/SQRT($B$7))</f>
        <v>-2.01904990208303</v>
      </c>
      <c r="E406" s="0" t="str">
        <f aca="false">IF(OR(AND($B$9="superior",D406&gt;$B$10),AND($B$9="inferior",D406&lt;-$B$10)),"Rechazar H0","No rechazar H0")</f>
        <v>Rechazar H0</v>
      </c>
      <c r="F406" s="0" t="str">
        <f aca="false">IF(AND(B406="H0 verdadera",E406="Rechazar H0"),"Error tipo I",IF(AND(B406="Ha verdadera",E406="No rechazar H0"),"Error tipo II","Decisión correcta"))</f>
        <v>Error tipo I</v>
      </c>
    </row>
    <row r="407" customFormat="false" ht="15" hidden="false" customHeight="false" outlineLevel="0" collapsed="false">
      <c r="A407" s="0" t="n">
        <v>386</v>
      </c>
      <c r="B407" s="0" t="s">
        <v>85</v>
      </c>
      <c r="C407" s="17" t="n">
        <v>0.100423543779572</v>
      </c>
      <c r="D407" s="17" t="n">
        <f aca="false">(C407-$B$4)/($B$6/SQRT($B$7))</f>
        <v>0.502117718897861</v>
      </c>
      <c r="E407" s="0" t="str">
        <f aca="false">IF(OR(AND($B$9="superior",D407&gt;$B$10),AND($B$9="inferior",D407&lt;-$B$10)),"Rechazar H0","No rechazar H0")</f>
        <v>No rechazar H0</v>
      </c>
      <c r="F407" s="0" t="str">
        <f aca="false">IF(AND(B407="H0 verdadera",E407="Rechazar H0"),"Error tipo I",IF(AND(B407="Ha verdadera",E407="No rechazar H0"),"Error tipo II","Decisión correcta"))</f>
        <v>Decisión correcta</v>
      </c>
    </row>
    <row r="408" customFormat="false" ht="15" hidden="false" customHeight="false" outlineLevel="0" collapsed="false">
      <c r="A408" s="0" t="n">
        <v>387</v>
      </c>
      <c r="B408" s="0" t="s">
        <v>85</v>
      </c>
      <c r="C408" s="17" t="n">
        <v>0.05463914172682</v>
      </c>
      <c r="D408" s="17" t="n">
        <f aca="false">(C408-$B$4)/($B$6/SQRT($B$7))</f>
        <v>0.2731957086341</v>
      </c>
      <c r="E408" s="0" t="str">
        <f aca="false">IF(OR(AND($B$9="superior",D408&gt;$B$10),AND($B$9="inferior",D408&lt;-$B$10)),"Rechazar H0","No rechazar H0")</f>
        <v>No rechazar H0</v>
      </c>
      <c r="F408" s="0" t="str">
        <f aca="false">IF(AND(B408="H0 verdadera",E408="Rechazar H0"),"Error tipo I",IF(AND(B408="Ha verdadera",E408="No rechazar H0"),"Error tipo II","Decisión correcta"))</f>
        <v>Decisión correcta</v>
      </c>
    </row>
    <row r="409" customFormat="false" ht="15" hidden="false" customHeight="false" outlineLevel="0" collapsed="false">
      <c r="A409" s="0" t="n">
        <v>388</v>
      </c>
      <c r="B409" s="0" t="s">
        <v>86</v>
      </c>
      <c r="C409" s="17" t="n">
        <v>-0.381572375478044</v>
      </c>
      <c r="D409" s="17" t="n">
        <f aca="false">(C409-$B$4)/($B$6/SQRT($B$7))</f>
        <v>-1.90786187739022</v>
      </c>
      <c r="E409" s="0" t="str">
        <f aca="false">IF(OR(AND($B$9="superior",D409&gt;$B$10),AND($B$9="inferior",D409&lt;-$B$10)),"Rechazar H0","No rechazar H0")</f>
        <v>Rechazar H0</v>
      </c>
      <c r="F409" s="0" t="str">
        <f aca="false">IF(AND(B409="H0 verdadera",E409="Rechazar H0"),"Error tipo I",IF(AND(B409="Ha verdadera",E409="No rechazar H0"),"Error tipo II","Decisión correcta"))</f>
        <v>Decisión correcta</v>
      </c>
    </row>
    <row r="410" customFormat="false" ht="15" hidden="false" customHeight="false" outlineLevel="0" collapsed="false">
      <c r="A410" s="0" t="n">
        <v>389</v>
      </c>
      <c r="B410" s="0" t="s">
        <v>86</v>
      </c>
      <c r="C410" s="17" t="n">
        <v>-0.57053679438208</v>
      </c>
      <c r="D410" s="17" t="n">
        <f aca="false">(C410-$B$4)/($B$6/SQRT($B$7))</f>
        <v>-2.8526839719104</v>
      </c>
      <c r="E410" s="0" t="str">
        <f aca="false">IF(OR(AND($B$9="superior",D410&gt;$B$10),AND($B$9="inferior",D410&lt;-$B$10)),"Rechazar H0","No rechazar H0")</f>
        <v>Rechazar H0</v>
      </c>
      <c r="F410" s="0" t="str">
        <f aca="false">IF(AND(B410="H0 verdadera",E410="Rechazar H0"),"Error tipo I",IF(AND(B410="Ha verdadera",E410="No rechazar H0"),"Error tipo II","Decisión correcta"))</f>
        <v>Decisión correcta</v>
      </c>
    </row>
    <row r="411" customFormat="false" ht="15" hidden="false" customHeight="false" outlineLevel="0" collapsed="false">
      <c r="A411" s="0" t="n">
        <v>390</v>
      </c>
      <c r="B411" s="0" t="s">
        <v>85</v>
      </c>
      <c r="C411" s="17" t="n">
        <v>-0.0577264545087158</v>
      </c>
      <c r="D411" s="17" t="n">
        <f aca="false">(C411-$B$4)/($B$6/SQRT($B$7))</f>
        <v>-0.288632272543579</v>
      </c>
      <c r="E411" s="0" t="str">
        <f aca="false">IF(OR(AND($B$9="superior",D411&gt;$B$10),AND($B$9="inferior",D411&lt;-$B$10)),"Rechazar H0","No rechazar H0")</f>
        <v>No rechazar H0</v>
      </c>
      <c r="F411" s="0" t="str">
        <f aca="false">IF(AND(B411="H0 verdadera",E411="Rechazar H0"),"Error tipo I",IF(AND(B411="Ha verdadera",E411="No rechazar H0"),"Error tipo II","Decisión correcta"))</f>
        <v>Decisión correcta</v>
      </c>
    </row>
    <row r="412" customFormat="false" ht="15" hidden="false" customHeight="false" outlineLevel="0" collapsed="false">
      <c r="A412" s="0" t="n">
        <v>391</v>
      </c>
      <c r="B412" s="0" t="s">
        <v>86</v>
      </c>
      <c r="C412" s="17" t="n">
        <v>-0.19470241635505</v>
      </c>
      <c r="D412" s="17" t="n">
        <f aca="false">(C412-$B$4)/($B$6/SQRT($B$7))</f>
        <v>-0.973512081775248</v>
      </c>
      <c r="E412" s="0" t="str">
        <f aca="false">IF(OR(AND($B$9="superior",D412&gt;$B$10),AND($B$9="inferior",D412&lt;-$B$10)),"Rechazar H0","No rechazar H0")</f>
        <v>No rechazar H0</v>
      </c>
      <c r="F412" s="0" t="str">
        <f aca="false">IF(AND(B412="H0 verdadera",E412="Rechazar H0"),"Error tipo I",IF(AND(B412="Ha verdadera",E412="No rechazar H0"),"Error tipo II","Decisión correcta"))</f>
        <v>Error tipo II</v>
      </c>
    </row>
    <row r="413" customFormat="false" ht="15" hidden="false" customHeight="false" outlineLevel="0" collapsed="false">
      <c r="A413" s="0" t="n">
        <v>392</v>
      </c>
      <c r="B413" s="0" t="s">
        <v>85</v>
      </c>
      <c r="C413" s="17" t="n">
        <v>0.0462912305468197</v>
      </c>
      <c r="D413" s="17" t="n">
        <f aca="false">(C413-$B$4)/($B$6/SQRT($B$7))</f>
        <v>0.231456152734099</v>
      </c>
      <c r="E413" s="0" t="str">
        <f aca="false">IF(OR(AND($B$9="superior",D413&gt;$B$10),AND($B$9="inferior",D413&lt;-$B$10)),"Rechazar H0","No rechazar H0")</f>
        <v>No rechazar H0</v>
      </c>
      <c r="F413" s="0" t="str">
        <f aca="false">IF(AND(B413="H0 verdadera",E413="Rechazar H0"),"Error tipo I",IF(AND(B413="Ha verdadera",E413="No rechazar H0"),"Error tipo II","Decisión correcta"))</f>
        <v>Decisión correcta</v>
      </c>
    </row>
    <row r="414" customFormat="false" ht="15" hidden="false" customHeight="false" outlineLevel="0" collapsed="false">
      <c r="A414" s="0" t="n">
        <v>393</v>
      </c>
      <c r="B414" s="0" t="s">
        <v>86</v>
      </c>
      <c r="C414" s="17" t="n">
        <v>-0.555128965212822</v>
      </c>
      <c r="D414" s="17" t="n">
        <f aca="false">(C414-$B$4)/($B$6/SQRT($B$7))</f>
        <v>-2.77564482606411</v>
      </c>
      <c r="E414" s="0" t="str">
        <f aca="false">IF(OR(AND($B$9="superior",D414&gt;$B$10),AND($B$9="inferior",D414&lt;-$B$10)),"Rechazar H0","No rechazar H0")</f>
        <v>Rechazar H0</v>
      </c>
      <c r="F414" s="0" t="str">
        <f aca="false">IF(AND(B414="H0 verdadera",E414="Rechazar H0"),"Error tipo I",IF(AND(B414="Ha verdadera",E414="No rechazar H0"),"Error tipo II","Decisión correcta"))</f>
        <v>Decisión correcta</v>
      </c>
    </row>
    <row r="415" customFormat="false" ht="15" hidden="false" customHeight="false" outlineLevel="0" collapsed="false">
      <c r="A415" s="0" t="n">
        <v>394</v>
      </c>
      <c r="B415" s="0" t="s">
        <v>85</v>
      </c>
      <c r="C415" s="17" t="n">
        <v>0.00751574092665926</v>
      </c>
      <c r="D415" s="17" t="n">
        <f aca="false">(C415-$B$4)/($B$6/SQRT($B$7))</f>
        <v>0.0375787046332963</v>
      </c>
      <c r="E415" s="0" t="str">
        <f aca="false">IF(OR(AND($B$9="superior",D415&gt;$B$10),AND($B$9="inferior",D415&lt;-$B$10)),"Rechazar H0","No rechazar H0")</f>
        <v>No rechazar H0</v>
      </c>
      <c r="F415" s="0" t="str">
        <f aca="false">IF(AND(B415="H0 verdadera",E415="Rechazar H0"),"Error tipo I",IF(AND(B415="Ha verdadera",E415="No rechazar H0"),"Error tipo II","Decisión correcta"))</f>
        <v>Decisión correcta</v>
      </c>
    </row>
    <row r="416" customFormat="false" ht="15" hidden="false" customHeight="false" outlineLevel="0" collapsed="false">
      <c r="A416" s="0" t="n">
        <v>395</v>
      </c>
      <c r="B416" s="0" t="s">
        <v>86</v>
      </c>
      <c r="C416" s="17" t="n">
        <v>-0.491957686092964</v>
      </c>
      <c r="D416" s="17" t="n">
        <f aca="false">(C416-$B$4)/($B$6/SQRT($B$7))</f>
        <v>-2.45978843046482</v>
      </c>
      <c r="E416" s="0" t="str">
        <f aca="false">IF(OR(AND($B$9="superior",D416&gt;$B$10),AND($B$9="inferior",D416&lt;-$B$10)),"Rechazar H0","No rechazar H0")</f>
        <v>Rechazar H0</v>
      </c>
      <c r="F416" s="0" t="str">
        <f aca="false">IF(AND(B416="H0 verdadera",E416="Rechazar H0"),"Error tipo I",IF(AND(B416="Ha verdadera",E416="No rechazar H0"),"Error tipo II","Decisión correcta"))</f>
        <v>Decisión correcta</v>
      </c>
    </row>
    <row r="417" customFormat="false" ht="15" hidden="false" customHeight="false" outlineLevel="0" collapsed="false">
      <c r="A417" s="0" t="n">
        <v>396</v>
      </c>
      <c r="B417" s="0" t="s">
        <v>86</v>
      </c>
      <c r="C417" s="17" t="n">
        <v>-0.419041798362868</v>
      </c>
      <c r="D417" s="17" t="n">
        <f aca="false">(C417-$B$4)/($B$6/SQRT($B$7))</f>
        <v>-2.09520899181434</v>
      </c>
      <c r="E417" s="0" t="str">
        <f aca="false">IF(OR(AND($B$9="superior",D417&gt;$B$10),AND($B$9="inferior",D417&lt;-$B$10)),"Rechazar H0","No rechazar H0")</f>
        <v>Rechazar H0</v>
      </c>
      <c r="F417" s="0" t="str">
        <f aca="false">IF(AND(B417="H0 verdadera",E417="Rechazar H0"),"Error tipo I",IF(AND(B417="Ha verdadera",E417="No rechazar H0"),"Error tipo II","Decisión correcta"))</f>
        <v>Decisión correcta</v>
      </c>
    </row>
    <row r="418" customFormat="false" ht="15" hidden="false" customHeight="false" outlineLevel="0" collapsed="false">
      <c r="A418" s="0" t="n">
        <v>397</v>
      </c>
      <c r="B418" s="0" t="s">
        <v>85</v>
      </c>
      <c r="C418" s="17" t="n">
        <v>-0.262529349773696</v>
      </c>
      <c r="D418" s="17" t="n">
        <f aca="false">(C418-$B$4)/($B$6/SQRT($B$7))</f>
        <v>-1.31264674886848</v>
      </c>
      <c r="E418" s="0" t="str">
        <f aca="false">IF(OR(AND($B$9="superior",D418&gt;$B$10),AND($B$9="inferior",D418&lt;-$B$10)),"Rechazar H0","No rechazar H0")</f>
        <v>No rechazar H0</v>
      </c>
      <c r="F418" s="0" t="str">
        <f aca="false">IF(AND(B418="H0 verdadera",E418="Rechazar H0"),"Error tipo I",IF(AND(B418="Ha verdadera",E418="No rechazar H0"),"Error tipo II","Decisión correcta"))</f>
        <v>Decisión correcta</v>
      </c>
    </row>
    <row r="419" customFormat="false" ht="15" hidden="false" customHeight="false" outlineLevel="0" collapsed="false">
      <c r="A419" s="0" t="n">
        <v>398</v>
      </c>
      <c r="B419" s="0" t="s">
        <v>86</v>
      </c>
      <c r="C419" s="17" t="n">
        <v>-0.43446180627073</v>
      </c>
      <c r="D419" s="17" t="n">
        <f aca="false">(C419-$B$4)/($B$6/SQRT($B$7))</f>
        <v>-2.17230903135365</v>
      </c>
      <c r="E419" s="0" t="str">
        <f aca="false">IF(OR(AND($B$9="superior",D419&gt;$B$10),AND($B$9="inferior",D419&lt;-$B$10)),"Rechazar H0","No rechazar H0")</f>
        <v>Rechazar H0</v>
      </c>
      <c r="F419" s="0" t="str">
        <f aca="false">IF(AND(B419="H0 verdadera",E419="Rechazar H0"),"Error tipo I",IF(AND(B419="Ha verdadera",E419="No rechazar H0"),"Error tipo II","Decisión correcta"))</f>
        <v>Decisión correcta</v>
      </c>
    </row>
    <row r="420" customFormat="false" ht="15" hidden="false" customHeight="false" outlineLevel="0" collapsed="false">
      <c r="A420" s="0" t="n">
        <v>399</v>
      </c>
      <c r="B420" s="0" t="s">
        <v>86</v>
      </c>
      <c r="C420" s="17" t="n">
        <v>-0.312950053828771</v>
      </c>
      <c r="D420" s="17" t="n">
        <f aca="false">(C420-$B$4)/($B$6/SQRT($B$7))</f>
        <v>-1.56475026914385</v>
      </c>
      <c r="E420" s="0" t="str">
        <f aca="false">IF(OR(AND($B$9="superior",D420&gt;$B$10),AND($B$9="inferior",D420&lt;-$B$10)),"Rechazar H0","No rechazar H0")</f>
        <v>No rechazar H0</v>
      </c>
      <c r="F420" s="0" t="str">
        <f aca="false">IF(AND(B420="H0 verdadera",E420="Rechazar H0"),"Error tipo I",IF(AND(B420="Ha verdadera",E420="No rechazar H0"),"Error tipo II","Decisión correcta"))</f>
        <v>Error tipo II</v>
      </c>
    </row>
    <row r="421" customFormat="false" ht="15" hidden="false" customHeight="false" outlineLevel="0" collapsed="false">
      <c r="A421" s="0" t="n">
        <v>400</v>
      </c>
      <c r="B421" s="0" t="s">
        <v>86</v>
      </c>
      <c r="C421" s="17" t="n">
        <v>-0.166057332348937</v>
      </c>
      <c r="D421" s="17" t="n">
        <f aca="false">(C421-$B$4)/($B$6/SQRT($B$7))</f>
        <v>-0.830286661744684</v>
      </c>
      <c r="E421" s="0" t="str">
        <f aca="false">IF(OR(AND($B$9="superior",D421&gt;$B$10),AND($B$9="inferior",D421&lt;-$B$10)),"Rechazar H0","No rechazar H0")</f>
        <v>No rechazar H0</v>
      </c>
      <c r="F421" s="0" t="str">
        <f aca="false">IF(AND(B421="H0 verdadera",E421="Rechazar H0"),"Error tipo I",IF(AND(B421="Ha verdadera",E421="No rechazar H0"),"Error tipo II","Decisión correcta"))</f>
        <v>Error tipo II</v>
      </c>
    </row>
    <row r="422" customFormat="false" ht="15" hidden="false" customHeight="false" outlineLevel="0" collapsed="false">
      <c r="A422" s="0" t="n">
        <v>401</v>
      </c>
      <c r="B422" s="0" t="s">
        <v>85</v>
      </c>
      <c r="C422" s="17" t="n">
        <v>0.344125810603997</v>
      </c>
      <c r="D422" s="17" t="n">
        <f aca="false">(C422-$B$4)/($B$6/SQRT($B$7))</f>
        <v>1.72062905301999</v>
      </c>
      <c r="E422" s="0" t="str">
        <f aca="false">IF(OR(AND($B$9="superior",D422&gt;$B$10),AND($B$9="inferior",D422&lt;-$B$10)),"Rechazar H0","No rechazar H0")</f>
        <v>No rechazar H0</v>
      </c>
      <c r="F422" s="0" t="str">
        <f aca="false">IF(AND(B422="H0 verdadera",E422="Rechazar H0"),"Error tipo I",IF(AND(B422="Ha verdadera",E422="No rechazar H0"),"Error tipo II","Decisión correcta"))</f>
        <v>Decisión correcta</v>
      </c>
    </row>
    <row r="423" customFormat="false" ht="15" hidden="false" customHeight="false" outlineLevel="0" collapsed="false">
      <c r="A423" s="0" t="n">
        <v>402</v>
      </c>
      <c r="B423" s="0" t="s">
        <v>85</v>
      </c>
      <c r="C423" s="17" t="n">
        <v>-0.111989869315593</v>
      </c>
      <c r="D423" s="17" t="n">
        <f aca="false">(C423-$B$4)/($B$6/SQRT($B$7))</f>
        <v>-0.559949346577966</v>
      </c>
      <c r="E423" s="0" t="str">
        <f aca="false">IF(OR(AND($B$9="superior",D423&gt;$B$10),AND($B$9="inferior",D423&lt;-$B$10)),"Rechazar H0","No rechazar H0")</f>
        <v>No rechazar H0</v>
      </c>
      <c r="F423" s="0" t="str">
        <f aca="false">IF(AND(B423="H0 verdadera",E423="Rechazar H0"),"Error tipo I",IF(AND(B423="Ha verdadera",E423="No rechazar H0"),"Error tipo II","Decisión correcta"))</f>
        <v>Decisión correcta</v>
      </c>
    </row>
    <row r="424" customFormat="false" ht="15" hidden="false" customHeight="false" outlineLevel="0" collapsed="false">
      <c r="A424" s="0" t="n">
        <v>403</v>
      </c>
      <c r="B424" s="0" t="s">
        <v>85</v>
      </c>
      <c r="C424" s="17" t="n">
        <v>0.221804252218585</v>
      </c>
      <c r="D424" s="17" t="n">
        <f aca="false">(C424-$B$4)/($B$6/SQRT($B$7))</f>
        <v>1.10902126109293</v>
      </c>
      <c r="E424" s="0" t="str">
        <f aca="false">IF(OR(AND($B$9="superior",D424&gt;$B$10),AND($B$9="inferior",D424&lt;-$B$10)),"Rechazar H0","No rechazar H0")</f>
        <v>No rechazar H0</v>
      </c>
      <c r="F424" s="0" t="str">
        <f aca="false">IF(AND(B424="H0 verdadera",E424="Rechazar H0"),"Error tipo I",IF(AND(B424="Ha verdadera",E424="No rechazar H0"),"Error tipo II","Decisión correcta"))</f>
        <v>Decisión correcta</v>
      </c>
    </row>
    <row r="425" customFormat="false" ht="15" hidden="false" customHeight="false" outlineLevel="0" collapsed="false">
      <c r="A425" s="0" t="n">
        <v>404</v>
      </c>
      <c r="B425" s="0" t="s">
        <v>85</v>
      </c>
      <c r="C425" s="17" t="n">
        <v>0.044128566387781</v>
      </c>
      <c r="D425" s="17" t="n">
        <f aca="false">(C425-$B$4)/($B$6/SQRT($B$7))</f>
        <v>0.220642831938905</v>
      </c>
      <c r="E425" s="0" t="str">
        <f aca="false">IF(OR(AND($B$9="superior",D425&gt;$B$10),AND($B$9="inferior",D425&lt;-$B$10)),"Rechazar H0","No rechazar H0")</f>
        <v>No rechazar H0</v>
      </c>
      <c r="F425" s="0" t="str">
        <f aca="false">IF(AND(B425="H0 verdadera",E425="Rechazar H0"),"Error tipo I",IF(AND(B425="Ha verdadera",E425="No rechazar H0"),"Error tipo II","Decisión correcta"))</f>
        <v>Decisión correcta</v>
      </c>
    </row>
    <row r="426" customFormat="false" ht="15" hidden="false" customHeight="false" outlineLevel="0" collapsed="false">
      <c r="A426" s="0" t="n">
        <v>405</v>
      </c>
      <c r="B426" s="0" t="s">
        <v>85</v>
      </c>
      <c r="C426" s="17" t="n">
        <v>0.0638378069280864</v>
      </c>
      <c r="D426" s="17" t="n">
        <f aca="false">(C426-$B$4)/($B$6/SQRT($B$7))</f>
        <v>0.319189034640432</v>
      </c>
      <c r="E426" s="0" t="str">
        <f aca="false">IF(OR(AND($B$9="superior",D426&gt;$B$10),AND($B$9="inferior",D426&lt;-$B$10)),"Rechazar H0","No rechazar H0")</f>
        <v>No rechazar H0</v>
      </c>
      <c r="F426" s="0" t="str">
        <f aca="false">IF(AND(B426="H0 verdadera",E426="Rechazar H0"),"Error tipo I",IF(AND(B426="Ha verdadera",E426="No rechazar H0"),"Error tipo II","Decisión correcta"))</f>
        <v>Decisión correcta</v>
      </c>
    </row>
    <row r="427" customFormat="false" ht="15" hidden="false" customHeight="false" outlineLevel="0" collapsed="false">
      <c r="A427" s="0" t="n">
        <v>406</v>
      </c>
      <c r="B427" s="0" t="s">
        <v>86</v>
      </c>
      <c r="C427" s="17" t="n">
        <v>-0.494104735491089</v>
      </c>
      <c r="D427" s="17" t="n">
        <f aca="false">(C427-$B$4)/($B$6/SQRT($B$7))</f>
        <v>-2.47052367745545</v>
      </c>
      <c r="E427" s="0" t="str">
        <f aca="false">IF(OR(AND($B$9="superior",D427&gt;$B$10),AND($B$9="inferior",D427&lt;-$B$10)),"Rechazar H0","No rechazar H0")</f>
        <v>Rechazar H0</v>
      </c>
      <c r="F427" s="0" t="str">
        <f aca="false">IF(AND(B427="H0 verdadera",E427="Rechazar H0"),"Error tipo I",IF(AND(B427="Ha verdadera",E427="No rechazar H0"),"Error tipo II","Decisión correcta"))</f>
        <v>Decisión correcta</v>
      </c>
    </row>
    <row r="428" customFormat="false" ht="15" hidden="false" customHeight="false" outlineLevel="0" collapsed="false">
      <c r="A428" s="0" t="n">
        <v>407</v>
      </c>
      <c r="B428" s="0" t="s">
        <v>85</v>
      </c>
      <c r="C428" s="17" t="n">
        <v>0.0443914374554794</v>
      </c>
      <c r="D428" s="17" t="n">
        <f aca="false">(C428-$B$4)/($B$6/SQRT($B$7))</f>
        <v>0.221957187277397</v>
      </c>
      <c r="E428" s="0" t="str">
        <f aca="false">IF(OR(AND($B$9="superior",D428&gt;$B$10),AND($B$9="inferior",D428&lt;-$B$10)),"Rechazar H0","No rechazar H0")</f>
        <v>No rechazar H0</v>
      </c>
      <c r="F428" s="0" t="str">
        <f aca="false">IF(AND(B428="H0 verdadera",E428="Rechazar H0"),"Error tipo I",IF(AND(B428="Ha verdadera",E428="No rechazar H0"),"Error tipo II","Decisión correcta"))</f>
        <v>Decisión correcta</v>
      </c>
    </row>
    <row r="429" customFormat="false" ht="15" hidden="false" customHeight="false" outlineLevel="0" collapsed="false">
      <c r="A429" s="0" t="n">
        <v>408</v>
      </c>
      <c r="B429" s="0" t="s">
        <v>86</v>
      </c>
      <c r="C429" s="17" t="n">
        <v>-0.390280631406053</v>
      </c>
      <c r="D429" s="17" t="n">
        <f aca="false">(C429-$B$4)/($B$6/SQRT($B$7))</f>
        <v>-1.95140315703027</v>
      </c>
      <c r="E429" s="0" t="str">
        <f aca="false">IF(OR(AND($B$9="superior",D429&gt;$B$10),AND($B$9="inferior",D429&lt;-$B$10)),"Rechazar H0","No rechazar H0")</f>
        <v>Rechazar H0</v>
      </c>
      <c r="F429" s="0" t="str">
        <f aca="false">IF(AND(B429="H0 verdadera",E429="Rechazar H0"),"Error tipo I",IF(AND(B429="Ha verdadera",E429="No rechazar H0"),"Error tipo II","Decisión correcta"))</f>
        <v>Decisión correcta</v>
      </c>
    </row>
    <row r="430" customFormat="false" ht="15" hidden="false" customHeight="false" outlineLevel="0" collapsed="false">
      <c r="A430" s="0" t="n">
        <v>409</v>
      </c>
      <c r="B430" s="0" t="s">
        <v>85</v>
      </c>
      <c r="C430" s="17" t="n">
        <v>-0.290440275030504</v>
      </c>
      <c r="D430" s="17" t="n">
        <f aca="false">(C430-$B$4)/($B$6/SQRT($B$7))</f>
        <v>-1.45220137515252</v>
      </c>
      <c r="E430" s="0" t="str">
        <f aca="false">IF(OR(AND($B$9="superior",D430&gt;$B$10),AND($B$9="inferior",D430&lt;-$B$10)),"Rechazar H0","No rechazar H0")</f>
        <v>No rechazar H0</v>
      </c>
      <c r="F430" s="0" t="str">
        <f aca="false">IF(AND(B430="H0 verdadera",E430="Rechazar H0"),"Error tipo I",IF(AND(B430="Ha verdadera",E430="No rechazar H0"),"Error tipo II","Decisión correcta"))</f>
        <v>Decisión correcta</v>
      </c>
    </row>
    <row r="431" customFormat="false" ht="15" hidden="false" customHeight="false" outlineLevel="0" collapsed="false">
      <c r="A431" s="0" t="n">
        <v>410</v>
      </c>
      <c r="B431" s="0" t="s">
        <v>86</v>
      </c>
      <c r="C431" s="17" t="n">
        <v>-0.428315803581929</v>
      </c>
      <c r="D431" s="17" t="n">
        <f aca="false">(C431-$B$4)/($B$6/SQRT($B$7))</f>
        <v>-2.14157901790964</v>
      </c>
      <c r="E431" s="0" t="str">
        <f aca="false">IF(OR(AND($B$9="superior",D431&gt;$B$10),AND($B$9="inferior",D431&lt;-$B$10)),"Rechazar H0","No rechazar H0")</f>
        <v>Rechazar H0</v>
      </c>
      <c r="F431" s="0" t="str">
        <f aca="false">IF(AND(B431="H0 verdadera",E431="Rechazar H0"),"Error tipo I",IF(AND(B431="Ha verdadera",E431="No rechazar H0"),"Error tipo II","Decisión correcta"))</f>
        <v>Decisión correcta</v>
      </c>
    </row>
    <row r="432" customFormat="false" ht="15" hidden="false" customHeight="false" outlineLevel="0" collapsed="false">
      <c r="A432" s="0" t="n">
        <v>411</v>
      </c>
      <c r="B432" s="0" t="s">
        <v>85</v>
      </c>
      <c r="C432" s="17" t="n">
        <v>0.0233833187799359</v>
      </c>
      <c r="D432" s="17" t="n">
        <f aca="false">(C432-$B$4)/($B$6/SQRT($B$7))</f>
        <v>0.116916593899679</v>
      </c>
      <c r="E432" s="0" t="str">
        <f aca="false">IF(OR(AND($B$9="superior",D432&gt;$B$10),AND($B$9="inferior",D432&lt;-$B$10)),"Rechazar H0","No rechazar H0")</f>
        <v>No rechazar H0</v>
      </c>
      <c r="F432" s="0" t="str">
        <f aca="false">IF(AND(B432="H0 verdadera",E432="Rechazar H0"),"Error tipo I",IF(AND(B432="Ha verdadera",E432="No rechazar H0"),"Error tipo II","Decisión correcta"))</f>
        <v>Decisión correcta</v>
      </c>
    </row>
    <row r="433" customFormat="false" ht="15" hidden="false" customHeight="false" outlineLevel="0" collapsed="false">
      <c r="A433" s="0" t="n">
        <v>412</v>
      </c>
      <c r="B433" s="0" t="s">
        <v>86</v>
      </c>
      <c r="C433" s="17" t="n">
        <v>-0.545517546663104</v>
      </c>
      <c r="D433" s="17" t="n">
        <f aca="false">(C433-$B$4)/($B$6/SQRT($B$7))</f>
        <v>-2.72758773331552</v>
      </c>
      <c r="E433" s="0" t="str">
        <f aca="false">IF(OR(AND($B$9="superior",D433&gt;$B$10),AND($B$9="inferior",D433&lt;-$B$10)),"Rechazar H0","No rechazar H0")</f>
        <v>Rechazar H0</v>
      </c>
      <c r="F433" s="0" t="str">
        <f aca="false">IF(AND(B433="H0 verdadera",E433="Rechazar H0"),"Error tipo I",IF(AND(B433="Ha verdadera",E433="No rechazar H0"),"Error tipo II","Decisión correcta"))</f>
        <v>Decisión correcta</v>
      </c>
    </row>
    <row r="434" customFormat="false" ht="15" hidden="false" customHeight="false" outlineLevel="0" collapsed="false">
      <c r="A434" s="0" t="n">
        <v>413</v>
      </c>
      <c r="B434" s="0" t="s">
        <v>86</v>
      </c>
      <c r="C434" s="17" t="n">
        <v>-0.432831674995426</v>
      </c>
      <c r="D434" s="17" t="n">
        <f aca="false">(C434-$B$4)/($B$6/SQRT($B$7))</f>
        <v>-2.16415837497713</v>
      </c>
      <c r="E434" s="0" t="str">
        <f aca="false">IF(OR(AND($B$9="superior",D434&gt;$B$10),AND($B$9="inferior",D434&lt;-$B$10)),"Rechazar H0","No rechazar H0")</f>
        <v>Rechazar H0</v>
      </c>
      <c r="F434" s="0" t="str">
        <f aca="false">IF(AND(B434="H0 verdadera",E434="Rechazar H0"),"Error tipo I",IF(AND(B434="Ha verdadera",E434="No rechazar H0"),"Error tipo II","Decisión correcta"))</f>
        <v>Decisión correcta</v>
      </c>
    </row>
    <row r="435" customFormat="false" ht="15" hidden="false" customHeight="false" outlineLevel="0" collapsed="false">
      <c r="A435" s="0" t="n">
        <v>414</v>
      </c>
      <c r="B435" s="0" t="s">
        <v>86</v>
      </c>
      <c r="C435" s="17" t="n">
        <v>-0.868287775254468</v>
      </c>
      <c r="D435" s="17" t="n">
        <f aca="false">(C435-$B$4)/($B$6/SQRT($B$7))</f>
        <v>-4.34143887627234</v>
      </c>
      <c r="E435" s="0" t="str">
        <f aca="false">IF(OR(AND($B$9="superior",D435&gt;$B$10),AND($B$9="inferior",D435&lt;-$B$10)),"Rechazar H0","No rechazar H0")</f>
        <v>Rechazar H0</v>
      </c>
      <c r="F435" s="0" t="str">
        <f aca="false">IF(AND(B435="H0 verdadera",E435="Rechazar H0"),"Error tipo I",IF(AND(B435="Ha verdadera",E435="No rechazar H0"),"Error tipo II","Decisión correcta"))</f>
        <v>Decisión correcta</v>
      </c>
    </row>
    <row r="436" customFormat="false" ht="15" hidden="false" customHeight="false" outlineLevel="0" collapsed="false">
      <c r="A436" s="0" t="n">
        <v>415</v>
      </c>
      <c r="B436" s="0" t="s">
        <v>85</v>
      </c>
      <c r="C436" s="17" t="n">
        <v>0.278600049550618</v>
      </c>
      <c r="D436" s="17" t="n">
        <f aca="false">(C436-$B$4)/($B$6/SQRT($B$7))</f>
        <v>1.39300024775309</v>
      </c>
      <c r="E436" s="0" t="str">
        <f aca="false">IF(OR(AND($B$9="superior",D436&gt;$B$10),AND($B$9="inferior",D436&lt;-$B$10)),"Rechazar H0","No rechazar H0")</f>
        <v>No rechazar H0</v>
      </c>
      <c r="F436" s="0" t="str">
        <f aca="false">IF(AND(B436="H0 verdadera",E436="Rechazar H0"),"Error tipo I",IF(AND(B436="Ha verdadera",E436="No rechazar H0"),"Error tipo II","Decisión correcta"))</f>
        <v>Decisión correcta</v>
      </c>
    </row>
    <row r="437" customFormat="false" ht="15" hidden="false" customHeight="false" outlineLevel="0" collapsed="false">
      <c r="A437" s="0" t="n">
        <v>416</v>
      </c>
      <c r="B437" s="0" t="s">
        <v>85</v>
      </c>
      <c r="C437" s="17" t="n">
        <v>0.120005998798509</v>
      </c>
      <c r="D437" s="17" t="n">
        <f aca="false">(C437-$B$4)/($B$6/SQRT($B$7))</f>
        <v>0.600029993992542</v>
      </c>
      <c r="E437" s="0" t="str">
        <f aca="false">IF(OR(AND($B$9="superior",D437&gt;$B$10),AND($B$9="inferior",D437&lt;-$B$10)),"Rechazar H0","No rechazar H0")</f>
        <v>No rechazar H0</v>
      </c>
      <c r="F437" s="0" t="str">
        <f aca="false">IF(AND(B437="H0 verdadera",E437="Rechazar H0"),"Error tipo I",IF(AND(B437="Ha verdadera",E437="No rechazar H0"),"Error tipo II","Decisión correcta"))</f>
        <v>Decisión correcta</v>
      </c>
    </row>
    <row r="438" customFormat="false" ht="15" hidden="false" customHeight="false" outlineLevel="0" collapsed="false">
      <c r="A438" s="0" t="n">
        <v>417</v>
      </c>
      <c r="B438" s="0" t="s">
        <v>86</v>
      </c>
      <c r="C438" s="17" t="n">
        <v>-0.369108014837003</v>
      </c>
      <c r="D438" s="17" t="n">
        <f aca="false">(C438-$B$4)/($B$6/SQRT($B$7))</f>
        <v>-1.84554007418502</v>
      </c>
      <c r="E438" s="0" t="str">
        <f aca="false">IF(OR(AND($B$9="superior",D438&gt;$B$10),AND($B$9="inferior",D438&lt;-$B$10)),"Rechazar H0","No rechazar H0")</f>
        <v>Rechazar H0</v>
      </c>
      <c r="F438" s="0" t="str">
        <f aca="false">IF(AND(B438="H0 verdadera",E438="Rechazar H0"),"Error tipo I",IF(AND(B438="Ha verdadera",E438="No rechazar H0"),"Error tipo II","Decisión correcta"))</f>
        <v>Decisión correcta</v>
      </c>
    </row>
    <row r="439" customFormat="false" ht="15" hidden="false" customHeight="false" outlineLevel="0" collapsed="false">
      <c r="A439" s="0" t="n">
        <v>418</v>
      </c>
      <c r="B439" s="0" t="s">
        <v>86</v>
      </c>
      <c r="C439" s="17" t="n">
        <v>-0.459545328623679</v>
      </c>
      <c r="D439" s="17" t="n">
        <f aca="false">(C439-$B$4)/($B$6/SQRT($B$7))</f>
        <v>-2.29772664311839</v>
      </c>
      <c r="E439" s="0" t="str">
        <f aca="false">IF(OR(AND($B$9="superior",D439&gt;$B$10),AND($B$9="inferior",D439&lt;-$B$10)),"Rechazar H0","No rechazar H0")</f>
        <v>Rechazar H0</v>
      </c>
      <c r="F439" s="0" t="str">
        <f aca="false">IF(AND(B439="H0 verdadera",E439="Rechazar H0"),"Error tipo I",IF(AND(B439="Ha verdadera",E439="No rechazar H0"),"Error tipo II","Decisión correcta"))</f>
        <v>Decisión correcta</v>
      </c>
    </row>
    <row r="440" customFormat="false" ht="15" hidden="false" customHeight="false" outlineLevel="0" collapsed="false">
      <c r="A440" s="0" t="n">
        <v>419</v>
      </c>
      <c r="B440" s="0" t="s">
        <v>85</v>
      </c>
      <c r="C440" s="17" t="n">
        <v>-0.014028495913932</v>
      </c>
      <c r="D440" s="17" t="n">
        <f aca="false">(C440-$B$4)/($B$6/SQRT($B$7))</f>
        <v>-0.0701424795696601</v>
      </c>
      <c r="E440" s="0" t="str">
        <f aca="false">IF(OR(AND($B$9="superior",D440&gt;$B$10),AND($B$9="inferior",D440&lt;-$B$10)),"Rechazar H0","No rechazar H0")</f>
        <v>No rechazar H0</v>
      </c>
      <c r="F440" s="0" t="str">
        <f aca="false">IF(AND(B440="H0 verdadera",E440="Rechazar H0"),"Error tipo I",IF(AND(B440="Ha verdadera",E440="No rechazar H0"),"Error tipo II","Decisión correcta"))</f>
        <v>Decisión correcta</v>
      </c>
    </row>
    <row r="441" customFormat="false" ht="15" hidden="false" customHeight="false" outlineLevel="0" collapsed="false">
      <c r="A441" s="0" t="n">
        <v>420</v>
      </c>
      <c r="B441" s="0" t="s">
        <v>86</v>
      </c>
      <c r="C441" s="17" t="n">
        <v>-0.628360003031884</v>
      </c>
      <c r="D441" s="17" t="n">
        <f aca="false">(C441-$B$4)/($B$6/SQRT($B$7))</f>
        <v>-3.14180001515942</v>
      </c>
      <c r="E441" s="0" t="str">
        <f aca="false">IF(OR(AND($B$9="superior",D441&gt;$B$10),AND($B$9="inferior",D441&lt;-$B$10)),"Rechazar H0","No rechazar H0")</f>
        <v>Rechazar H0</v>
      </c>
      <c r="F441" s="0" t="str">
        <f aca="false">IF(AND(B441="H0 verdadera",E441="Rechazar H0"),"Error tipo I",IF(AND(B441="Ha verdadera",E441="No rechazar H0"),"Error tipo II","Decisión correcta"))</f>
        <v>Decisión correcta</v>
      </c>
    </row>
    <row r="442" customFormat="false" ht="15" hidden="false" customHeight="false" outlineLevel="0" collapsed="false">
      <c r="A442" s="0" t="n">
        <v>421</v>
      </c>
      <c r="B442" s="0" t="s">
        <v>85</v>
      </c>
      <c r="C442" s="17" t="n">
        <v>-0.149777566536587</v>
      </c>
      <c r="D442" s="17" t="n">
        <f aca="false">(C442-$B$4)/($B$6/SQRT($B$7))</f>
        <v>-0.748887832682936</v>
      </c>
      <c r="E442" s="0" t="str">
        <f aca="false">IF(OR(AND($B$9="superior",D442&gt;$B$10),AND($B$9="inferior",D442&lt;-$B$10)),"Rechazar H0","No rechazar H0")</f>
        <v>No rechazar H0</v>
      </c>
      <c r="F442" s="0" t="str">
        <f aca="false">IF(AND(B442="H0 verdadera",E442="Rechazar H0"),"Error tipo I",IF(AND(B442="Ha verdadera",E442="No rechazar H0"),"Error tipo II","Decisión correcta"))</f>
        <v>Decisión correcta</v>
      </c>
    </row>
    <row r="443" customFormat="false" ht="15" hidden="false" customHeight="false" outlineLevel="0" collapsed="false">
      <c r="A443" s="0" t="n">
        <v>422</v>
      </c>
      <c r="B443" s="0" t="s">
        <v>85</v>
      </c>
      <c r="C443" s="17" t="n">
        <v>0.267563873437826</v>
      </c>
      <c r="D443" s="17" t="n">
        <f aca="false">(C443-$B$4)/($B$6/SQRT($B$7))</f>
        <v>1.33781936718913</v>
      </c>
      <c r="E443" s="0" t="str">
        <f aca="false">IF(OR(AND($B$9="superior",D443&gt;$B$10),AND($B$9="inferior",D443&lt;-$B$10)),"Rechazar H0","No rechazar H0")</f>
        <v>No rechazar H0</v>
      </c>
      <c r="F443" s="0" t="str">
        <f aca="false">IF(AND(B443="H0 verdadera",E443="Rechazar H0"),"Error tipo I",IF(AND(B443="Ha verdadera",E443="No rechazar H0"),"Error tipo II","Decisión correcta"))</f>
        <v>Decisión correcta</v>
      </c>
    </row>
    <row r="444" customFormat="false" ht="15" hidden="false" customHeight="false" outlineLevel="0" collapsed="false">
      <c r="A444" s="0" t="n">
        <v>423</v>
      </c>
      <c r="B444" s="0" t="s">
        <v>86</v>
      </c>
      <c r="C444" s="17" t="n">
        <v>-0.169177604181684</v>
      </c>
      <c r="D444" s="17" t="n">
        <f aca="false">(C444-$B$4)/($B$6/SQRT($B$7))</f>
        <v>-0.845888020908421</v>
      </c>
      <c r="E444" s="0" t="str">
        <f aca="false">IF(OR(AND($B$9="superior",D444&gt;$B$10),AND($B$9="inferior",D444&lt;-$B$10)),"Rechazar H0","No rechazar H0")</f>
        <v>No rechazar H0</v>
      </c>
      <c r="F444" s="0" t="str">
        <f aca="false">IF(AND(B444="H0 verdadera",E444="Rechazar H0"),"Error tipo I",IF(AND(B444="Ha verdadera",E444="No rechazar H0"),"Error tipo II","Decisión correcta"))</f>
        <v>Error tipo II</v>
      </c>
    </row>
    <row r="445" customFormat="false" ht="15" hidden="false" customHeight="false" outlineLevel="0" collapsed="false">
      <c r="A445" s="0" t="n">
        <v>424</v>
      </c>
      <c r="B445" s="0" t="s">
        <v>86</v>
      </c>
      <c r="C445" s="17" t="n">
        <v>-0.518765274357188</v>
      </c>
      <c r="D445" s="17" t="n">
        <f aca="false">(C445-$B$4)/($B$6/SQRT($B$7))</f>
        <v>-2.59382637178594</v>
      </c>
      <c r="E445" s="0" t="str">
        <f aca="false">IF(OR(AND($B$9="superior",D445&gt;$B$10),AND($B$9="inferior",D445&lt;-$B$10)),"Rechazar H0","No rechazar H0")</f>
        <v>Rechazar H0</v>
      </c>
      <c r="F445" s="0" t="str">
        <f aca="false">IF(AND(B445="H0 verdadera",E445="Rechazar H0"),"Error tipo I",IF(AND(B445="Ha verdadera",E445="No rechazar H0"),"Error tipo II","Decisión correcta"))</f>
        <v>Decisión correcta</v>
      </c>
    </row>
    <row r="446" customFormat="false" ht="15" hidden="false" customHeight="false" outlineLevel="0" collapsed="false">
      <c r="A446" s="0" t="n">
        <v>425</v>
      </c>
      <c r="B446" s="0" t="s">
        <v>85</v>
      </c>
      <c r="C446" s="17" t="n">
        <v>-0.0922077864775753</v>
      </c>
      <c r="D446" s="17" t="n">
        <f aca="false">(C446-$B$4)/($B$6/SQRT($B$7))</f>
        <v>-0.461038932387877</v>
      </c>
      <c r="E446" s="0" t="str">
        <f aca="false">IF(OR(AND($B$9="superior",D446&gt;$B$10),AND($B$9="inferior",D446&lt;-$B$10)),"Rechazar H0","No rechazar H0")</f>
        <v>No rechazar H0</v>
      </c>
      <c r="F446" s="0" t="str">
        <f aca="false">IF(AND(B446="H0 verdadera",E446="Rechazar H0"),"Error tipo I",IF(AND(B446="Ha verdadera",E446="No rechazar H0"),"Error tipo II","Decisión correcta"))</f>
        <v>Decisión correcta</v>
      </c>
    </row>
    <row r="447" customFormat="false" ht="15" hidden="false" customHeight="false" outlineLevel="0" collapsed="false">
      <c r="A447" s="0" t="n">
        <v>426</v>
      </c>
      <c r="B447" s="0" t="s">
        <v>85</v>
      </c>
      <c r="C447" s="17" t="n">
        <v>-0.130322871794318</v>
      </c>
      <c r="D447" s="17" t="n">
        <f aca="false">(C447-$B$4)/($B$6/SQRT($B$7))</f>
        <v>-0.651614358971588</v>
      </c>
      <c r="E447" s="0" t="str">
        <f aca="false">IF(OR(AND($B$9="superior",D447&gt;$B$10),AND($B$9="inferior",D447&lt;-$B$10)),"Rechazar H0","No rechazar H0")</f>
        <v>No rechazar H0</v>
      </c>
      <c r="F447" s="0" t="str">
        <f aca="false">IF(AND(B447="H0 verdadera",E447="Rechazar H0"),"Error tipo I",IF(AND(B447="Ha verdadera",E447="No rechazar H0"),"Error tipo II","Decisión correcta"))</f>
        <v>Decisión correcta</v>
      </c>
    </row>
    <row r="448" customFormat="false" ht="15" hidden="false" customHeight="false" outlineLevel="0" collapsed="false">
      <c r="A448" s="0" t="n">
        <v>427</v>
      </c>
      <c r="B448" s="0" t="s">
        <v>85</v>
      </c>
      <c r="C448" s="17" t="n">
        <v>-0.0570015476225462</v>
      </c>
      <c r="D448" s="17" t="n">
        <f aca="false">(C448-$B$4)/($B$6/SQRT($B$7))</f>
        <v>-0.285007738112731</v>
      </c>
      <c r="E448" s="0" t="str">
        <f aca="false">IF(OR(AND($B$9="superior",D448&gt;$B$10),AND($B$9="inferior",D448&lt;-$B$10)),"Rechazar H0","No rechazar H0")</f>
        <v>No rechazar H0</v>
      </c>
      <c r="F448" s="0" t="str">
        <f aca="false">IF(AND(B448="H0 verdadera",E448="Rechazar H0"),"Error tipo I",IF(AND(B448="Ha verdadera",E448="No rechazar H0"),"Error tipo II","Decisión correcta"))</f>
        <v>Decisión correcta</v>
      </c>
    </row>
    <row r="449" customFormat="false" ht="15" hidden="false" customHeight="false" outlineLevel="0" collapsed="false">
      <c r="A449" s="0" t="n">
        <v>428</v>
      </c>
      <c r="B449" s="0" t="s">
        <v>85</v>
      </c>
      <c r="C449" s="17" t="n">
        <v>-0.242713987463673</v>
      </c>
      <c r="D449" s="17" t="n">
        <f aca="false">(C449-$B$4)/($B$6/SQRT($B$7))</f>
        <v>-1.21356993731836</v>
      </c>
      <c r="E449" s="0" t="str">
        <f aca="false">IF(OR(AND($B$9="superior",D449&gt;$B$10),AND($B$9="inferior",D449&lt;-$B$10)),"Rechazar H0","No rechazar H0")</f>
        <v>No rechazar H0</v>
      </c>
      <c r="F449" s="0" t="str">
        <f aca="false">IF(AND(B449="H0 verdadera",E449="Rechazar H0"),"Error tipo I",IF(AND(B449="Ha verdadera",E449="No rechazar H0"),"Error tipo II","Decisión correcta"))</f>
        <v>Decisión correcta</v>
      </c>
    </row>
    <row r="450" customFormat="false" ht="15" hidden="false" customHeight="false" outlineLevel="0" collapsed="false">
      <c r="A450" s="0" t="n">
        <v>429</v>
      </c>
      <c r="B450" s="0" t="s">
        <v>86</v>
      </c>
      <c r="C450" s="17" t="n">
        <v>-0.300649494134409</v>
      </c>
      <c r="D450" s="17" t="n">
        <f aca="false">(C450-$B$4)/($B$6/SQRT($B$7))</f>
        <v>-1.50324747067205</v>
      </c>
      <c r="E450" s="0" t="str">
        <f aca="false">IF(OR(AND($B$9="superior",D450&gt;$B$10),AND($B$9="inferior",D450&lt;-$B$10)),"Rechazar H0","No rechazar H0")</f>
        <v>No rechazar H0</v>
      </c>
      <c r="F450" s="0" t="str">
        <f aca="false">IF(AND(B450="H0 verdadera",E450="Rechazar H0"),"Error tipo I",IF(AND(B450="Ha verdadera",E450="No rechazar H0"),"Error tipo II","Decisión correcta"))</f>
        <v>Error tipo II</v>
      </c>
    </row>
    <row r="451" customFormat="false" ht="15" hidden="false" customHeight="false" outlineLevel="0" collapsed="false">
      <c r="A451" s="0" t="n">
        <v>430</v>
      </c>
      <c r="B451" s="0" t="s">
        <v>86</v>
      </c>
      <c r="C451" s="17" t="n">
        <v>-0.159145941799586</v>
      </c>
      <c r="D451" s="17" t="n">
        <f aca="false">(C451-$B$4)/($B$6/SQRT($B$7))</f>
        <v>-0.795729708997932</v>
      </c>
      <c r="E451" s="0" t="str">
        <f aca="false">IF(OR(AND($B$9="superior",D451&gt;$B$10),AND($B$9="inferior",D451&lt;-$B$10)),"Rechazar H0","No rechazar H0")</f>
        <v>No rechazar H0</v>
      </c>
      <c r="F451" s="0" t="str">
        <f aca="false">IF(AND(B451="H0 verdadera",E451="Rechazar H0"),"Error tipo I",IF(AND(B451="Ha verdadera",E451="No rechazar H0"),"Error tipo II","Decisión correcta"))</f>
        <v>Error tipo II</v>
      </c>
    </row>
    <row r="452" customFormat="false" ht="15" hidden="false" customHeight="false" outlineLevel="0" collapsed="false">
      <c r="A452" s="0" t="n">
        <v>431</v>
      </c>
      <c r="B452" s="0" t="s">
        <v>86</v>
      </c>
      <c r="C452" s="17" t="n">
        <v>-0.152281153154749</v>
      </c>
      <c r="D452" s="17" t="n">
        <f aca="false">(C452-$B$4)/($B$6/SQRT($B$7))</f>
        <v>-0.761405765773746</v>
      </c>
      <c r="E452" s="0" t="str">
        <f aca="false">IF(OR(AND($B$9="superior",D452&gt;$B$10),AND($B$9="inferior",D452&lt;-$B$10)),"Rechazar H0","No rechazar H0")</f>
        <v>No rechazar H0</v>
      </c>
      <c r="F452" s="0" t="str">
        <f aca="false">IF(AND(B452="H0 verdadera",E452="Rechazar H0"),"Error tipo I",IF(AND(B452="Ha verdadera",E452="No rechazar H0"),"Error tipo II","Decisión correcta"))</f>
        <v>Error tipo II</v>
      </c>
    </row>
    <row r="453" customFormat="false" ht="15" hidden="false" customHeight="false" outlineLevel="0" collapsed="false">
      <c r="A453" s="0" t="n">
        <v>432</v>
      </c>
      <c r="B453" s="0" t="s">
        <v>85</v>
      </c>
      <c r="C453" s="17" t="n">
        <v>-0.264978968556262</v>
      </c>
      <c r="D453" s="17" t="n">
        <f aca="false">(C453-$B$4)/($B$6/SQRT($B$7))</f>
        <v>-1.32489484278131</v>
      </c>
      <c r="E453" s="0" t="str">
        <f aca="false">IF(OR(AND($B$9="superior",D453&gt;$B$10),AND($B$9="inferior",D453&lt;-$B$10)),"Rechazar H0","No rechazar H0")</f>
        <v>No rechazar H0</v>
      </c>
      <c r="F453" s="0" t="str">
        <f aca="false">IF(AND(B453="H0 verdadera",E453="Rechazar H0"),"Error tipo I",IF(AND(B453="Ha verdadera",E453="No rechazar H0"),"Error tipo II","Decisión correcta"))</f>
        <v>Decisión correcta</v>
      </c>
    </row>
    <row r="454" customFormat="false" ht="15" hidden="false" customHeight="false" outlineLevel="0" collapsed="false">
      <c r="A454" s="0" t="n">
        <v>433</v>
      </c>
      <c r="B454" s="0" t="s">
        <v>85</v>
      </c>
      <c r="C454" s="17" t="n">
        <v>-0.141015316295753</v>
      </c>
      <c r="D454" s="17" t="n">
        <f aca="false">(C454-$B$4)/($B$6/SQRT($B$7))</f>
        <v>-0.705076581478763</v>
      </c>
      <c r="E454" s="0" t="str">
        <f aca="false">IF(OR(AND($B$9="superior",D454&gt;$B$10),AND($B$9="inferior",D454&lt;-$B$10)),"Rechazar H0","No rechazar H0")</f>
        <v>No rechazar H0</v>
      </c>
      <c r="F454" s="0" t="str">
        <f aca="false">IF(AND(B454="H0 verdadera",E454="Rechazar H0"),"Error tipo I",IF(AND(B454="Ha verdadera",E454="No rechazar H0"),"Error tipo II","Decisión correcta"))</f>
        <v>Decisión correcta</v>
      </c>
    </row>
    <row r="455" customFormat="false" ht="15" hidden="false" customHeight="false" outlineLevel="0" collapsed="false">
      <c r="A455" s="0" t="n">
        <v>434</v>
      </c>
      <c r="B455" s="0" t="s">
        <v>86</v>
      </c>
      <c r="C455" s="17" t="n">
        <v>-0.2032651307447</v>
      </c>
      <c r="D455" s="17" t="n">
        <f aca="false">(C455-$B$4)/($B$6/SQRT($B$7))</f>
        <v>-1.0163256537235</v>
      </c>
      <c r="E455" s="0" t="str">
        <f aca="false">IF(OR(AND($B$9="superior",D455&gt;$B$10),AND($B$9="inferior",D455&lt;-$B$10)),"Rechazar H0","No rechazar H0")</f>
        <v>No rechazar H0</v>
      </c>
      <c r="F455" s="0" t="str">
        <f aca="false">IF(AND(B455="H0 verdadera",E455="Rechazar H0"),"Error tipo I",IF(AND(B455="Ha verdadera",E455="No rechazar H0"),"Error tipo II","Decisión correcta"))</f>
        <v>Error tipo II</v>
      </c>
    </row>
    <row r="456" customFormat="false" ht="15" hidden="false" customHeight="false" outlineLevel="0" collapsed="false">
      <c r="A456" s="0" t="n">
        <v>435</v>
      </c>
      <c r="B456" s="0" t="s">
        <v>85</v>
      </c>
      <c r="C456" s="17" t="n">
        <v>-0.159310523402601</v>
      </c>
      <c r="D456" s="17" t="n">
        <f aca="false">(C456-$B$4)/($B$6/SQRT($B$7))</f>
        <v>-0.796552617013005</v>
      </c>
      <c r="E456" s="0" t="str">
        <f aca="false">IF(OR(AND($B$9="superior",D456&gt;$B$10),AND($B$9="inferior",D456&lt;-$B$10)),"Rechazar H0","No rechazar H0")</f>
        <v>No rechazar H0</v>
      </c>
      <c r="F456" s="0" t="str">
        <f aca="false">IF(AND(B456="H0 verdadera",E456="Rechazar H0"),"Error tipo I",IF(AND(B456="Ha verdadera",E456="No rechazar H0"),"Error tipo II","Decisión correcta"))</f>
        <v>Decisión correcta</v>
      </c>
    </row>
    <row r="457" customFormat="false" ht="15" hidden="false" customHeight="false" outlineLevel="0" collapsed="false">
      <c r="A457" s="0" t="n">
        <v>436</v>
      </c>
      <c r="B457" s="0" t="s">
        <v>85</v>
      </c>
      <c r="C457" s="17" t="n">
        <v>0.354166873562699</v>
      </c>
      <c r="D457" s="17" t="n">
        <f aca="false">(C457-$B$4)/($B$6/SQRT($B$7))</f>
        <v>1.77083436781349</v>
      </c>
      <c r="E457" s="0" t="str">
        <f aca="false">IF(OR(AND($B$9="superior",D457&gt;$B$10),AND($B$9="inferior",D457&lt;-$B$10)),"Rechazar H0","No rechazar H0")</f>
        <v>No rechazar H0</v>
      </c>
      <c r="F457" s="0" t="str">
        <f aca="false">IF(AND(B457="H0 verdadera",E457="Rechazar H0"),"Error tipo I",IF(AND(B457="Ha verdadera",E457="No rechazar H0"),"Error tipo II","Decisión correcta"))</f>
        <v>Decisión correcta</v>
      </c>
    </row>
    <row r="458" customFormat="false" ht="15" hidden="false" customHeight="false" outlineLevel="0" collapsed="false">
      <c r="A458" s="0" t="n">
        <v>437</v>
      </c>
      <c r="B458" s="0" t="s">
        <v>86</v>
      </c>
      <c r="C458" s="17" t="n">
        <v>-0.528564681532022</v>
      </c>
      <c r="D458" s="17" t="n">
        <f aca="false">(C458-$B$4)/($B$6/SQRT($B$7))</f>
        <v>-2.64282340766011</v>
      </c>
      <c r="E458" s="0" t="str">
        <f aca="false">IF(OR(AND($B$9="superior",D458&gt;$B$10),AND($B$9="inferior",D458&lt;-$B$10)),"Rechazar H0","No rechazar H0")</f>
        <v>Rechazar H0</v>
      </c>
      <c r="F458" s="0" t="str">
        <f aca="false">IF(AND(B458="H0 verdadera",E458="Rechazar H0"),"Error tipo I",IF(AND(B458="Ha verdadera",E458="No rechazar H0"),"Error tipo II","Decisión correcta"))</f>
        <v>Decisión correcta</v>
      </c>
    </row>
    <row r="459" customFormat="false" ht="15" hidden="false" customHeight="false" outlineLevel="0" collapsed="false">
      <c r="A459" s="0" t="n">
        <v>438</v>
      </c>
      <c r="B459" s="0" t="s">
        <v>85</v>
      </c>
      <c r="C459" s="17" t="n">
        <v>0.2445132996684</v>
      </c>
      <c r="D459" s="17" t="n">
        <f aca="false">(C459-$B$4)/($B$6/SQRT($B$7))</f>
        <v>1.222566498342</v>
      </c>
      <c r="E459" s="0" t="str">
        <f aca="false">IF(OR(AND($B$9="superior",D459&gt;$B$10),AND($B$9="inferior",D459&lt;-$B$10)),"Rechazar H0","No rechazar H0")</f>
        <v>No rechazar H0</v>
      </c>
      <c r="F459" s="0" t="str">
        <f aca="false">IF(AND(B459="H0 verdadera",E459="Rechazar H0"),"Error tipo I",IF(AND(B459="Ha verdadera",E459="No rechazar H0"),"Error tipo II","Decisión correcta"))</f>
        <v>Decisión correcta</v>
      </c>
    </row>
    <row r="460" customFormat="false" ht="15" hidden="false" customHeight="false" outlineLevel="0" collapsed="false">
      <c r="A460" s="0" t="n">
        <v>439</v>
      </c>
      <c r="B460" s="0" t="s">
        <v>85</v>
      </c>
      <c r="C460" s="17" t="n">
        <v>0.138177787124157</v>
      </c>
      <c r="D460" s="17" t="n">
        <f aca="false">(C460-$B$4)/($B$6/SQRT($B$7))</f>
        <v>0.690888935620787</v>
      </c>
      <c r="E460" s="0" t="str">
        <f aca="false">IF(OR(AND($B$9="superior",D460&gt;$B$10),AND($B$9="inferior",D460&lt;-$B$10)),"Rechazar H0","No rechazar H0")</f>
        <v>No rechazar H0</v>
      </c>
      <c r="F460" s="0" t="str">
        <f aca="false">IF(AND(B460="H0 verdadera",E460="Rechazar H0"),"Error tipo I",IF(AND(B460="Ha verdadera",E460="No rechazar H0"),"Error tipo II","Decisión correcta"))</f>
        <v>Decisión correcta</v>
      </c>
    </row>
    <row r="461" customFormat="false" ht="15" hidden="false" customHeight="false" outlineLevel="0" collapsed="false">
      <c r="A461" s="0" t="n">
        <v>440</v>
      </c>
      <c r="B461" s="0" t="s">
        <v>85</v>
      </c>
      <c r="C461" s="17" t="n">
        <v>0.0549211487615499</v>
      </c>
      <c r="D461" s="17" t="n">
        <f aca="false">(C461-$B$4)/($B$6/SQRT($B$7))</f>
        <v>0.27460574380775</v>
      </c>
      <c r="E461" s="0" t="str">
        <f aca="false">IF(OR(AND($B$9="superior",D461&gt;$B$10),AND($B$9="inferior",D461&lt;-$B$10)),"Rechazar H0","No rechazar H0")</f>
        <v>No rechazar H0</v>
      </c>
      <c r="F461" s="0" t="str">
        <f aca="false">IF(AND(B461="H0 verdadera",E461="Rechazar H0"),"Error tipo I",IF(AND(B461="Ha verdadera",E461="No rechazar H0"),"Error tipo II","Decisión correcta"))</f>
        <v>Decisión correcta</v>
      </c>
    </row>
    <row r="462" customFormat="false" ht="15" hidden="false" customHeight="false" outlineLevel="0" collapsed="false">
      <c r="A462" s="0" t="n">
        <v>441</v>
      </c>
      <c r="B462" s="0" t="s">
        <v>86</v>
      </c>
      <c r="C462" s="17" t="n">
        <v>-0.286261031474506</v>
      </c>
      <c r="D462" s="17" t="n">
        <f aca="false">(C462-$B$4)/($B$6/SQRT($B$7))</f>
        <v>-1.43130515737253</v>
      </c>
      <c r="E462" s="0" t="str">
        <f aca="false">IF(OR(AND($B$9="superior",D462&gt;$B$10),AND($B$9="inferior",D462&lt;-$B$10)),"Rechazar H0","No rechazar H0")</f>
        <v>No rechazar H0</v>
      </c>
      <c r="F462" s="0" t="str">
        <f aca="false">IF(AND(B462="H0 verdadera",E462="Rechazar H0"),"Error tipo I",IF(AND(B462="Ha verdadera",E462="No rechazar H0"),"Error tipo II","Decisión correcta"))</f>
        <v>Error tipo II</v>
      </c>
    </row>
    <row r="463" customFormat="false" ht="15" hidden="false" customHeight="false" outlineLevel="0" collapsed="false">
      <c r="A463" s="0" t="n">
        <v>442</v>
      </c>
      <c r="B463" s="0" t="s">
        <v>85</v>
      </c>
      <c r="C463" s="17" t="n">
        <v>0.180533914852629</v>
      </c>
      <c r="D463" s="17" t="n">
        <f aca="false">(C463-$B$4)/($B$6/SQRT($B$7))</f>
        <v>0.902669574263144</v>
      </c>
      <c r="E463" s="0" t="str">
        <f aca="false">IF(OR(AND($B$9="superior",D463&gt;$B$10),AND($B$9="inferior",D463&lt;-$B$10)),"Rechazar H0","No rechazar H0")</f>
        <v>No rechazar H0</v>
      </c>
      <c r="F463" s="0" t="str">
        <f aca="false">IF(AND(B463="H0 verdadera",E463="Rechazar H0"),"Error tipo I",IF(AND(B463="Ha verdadera",E463="No rechazar H0"),"Error tipo II","Decisión correcta"))</f>
        <v>Decisión correcta</v>
      </c>
    </row>
    <row r="464" customFormat="false" ht="15" hidden="false" customHeight="false" outlineLevel="0" collapsed="false">
      <c r="A464" s="0" t="n">
        <v>443</v>
      </c>
      <c r="B464" s="0" t="s">
        <v>86</v>
      </c>
      <c r="C464" s="17" t="n">
        <v>-0.339796431521576</v>
      </c>
      <c r="D464" s="17" t="n">
        <f aca="false">(C464-$B$4)/($B$6/SQRT($B$7))</f>
        <v>-1.69898215760788</v>
      </c>
      <c r="E464" s="0" t="str">
        <f aca="false">IF(OR(AND($B$9="superior",D464&gt;$B$10),AND($B$9="inferior",D464&lt;-$B$10)),"Rechazar H0","No rechazar H0")</f>
        <v>Rechazar H0</v>
      </c>
      <c r="F464" s="0" t="str">
        <f aca="false">IF(AND(B464="H0 verdadera",E464="Rechazar H0"),"Error tipo I",IF(AND(B464="Ha verdadera",E464="No rechazar H0"),"Error tipo II","Decisión correcta"))</f>
        <v>Decisión correcta</v>
      </c>
    </row>
    <row r="465" customFormat="false" ht="15" hidden="false" customHeight="false" outlineLevel="0" collapsed="false">
      <c r="A465" s="0" t="n">
        <v>444</v>
      </c>
      <c r="B465" s="0" t="s">
        <v>85</v>
      </c>
      <c r="C465" s="17" t="n">
        <v>-0.0975088440748782</v>
      </c>
      <c r="D465" s="17" t="n">
        <f aca="false">(C465-$B$4)/($B$6/SQRT($B$7))</f>
        <v>-0.487544220374391</v>
      </c>
      <c r="E465" s="0" t="str">
        <f aca="false">IF(OR(AND($B$9="superior",D465&gt;$B$10),AND($B$9="inferior",D465&lt;-$B$10)),"Rechazar H0","No rechazar H0")</f>
        <v>No rechazar H0</v>
      </c>
      <c r="F465" s="0" t="str">
        <f aca="false">IF(AND(B465="H0 verdadera",E465="Rechazar H0"),"Error tipo I",IF(AND(B465="Ha verdadera",E465="No rechazar H0"),"Error tipo II","Decisión correcta"))</f>
        <v>Decisión correcta</v>
      </c>
    </row>
    <row r="466" customFormat="false" ht="15" hidden="false" customHeight="false" outlineLevel="0" collapsed="false">
      <c r="A466" s="0" t="n">
        <v>445</v>
      </c>
      <c r="B466" s="0" t="s">
        <v>85</v>
      </c>
      <c r="C466" s="17" t="n">
        <v>-0.119708193730596</v>
      </c>
      <c r="D466" s="17" t="n">
        <f aca="false">(C466-$B$4)/($B$6/SQRT($B$7))</f>
        <v>-0.598540968652981</v>
      </c>
      <c r="E466" s="0" t="str">
        <f aca="false">IF(OR(AND($B$9="superior",D466&gt;$B$10),AND($B$9="inferior",D466&lt;-$B$10)),"Rechazar H0","No rechazar H0")</f>
        <v>No rechazar H0</v>
      </c>
      <c r="F466" s="0" t="str">
        <f aca="false">IF(AND(B466="H0 verdadera",E466="Rechazar H0"),"Error tipo I",IF(AND(B466="Ha verdadera",E466="No rechazar H0"),"Error tipo II","Decisión correcta"))</f>
        <v>Decisión correcta</v>
      </c>
    </row>
    <row r="467" customFormat="false" ht="15" hidden="false" customHeight="false" outlineLevel="0" collapsed="false">
      <c r="A467" s="0" t="n">
        <v>446</v>
      </c>
      <c r="B467" s="0" t="s">
        <v>85</v>
      </c>
      <c r="C467" s="17" t="n">
        <v>-0.088856081300608</v>
      </c>
      <c r="D467" s="17" t="n">
        <f aca="false">(C467-$B$4)/($B$6/SQRT($B$7))</f>
        <v>-0.44428040650304</v>
      </c>
      <c r="E467" s="0" t="str">
        <f aca="false">IF(OR(AND($B$9="superior",D467&gt;$B$10),AND($B$9="inferior",D467&lt;-$B$10)),"Rechazar H0","No rechazar H0")</f>
        <v>No rechazar H0</v>
      </c>
      <c r="F467" s="0" t="str">
        <f aca="false">IF(AND(B467="H0 verdadera",E467="Rechazar H0"),"Error tipo I",IF(AND(B467="Ha verdadera",E467="No rechazar H0"),"Error tipo II","Decisión correcta"))</f>
        <v>Decisión correcta</v>
      </c>
    </row>
    <row r="468" customFormat="false" ht="15" hidden="false" customHeight="false" outlineLevel="0" collapsed="false">
      <c r="A468" s="0" t="n">
        <v>447</v>
      </c>
      <c r="B468" s="0" t="s">
        <v>86</v>
      </c>
      <c r="C468" s="17" t="n">
        <v>-0.41786429967601</v>
      </c>
      <c r="D468" s="17" t="n">
        <f aca="false">(C468-$B$4)/($B$6/SQRT($B$7))</f>
        <v>-2.08932149838005</v>
      </c>
      <c r="E468" s="0" t="str">
        <f aca="false">IF(OR(AND($B$9="superior",D468&gt;$B$10),AND($B$9="inferior",D468&lt;-$B$10)),"Rechazar H0","No rechazar H0")</f>
        <v>Rechazar H0</v>
      </c>
      <c r="F468" s="0" t="str">
        <f aca="false">IF(AND(B468="H0 verdadera",E468="Rechazar H0"),"Error tipo I",IF(AND(B468="Ha verdadera",E468="No rechazar H0"),"Error tipo II","Decisión correcta"))</f>
        <v>Decisión correcta</v>
      </c>
    </row>
    <row r="469" customFormat="false" ht="15" hidden="false" customHeight="false" outlineLevel="0" collapsed="false">
      <c r="A469" s="0" t="n">
        <v>448</v>
      </c>
      <c r="B469" s="0" t="s">
        <v>85</v>
      </c>
      <c r="C469" s="17" t="n">
        <v>0.18236789459632</v>
      </c>
      <c r="D469" s="17" t="n">
        <f aca="false">(C469-$B$4)/($B$6/SQRT($B$7))</f>
        <v>0.911839472981602</v>
      </c>
      <c r="E469" s="0" t="str">
        <f aca="false">IF(OR(AND($B$9="superior",D469&gt;$B$10),AND($B$9="inferior",D469&lt;-$B$10)),"Rechazar H0","No rechazar H0")</f>
        <v>No rechazar H0</v>
      </c>
      <c r="F469" s="0" t="str">
        <f aca="false">IF(AND(B469="H0 verdadera",E469="Rechazar H0"),"Error tipo I",IF(AND(B469="Ha verdadera",E469="No rechazar H0"),"Error tipo II","Decisión correcta"))</f>
        <v>Decisión correcta</v>
      </c>
    </row>
    <row r="470" customFormat="false" ht="15" hidden="false" customHeight="false" outlineLevel="0" collapsed="false">
      <c r="A470" s="0" t="n">
        <v>449</v>
      </c>
      <c r="B470" s="0" t="s">
        <v>86</v>
      </c>
      <c r="C470" s="17" t="n">
        <v>-0.101822421193496</v>
      </c>
      <c r="D470" s="17" t="n">
        <f aca="false">(C470-$B$4)/($B$6/SQRT($B$7))</f>
        <v>-0.509112105967481</v>
      </c>
      <c r="E470" s="0" t="str">
        <f aca="false">IF(OR(AND($B$9="superior",D470&gt;$B$10),AND($B$9="inferior",D470&lt;-$B$10)),"Rechazar H0","No rechazar H0")</f>
        <v>No rechazar H0</v>
      </c>
      <c r="F470" s="0" t="str">
        <f aca="false">IF(AND(B470="H0 verdadera",E470="Rechazar H0"),"Error tipo I",IF(AND(B470="Ha verdadera",E470="No rechazar H0"),"Error tipo II","Decisión correcta"))</f>
        <v>Error tipo II</v>
      </c>
    </row>
    <row r="471" customFormat="false" ht="15" hidden="false" customHeight="false" outlineLevel="0" collapsed="false">
      <c r="A471" s="0" t="n">
        <v>450</v>
      </c>
      <c r="B471" s="0" t="s">
        <v>86</v>
      </c>
      <c r="C471" s="17" t="n">
        <v>0.027248356296679</v>
      </c>
      <c r="D471" s="17" t="n">
        <f aca="false">(C471-$B$4)/($B$6/SQRT($B$7))</f>
        <v>0.136241781483395</v>
      </c>
      <c r="E471" s="0" t="str">
        <f aca="false">IF(OR(AND($B$9="superior",D471&gt;$B$10),AND($B$9="inferior",D471&lt;-$B$10)),"Rechazar H0","No rechazar H0")</f>
        <v>No rechazar H0</v>
      </c>
      <c r="F471" s="0" t="str">
        <f aca="false">IF(AND(B471="H0 verdadera",E471="Rechazar H0"),"Error tipo I",IF(AND(B471="Ha verdadera",E471="No rechazar H0"),"Error tipo II","Decisión correcta"))</f>
        <v>Error tipo II</v>
      </c>
    </row>
    <row r="472" customFormat="false" ht="15" hidden="false" customHeight="false" outlineLevel="0" collapsed="false">
      <c r="A472" s="0" t="n">
        <v>451</v>
      </c>
      <c r="B472" s="0" t="s">
        <v>86</v>
      </c>
      <c r="C472" s="17" t="n">
        <v>-0.431023307215775</v>
      </c>
      <c r="D472" s="17" t="n">
        <f aca="false">(C472-$B$4)/($B$6/SQRT($B$7))</f>
        <v>-2.15511653607887</v>
      </c>
      <c r="E472" s="0" t="str">
        <f aca="false">IF(OR(AND($B$9="superior",D472&gt;$B$10),AND($B$9="inferior",D472&lt;-$B$10)),"Rechazar H0","No rechazar H0")</f>
        <v>Rechazar H0</v>
      </c>
      <c r="F472" s="0" t="str">
        <f aca="false">IF(AND(B472="H0 verdadera",E472="Rechazar H0"),"Error tipo I",IF(AND(B472="Ha verdadera",E472="No rechazar H0"),"Error tipo II","Decisión correcta"))</f>
        <v>Decisión correcta</v>
      </c>
    </row>
    <row r="473" customFormat="false" ht="15" hidden="false" customHeight="false" outlineLevel="0" collapsed="false">
      <c r="A473" s="0" t="n">
        <v>452</v>
      </c>
      <c r="B473" s="0" t="s">
        <v>85</v>
      </c>
      <c r="C473" s="17" t="n">
        <v>-0.115640380863003</v>
      </c>
      <c r="D473" s="17" t="n">
        <f aca="false">(C473-$B$4)/($B$6/SQRT($B$7))</f>
        <v>-0.578201904315016</v>
      </c>
      <c r="E473" s="0" t="str">
        <f aca="false">IF(OR(AND($B$9="superior",D473&gt;$B$10),AND($B$9="inferior",D473&lt;-$B$10)),"Rechazar H0","No rechazar H0")</f>
        <v>No rechazar H0</v>
      </c>
      <c r="F473" s="0" t="str">
        <f aca="false">IF(AND(B473="H0 verdadera",E473="Rechazar H0"),"Error tipo I",IF(AND(B473="Ha verdadera",E473="No rechazar H0"),"Error tipo II","Decisión correcta"))</f>
        <v>Decisión correcta</v>
      </c>
    </row>
    <row r="474" customFormat="false" ht="15" hidden="false" customHeight="false" outlineLevel="0" collapsed="false">
      <c r="A474" s="0" t="n">
        <v>453</v>
      </c>
      <c r="B474" s="0" t="s">
        <v>85</v>
      </c>
      <c r="C474" s="17" t="n">
        <v>0.00203933135710597</v>
      </c>
      <c r="D474" s="17" t="n">
        <f aca="false">(C474-$B$4)/($B$6/SQRT($B$7))</f>
        <v>0.0101966567855298</v>
      </c>
      <c r="E474" s="0" t="str">
        <f aca="false">IF(OR(AND($B$9="superior",D474&gt;$B$10),AND($B$9="inferior",D474&lt;-$B$10)),"Rechazar H0","No rechazar H0")</f>
        <v>No rechazar H0</v>
      </c>
      <c r="F474" s="0" t="str">
        <f aca="false">IF(AND(B474="H0 verdadera",E474="Rechazar H0"),"Error tipo I",IF(AND(B474="Ha verdadera",E474="No rechazar H0"),"Error tipo II","Decisión correcta"))</f>
        <v>Decisión correcta</v>
      </c>
    </row>
    <row r="475" customFormat="false" ht="15" hidden="false" customHeight="false" outlineLevel="0" collapsed="false">
      <c r="A475" s="0" t="n">
        <v>454</v>
      </c>
      <c r="B475" s="0" t="s">
        <v>86</v>
      </c>
      <c r="C475" s="17" t="n">
        <v>-0.332882566948752</v>
      </c>
      <c r="D475" s="17" t="n">
        <f aca="false">(C475-$B$4)/($B$6/SQRT($B$7))</f>
        <v>-1.66441283474376</v>
      </c>
      <c r="E475" s="0" t="str">
        <f aca="false">IF(OR(AND($B$9="superior",D475&gt;$B$10),AND($B$9="inferior",D475&lt;-$B$10)),"Rechazar H0","No rechazar H0")</f>
        <v>Rechazar H0</v>
      </c>
      <c r="F475" s="0" t="str">
        <f aca="false">IF(AND(B475="H0 verdadera",E475="Rechazar H0"),"Error tipo I",IF(AND(B475="Ha verdadera",E475="No rechazar H0"),"Error tipo II","Decisión correcta"))</f>
        <v>Decisión correcta</v>
      </c>
    </row>
    <row r="476" customFormat="false" ht="15" hidden="false" customHeight="false" outlineLevel="0" collapsed="false">
      <c r="A476" s="0" t="n">
        <v>455</v>
      </c>
      <c r="B476" s="0" t="s">
        <v>85</v>
      </c>
      <c r="C476" s="17" t="n">
        <v>-0.176275720299642</v>
      </c>
      <c r="D476" s="17" t="n">
        <f aca="false">(C476-$B$4)/($B$6/SQRT($B$7))</f>
        <v>-0.881378601498211</v>
      </c>
      <c r="E476" s="0" t="str">
        <f aca="false">IF(OR(AND($B$9="superior",D476&gt;$B$10),AND($B$9="inferior",D476&lt;-$B$10)),"Rechazar H0","No rechazar H0")</f>
        <v>No rechazar H0</v>
      </c>
      <c r="F476" s="0" t="str">
        <f aca="false">IF(AND(B476="H0 verdadera",E476="Rechazar H0"),"Error tipo I",IF(AND(B476="Ha verdadera",E476="No rechazar H0"),"Error tipo II","Decisión correcta"))</f>
        <v>Decisión correcta</v>
      </c>
    </row>
    <row r="477" customFormat="false" ht="15" hidden="false" customHeight="false" outlineLevel="0" collapsed="false">
      <c r="A477" s="0" t="n">
        <v>456</v>
      </c>
      <c r="B477" s="0" t="s">
        <v>85</v>
      </c>
      <c r="C477" s="17" t="n">
        <v>0.198344409124794</v>
      </c>
      <c r="D477" s="17" t="n">
        <f aca="false">(C477-$B$4)/($B$6/SQRT($B$7))</f>
        <v>0.991722045623968</v>
      </c>
      <c r="E477" s="0" t="str">
        <f aca="false">IF(OR(AND($B$9="superior",D477&gt;$B$10),AND($B$9="inferior",D477&lt;-$B$10)),"Rechazar H0","No rechazar H0")</f>
        <v>No rechazar H0</v>
      </c>
      <c r="F477" s="0" t="str">
        <f aca="false">IF(AND(B477="H0 verdadera",E477="Rechazar H0"),"Error tipo I",IF(AND(B477="Ha verdadera",E477="No rechazar H0"),"Error tipo II","Decisión correcta"))</f>
        <v>Decisión correcta</v>
      </c>
    </row>
    <row r="478" customFormat="false" ht="15" hidden="false" customHeight="false" outlineLevel="0" collapsed="false">
      <c r="A478" s="0" t="n">
        <v>457</v>
      </c>
      <c r="B478" s="0" t="s">
        <v>86</v>
      </c>
      <c r="C478" s="17" t="n">
        <v>-0.368339728941918</v>
      </c>
      <c r="D478" s="17" t="n">
        <f aca="false">(C478-$B$4)/($B$6/SQRT($B$7))</f>
        <v>-1.84169864470959</v>
      </c>
      <c r="E478" s="0" t="str">
        <f aca="false">IF(OR(AND($B$9="superior",D478&gt;$B$10),AND($B$9="inferior",D478&lt;-$B$10)),"Rechazar H0","No rechazar H0")</f>
        <v>Rechazar H0</v>
      </c>
      <c r="F478" s="0" t="str">
        <f aca="false">IF(AND(B478="H0 verdadera",E478="Rechazar H0"),"Error tipo I",IF(AND(B478="Ha verdadera",E478="No rechazar H0"),"Error tipo II","Decisión correcta"))</f>
        <v>Decisión correcta</v>
      </c>
    </row>
    <row r="479" customFormat="false" ht="15" hidden="false" customHeight="false" outlineLevel="0" collapsed="false">
      <c r="A479" s="0" t="n">
        <v>458</v>
      </c>
      <c r="B479" s="0" t="s">
        <v>86</v>
      </c>
      <c r="C479" s="17" t="n">
        <v>-0.466858669418645</v>
      </c>
      <c r="D479" s="17" t="n">
        <f aca="false">(C479-$B$4)/($B$6/SQRT($B$7))</f>
        <v>-2.33429334709323</v>
      </c>
      <c r="E479" s="0" t="str">
        <f aca="false">IF(OR(AND($B$9="superior",D479&gt;$B$10),AND($B$9="inferior",D479&lt;-$B$10)),"Rechazar H0","No rechazar H0")</f>
        <v>Rechazar H0</v>
      </c>
      <c r="F479" s="0" t="str">
        <f aca="false">IF(AND(B479="H0 verdadera",E479="Rechazar H0"),"Error tipo I",IF(AND(B479="Ha verdadera",E479="No rechazar H0"),"Error tipo II","Decisión correcta"))</f>
        <v>Decisión correcta</v>
      </c>
    </row>
    <row r="480" customFormat="false" ht="15" hidden="false" customHeight="false" outlineLevel="0" collapsed="false">
      <c r="A480" s="0" t="n">
        <v>459</v>
      </c>
      <c r="B480" s="0" t="s">
        <v>85</v>
      </c>
      <c r="C480" s="17" t="n">
        <v>0.101106015804848</v>
      </c>
      <c r="D480" s="17" t="n">
        <f aca="false">(C480-$B$4)/($B$6/SQRT($B$7))</f>
        <v>0.50553007902424</v>
      </c>
      <c r="E480" s="0" t="str">
        <f aca="false">IF(OR(AND($B$9="superior",D480&gt;$B$10),AND($B$9="inferior",D480&lt;-$B$10)),"Rechazar H0","No rechazar H0")</f>
        <v>No rechazar H0</v>
      </c>
      <c r="F480" s="0" t="str">
        <f aca="false">IF(AND(B480="H0 verdadera",E480="Rechazar H0"),"Error tipo I",IF(AND(B480="Ha verdadera",E480="No rechazar H0"),"Error tipo II","Decisión correcta"))</f>
        <v>Decisión correcta</v>
      </c>
    </row>
    <row r="481" customFormat="false" ht="15" hidden="false" customHeight="false" outlineLevel="0" collapsed="false">
      <c r="A481" s="0" t="n">
        <v>460</v>
      </c>
      <c r="B481" s="0" t="s">
        <v>85</v>
      </c>
      <c r="C481" s="17" t="n">
        <v>0.0844154380422468</v>
      </c>
      <c r="D481" s="17" t="n">
        <f aca="false">(C481-$B$4)/($B$6/SQRT($B$7))</f>
        <v>0.422077190211234</v>
      </c>
      <c r="E481" s="0" t="str">
        <f aca="false">IF(OR(AND($B$9="superior",D481&gt;$B$10),AND($B$9="inferior",D481&lt;-$B$10)),"Rechazar H0","No rechazar H0")</f>
        <v>No rechazar H0</v>
      </c>
      <c r="F481" s="0" t="str">
        <f aca="false">IF(AND(B481="H0 verdadera",E481="Rechazar H0"),"Error tipo I",IF(AND(B481="Ha verdadera",E481="No rechazar H0"),"Error tipo II","Decisión correcta"))</f>
        <v>Decisión correcta</v>
      </c>
    </row>
    <row r="482" customFormat="false" ht="15" hidden="false" customHeight="false" outlineLevel="0" collapsed="false">
      <c r="A482" s="0" t="n">
        <v>461</v>
      </c>
      <c r="B482" s="0" t="s">
        <v>86</v>
      </c>
      <c r="C482" s="17" t="n">
        <v>-0.348475096397004</v>
      </c>
      <c r="D482" s="17" t="n">
        <f aca="false">(C482-$B$4)/($B$6/SQRT($B$7))</f>
        <v>-1.74237548198502</v>
      </c>
      <c r="E482" s="0" t="str">
        <f aca="false">IF(OR(AND($B$9="superior",D482&gt;$B$10),AND($B$9="inferior",D482&lt;-$B$10)),"Rechazar H0","No rechazar H0")</f>
        <v>Rechazar H0</v>
      </c>
      <c r="F482" s="0" t="str">
        <f aca="false">IF(AND(B482="H0 verdadera",E482="Rechazar H0"),"Error tipo I",IF(AND(B482="Ha verdadera",E482="No rechazar H0"),"Error tipo II","Decisión correcta"))</f>
        <v>Decisión correcta</v>
      </c>
    </row>
    <row r="483" customFormat="false" ht="15" hidden="false" customHeight="false" outlineLevel="0" collapsed="false">
      <c r="A483" s="0" t="n">
        <v>462</v>
      </c>
      <c r="B483" s="0" t="s">
        <v>86</v>
      </c>
      <c r="C483" s="17" t="n">
        <v>-0.2512682687325</v>
      </c>
      <c r="D483" s="17" t="n">
        <f aca="false">(C483-$B$4)/($B$6/SQRT($B$7))</f>
        <v>-1.2563413436625</v>
      </c>
      <c r="E483" s="0" t="str">
        <f aca="false">IF(OR(AND($B$9="superior",D483&gt;$B$10),AND($B$9="inferior",D483&lt;-$B$10)),"Rechazar H0","No rechazar H0")</f>
        <v>No rechazar H0</v>
      </c>
      <c r="F483" s="0" t="str">
        <f aca="false">IF(AND(B483="H0 verdadera",E483="Rechazar H0"),"Error tipo I",IF(AND(B483="Ha verdadera",E483="No rechazar H0"),"Error tipo II","Decisión correcta"))</f>
        <v>Error tipo II</v>
      </c>
    </row>
    <row r="484" customFormat="false" ht="15" hidden="false" customHeight="false" outlineLevel="0" collapsed="false">
      <c r="A484" s="0" t="n">
        <v>463</v>
      </c>
      <c r="B484" s="0" t="s">
        <v>86</v>
      </c>
      <c r="C484" s="17" t="n">
        <v>-0.423312404588075</v>
      </c>
      <c r="D484" s="17" t="n">
        <f aca="false">(C484-$B$4)/($B$6/SQRT($B$7))</f>
        <v>-2.11656202294037</v>
      </c>
      <c r="E484" s="0" t="str">
        <f aca="false">IF(OR(AND($B$9="superior",D484&gt;$B$10),AND($B$9="inferior",D484&lt;-$B$10)),"Rechazar H0","No rechazar H0")</f>
        <v>Rechazar H0</v>
      </c>
      <c r="F484" s="0" t="str">
        <f aca="false">IF(AND(B484="H0 verdadera",E484="Rechazar H0"),"Error tipo I",IF(AND(B484="Ha verdadera",E484="No rechazar H0"),"Error tipo II","Decisión correcta"))</f>
        <v>Decisión correcta</v>
      </c>
    </row>
    <row r="485" customFormat="false" ht="15" hidden="false" customHeight="false" outlineLevel="0" collapsed="false">
      <c r="A485" s="0" t="n">
        <v>464</v>
      </c>
      <c r="B485" s="0" t="s">
        <v>86</v>
      </c>
      <c r="C485" s="17" t="n">
        <v>-0.331391093848041</v>
      </c>
      <c r="D485" s="17" t="n">
        <f aca="false">(C485-$B$4)/($B$6/SQRT($B$7))</f>
        <v>-1.6569554692402</v>
      </c>
      <c r="E485" s="0" t="str">
        <f aca="false">IF(OR(AND($B$9="superior",D485&gt;$B$10),AND($B$9="inferior",D485&lt;-$B$10)),"Rechazar H0","No rechazar H0")</f>
        <v>Rechazar H0</v>
      </c>
      <c r="F485" s="0" t="str">
        <f aca="false">IF(AND(B485="H0 verdadera",E485="Rechazar H0"),"Error tipo I",IF(AND(B485="Ha verdadera",E485="No rechazar H0"),"Error tipo II","Decisión correcta"))</f>
        <v>Decisión correcta</v>
      </c>
    </row>
    <row r="486" customFormat="false" ht="15" hidden="false" customHeight="false" outlineLevel="0" collapsed="false">
      <c r="A486" s="0" t="n">
        <v>465</v>
      </c>
      <c r="B486" s="0" t="s">
        <v>85</v>
      </c>
      <c r="C486" s="17" t="n">
        <v>-0.124143363943744</v>
      </c>
      <c r="D486" s="17" t="n">
        <f aca="false">(C486-$B$4)/($B$6/SQRT($B$7))</f>
        <v>-0.620716819718719</v>
      </c>
      <c r="E486" s="0" t="str">
        <f aca="false">IF(OR(AND($B$9="superior",D486&gt;$B$10),AND($B$9="inferior",D486&lt;-$B$10)),"Rechazar H0","No rechazar H0")</f>
        <v>No rechazar H0</v>
      </c>
      <c r="F486" s="0" t="str">
        <f aca="false">IF(AND(B486="H0 verdadera",E486="Rechazar H0"),"Error tipo I",IF(AND(B486="Ha verdadera",E486="No rechazar H0"),"Error tipo II","Decisión correcta"))</f>
        <v>Decisión correcta</v>
      </c>
    </row>
    <row r="487" customFormat="false" ht="15" hidden="false" customHeight="false" outlineLevel="0" collapsed="false">
      <c r="A487" s="0" t="n">
        <v>466</v>
      </c>
      <c r="B487" s="0" t="s">
        <v>85</v>
      </c>
      <c r="C487" s="17" t="n">
        <v>-0.0264772005878128</v>
      </c>
      <c r="D487" s="17" t="n">
        <f aca="false">(C487-$B$4)/($B$6/SQRT($B$7))</f>
        <v>-0.132386002939064</v>
      </c>
      <c r="E487" s="0" t="str">
        <f aca="false">IF(OR(AND($B$9="superior",D487&gt;$B$10),AND($B$9="inferior",D487&lt;-$B$10)),"Rechazar H0","No rechazar H0")</f>
        <v>No rechazar H0</v>
      </c>
      <c r="F487" s="0" t="str">
        <f aca="false">IF(AND(B487="H0 verdadera",E487="Rechazar H0"),"Error tipo I",IF(AND(B487="Ha verdadera",E487="No rechazar H0"),"Error tipo II","Decisión correcta"))</f>
        <v>Decisión correcta</v>
      </c>
    </row>
    <row r="488" customFormat="false" ht="15" hidden="false" customHeight="false" outlineLevel="0" collapsed="false">
      <c r="A488" s="0" t="n">
        <v>467</v>
      </c>
      <c r="B488" s="0" t="s">
        <v>85</v>
      </c>
      <c r="C488" s="17" t="n">
        <v>0.1361924319932</v>
      </c>
      <c r="D488" s="17" t="n">
        <f aca="false">(C488-$B$4)/($B$6/SQRT($B$7))</f>
        <v>0.680962159966002</v>
      </c>
      <c r="E488" s="0" t="str">
        <f aca="false">IF(OR(AND($B$9="superior",D488&gt;$B$10),AND($B$9="inferior",D488&lt;-$B$10)),"Rechazar H0","No rechazar H0")</f>
        <v>No rechazar H0</v>
      </c>
      <c r="F488" s="0" t="str">
        <f aca="false">IF(AND(B488="H0 verdadera",E488="Rechazar H0"),"Error tipo I",IF(AND(B488="Ha verdadera",E488="No rechazar H0"),"Error tipo II","Decisión correcta"))</f>
        <v>Decisión correcta</v>
      </c>
    </row>
    <row r="489" customFormat="false" ht="15" hidden="false" customHeight="false" outlineLevel="0" collapsed="false">
      <c r="A489" s="0" t="n">
        <v>468</v>
      </c>
      <c r="B489" s="0" t="s">
        <v>86</v>
      </c>
      <c r="C489" s="17" t="n">
        <v>-0.419808759035278</v>
      </c>
      <c r="D489" s="17" t="n">
        <f aca="false">(C489-$B$4)/($B$6/SQRT($B$7))</f>
        <v>-2.09904379517639</v>
      </c>
      <c r="E489" s="0" t="str">
        <f aca="false">IF(OR(AND($B$9="superior",D489&gt;$B$10),AND($B$9="inferior",D489&lt;-$B$10)),"Rechazar H0","No rechazar H0")</f>
        <v>Rechazar H0</v>
      </c>
      <c r="F489" s="0" t="str">
        <f aca="false">IF(AND(B489="H0 verdadera",E489="Rechazar H0"),"Error tipo I",IF(AND(B489="Ha verdadera",E489="No rechazar H0"),"Error tipo II","Decisión correcta"))</f>
        <v>Decisión correcta</v>
      </c>
    </row>
    <row r="490" customFormat="false" ht="15" hidden="false" customHeight="false" outlineLevel="0" collapsed="false">
      <c r="A490" s="0" t="n">
        <v>469</v>
      </c>
      <c r="B490" s="0" t="s">
        <v>85</v>
      </c>
      <c r="C490" s="17" t="n">
        <v>-0.377547944676096</v>
      </c>
      <c r="D490" s="17" t="n">
        <f aca="false">(C490-$B$4)/($B$6/SQRT($B$7))</f>
        <v>-1.88773972338048</v>
      </c>
      <c r="E490" s="0" t="str">
        <f aca="false">IF(OR(AND($B$9="superior",D490&gt;$B$10),AND($B$9="inferior",D490&lt;-$B$10)),"Rechazar H0","No rechazar H0")</f>
        <v>Rechazar H0</v>
      </c>
      <c r="F490" s="0" t="str">
        <f aca="false">IF(AND(B490="H0 verdadera",E490="Rechazar H0"),"Error tipo I",IF(AND(B490="Ha verdadera",E490="No rechazar H0"),"Error tipo II","Decisión correcta"))</f>
        <v>Error tipo I</v>
      </c>
    </row>
    <row r="491" customFormat="false" ht="15" hidden="false" customHeight="false" outlineLevel="0" collapsed="false">
      <c r="A491" s="0" t="n">
        <v>470</v>
      </c>
      <c r="B491" s="0" t="s">
        <v>85</v>
      </c>
      <c r="C491" s="17" t="n">
        <v>-0.0586674266387098</v>
      </c>
      <c r="D491" s="17" t="n">
        <f aca="false">(C491-$B$4)/($B$6/SQRT($B$7))</f>
        <v>-0.293337133193549</v>
      </c>
      <c r="E491" s="0" t="str">
        <f aca="false">IF(OR(AND($B$9="superior",D491&gt;$B$10),AND($B$9="inferior",D491&lt;-$B$10)),"Rechazar H0","No rechazar H0")</f>
        <v>No rechazar H0</v>
      </c>
      <c r="F491" s="0" t="str">
        <f aca="false">IF(AND(B491="H0 verdadera",E491="Rechazar H0"),"Error tipo I",IF(AND(B491="Ha verdadera",E491="No rechazar H0"),"Error tipo II","Decisión correcta"))</f>
        <v>Decisión correcta</v>
      </c>
    </row>
    <row r="492" customFormat="false" ht="15" hidden="false" customHeight="false" outlineLevel="0" collapsed="false">
      <c r="A492" s="0" t="n">
        <v>471</v>
      </c>
      <c r="B492" s="0" t="s">
        <v>85</v>
      </c>
      <c r="C492" s="17" t="n">
        <v>-0.249002800285389</v>
      </c>
      <c r="D492" s="17" t="n">
        <f aca="false">(C492-$B$4)/($B$6/SQRT($B$7))</f>
        <v>-1.24501400142694</v>
      </c>
      <c r="E492" s="0" t="str">
        <f aca="false">IF(OR(AND($B$9="superior",D492&gt;$B$10),AND($B$9="inferior",D492&lt;-$B$10)),"Rechazar H0","No rechazar H0")</f>
        <v>No rechazar H0</v>
      </c>
      <c r="F492" s="0" t="str">
        <f aca="false">IF(AND(B492="H0 verdadera",E492="Rechazar H0"),"Error tipo I",IF(AND(B492="Ha verdadera",E492="No rechazar H0"),"Error tipo II","Decisión correcta"))</f>
        <v>Decisión correcta</v>
      </c>
    </row>
    <row r="493" customFormat="false" ht="15" hidden="false" customHeight="false" outlineLevel="0" collapsed="false">
      <c r="A493" s="0" t="n">
        <v>472</v>
      </c>
      <c r="B493" s="0" t="s">
        <v>86</v>
      </c>
      <c r="C493" s="17" t="n">
        <v>-0.634496359127182</v>
      </c>
      <c r="D493" s="17" t="n">
        <f aca="false">(C493-$B$4)/($B$6/SQRT($B$7))</f>
        <v>-3.17248179563591</v>
      </c>
      <c r="E493" s="0" t="str">
        <f aca="false">IF(OR(AND($B$9="superior",D493&gt;$B$10),AND($B$9="inferior",D493&lt;-$B$10)),"Rechazar H0","No rechazar H0")</f>
        <v>Rechazar H0</v>
      </c>
      <c r="F493" s="0" t="str">
        <f aca="false">IF(AND(B493="H0 verdadera",E493="Rechazar H0"),"Error tipo I",IF(AND(B493="Ha verdadera",E493="No rechazar H0"),"Error tipo II","Decisión correcta"))</f>
        <v>Decisión correcta</v>
      </c>
    </row>
    <row r="494" customFormat="false" ht="15" hidden="false" customHeight="false" outlineLevel="0" collapsed="false">
      <c r="A494" s="0" t="n">
        <v>473</v>
      </c>
      <c r="B494" s="0" t="s">
        <v>85</v>
      </c>
      <c r="C494" s="17" t="n">
        <v>0.105516891624582</v>
      </c>
      <c r="D494" s="17" t="n">
        <f aca="false">(C494-$B$4)/($B$6/SQRT($B$7))</f>
        <v>0.52758445812291</v>
      </c>
      <c r="E494" s="0" t="str">
        <f aca="false">IF(OR(AND($B$9="superior",D494&gt;$B$10),AND($B$9="inferior",D494&lt;-$B$10)),"Rechazar H0","No rechazar H0")</f>
        <v>No rechazar H0</v>
      </c>
      <c r="F494" s="0" t="str">
        <f aca="false">IF(AND(B494="H0 verdadera",E494="Rechazar H0"),"Error tipo I",IF(AND(B494="Ha verdadera",E494="No rechazar H0"),"Error tipo II","Decisión correcta"))</f>
        <v>Decisión correcta</v>
      </c>
    </row>
    <row r="495" customFormat="false" ht="15" hidden="false" customHeight="false" outlineLevel="0" collapsed="false">
      <c r="A495" s="0" t="n">
        <v>474</v>
      </c>
      <c r="B495" s="0" t="s">
        <v>86</v>
      </c>
      <c r="C495" s="17" t="n">
        <v>-0.139848046087493</v>
      </c>
      <c r="D495" s="17" t="n">
        <f aca="false">(C495-$B$4)/($B$6/SQRT($B$7))</f>
        <v>-0.699240230437465</v>
      </c>
      <c r="E495" s="0" t="str">
        <f aca="false">IF(OR(AND($B$9="superior",D495&gt;$B$10),AND($B$9="inferior",D495&lt;-$B$10)),"Rechazar H0","No rechazar H0")</f>
        <v>No rechazar H0</v>
      </c>
      <c r="F495" s="0" t="str">
        <f aca="false">IF(AND(B495="H0 verdadera",E495="Rechazar H0"),"Error tipo I",IF(AND(B495="Ha verdadera",E495="No rechazar H0"),"Error tipo II","Decisión correcta"))</f>
        <v>Error tipo II</v>
      </c>
    </row>
    <row r="496" customFormat="false" ht="15" hidden="false" customHeight="false" outlineLevel="0" collapsed="false">
      <c r="A496" s="0" t="n">
        <v>475</v>
      </c>
      <c r="B496" s="0" t="s">
        <v>85</v>
      </c>
      <c r="C496" s="17" t="n">
        <v>-0.0364159319227555</v>
      </c>
      <c r="D496" s="17" t="n">
        <f aca="false">(C496-$B$4)/($B$6/SQRT($B$7))</f>
        <v>-0.182079659613778</v>
      </c>
      <c r="E496" s="0" t="str">
        <f aca="false">IF(OR(AND($B$9="superior",D496&gt;$B$10),AND($B$9="inferior",D496&lt;-$B$10)),"Rechazar H0","No rechazar H0")</f>
        <v>No rechazar H0</v>
      </c>
      <c r="F496" s="0" t="str">
        <f aca="false">IF(AND(B496="H0 verdadera",E496="Rechazar H0"),"Error tipo I",IF(AND(B496="Ha verdadera",E496="No rechazar H0"),"Error tipo II","Decisión correcta"))</f>
        <v>Decisión correcta</v>
      </c>
    </row>
    <row r="497" customFormat="false" ht="15" hidden="false" customHeight="false" outlineLevel="0" collapsed="false">
      <c r="A497" s="0" t="n">
        <v>476</v>
      </c>
      <c r="B497" s="0" t="s">
        <v>86</v>
      </c>
      <c r="C497" s="17" t="n">
        <v>-0.667424348594969</v>
      </c>
      <c r="D497" s="17" t="n">
        <f aca="false">(C497-$B$4)/($B$6/SQRT($B$7))</f>
        <v>-3.33712174297485</v>
      </c>
      <c r="E497" s="0" t="str">
        <f aca="false">IF(OR(AND($B$9="superior",D497&gt;$B$10),AND($B$9="inferior",D497&lt;-$B$10)),"Rechazar H0","No rechazar H0")</f>
        <v>Rechazar H0</v>
      </c>
      <c r="F497" s="0" t="str">
        <f aca="false">IF(AND(B497="H0 verdadera",E497="Rechazar H0"),"Error tipo I",IF(AND(B497="Ha verdadera",E497="No rechazar H0"),"Error tipo II","Decisión correcta"))</f>
        <v>Decisión correcta</v>
      </c>
    </row>
    <row r="498" customFormat="false" ht="15" hidden="false" customHeight="false" outlineLevel="0" collapsed="false">
      <c r="A498" s="0" t="n">
        <v>477</v>
      </c>
      <c r="B498" s="0" t="s">
        <v>86</v>
      </c>
      <c r="C498" s="17" t="n">
        <v>-0.263546718917478</v>
      </c>
      <c r="D498" s="17" t="n">
        <f aca="false">(C498-$B$4)/($B$6/SQRT($B$7))</f>
        <v>-1.31773359458739</v>
      </c>
      <c r="E498" s="0" t="str">
        <f aca="false">IF(OR(AND($B$9="superior",D498&gt;$B$10),AND($B$9="inferior",D498&lt;-$B$10)),"Rechazar H0","No rechazar H0")</f>
        <v>No rechazar H0</v>
      </c>
      <c r="F498" s="0" t="str">
        <f aca="false">IF(AND(B498="H0 verdadera",E498="Rechazar H0"),"Error tipo I",IF(AND(B498="Ha verdadera",E498="No rechazar H0"),"Error tipo II","Decisión correcta"))</f>
        <v>Error tipo II</v>
      </c>
    </row>
    <row r="499" customFormat="false" ht="15" hidden="false" customHeight="false" outlineLevel="0" collapsed="false">
      <c r="A499" s="0" t="n">
        <v>478</v>
      </c>
      <c r="B499" s="0" t="s">
        <v>86</v>
      </c>
      <c r="C499" s="17" t="n">
        <v>-0.733270000568691</v>
      </c>
      <c r="D499" s="17" t="n">
        <f aca="false">(C499-$B$4)/($B$6/SQRT($B$7))</f>
        <v>-3.66635000284345</v>
      </c>
      <c r="E499" s="0" t="str">
        <f aca="false">IF(OR(AND($B$9="superior",D499&gt;$B$10),AND($B$9="inferior",D499&lt;-$B$10)),"Rechazar H0","No rechazar H0")</f>
        <v>Rechazar H0</v>
      </c>
      <c r="F499" s="0" t="str">
        <f aca="false">IF(AND(B499="H0 verdadera",E499="Rechazar H0"),"Error tipo I",IF(AND(B499="Ha verdadera",E499="No rechazar H0"),"Error tipo II","Decisión correcta"))</f>
        <v>Decisión correcta</v>
      </c>
    </row>
    <row r="500" customFormat="false" ht="15" hidden="false" customHeight="false" outlineLevel="0" collapsed="false">
      <c r="A500" s="0" t="n">
        <v>479</v>
      </c>
      <c r="B500" s="0" t="s">
        <v>85</v>
      </c>
      <c r="C500" s="17" t="n">
        <v>-0.170136161323516</v>
      </c>
      <c r="D500" s="17" t="n">
        <f aca="false">(C500-$B$4)/($B$6/SQRT($B$7))</f>
        <v>-0.850680806617582</v>
      </c>
      <c r="E500" s="0" t="str">
        <f aca="false">IF(OR(AND($B$9="superior",D500&gt;$B$10),AND($B$9="inferior",D500&lt;-$B$10)),"Rechazar H0","No rechazar H0")</f>
        <v>No rechazar H0</v>
      </c>
      <c r="F500" s="0" t="str">
        <f aca="false">IF(AND(B500="H0 verdadera",E500="Rechazar H0"),"Error tipo I",IF(AND(B500="Ha verdadera",E500="No rechazar H0"),"Error tipo II","Decisión correcta"))</f>
        <v>Decisión correcta</v>
      </c>
    </row>
    <row r="501" customFormat="false" ht="15" hidden="false" customHeight="false" outlineLevel="0" collapsed="false">
      <c r="A501" s="0" t="n">
        <v>480</v>
      </c>
      <c r="B501" s="0" t="s">
        <v>86</v>
      </c>
      <c r="C501" s="17" t="n">
        <v>-0.0486878609226221</v>
      </c>
      <c r="D501" s="17" t="n">
        <f aca="false">(C501-$B$4)/($B$6/SQRT($B$7))</f>
        <v>-0.243439304613111</v>
      </c>
      <c r="E501" s="0" t="str">
        <f aca="false">IF(OR(AND($B$9="superior",D501&gt;$B$10),AND($B$9="inferior",D501&lt;-$B$10)),"Rechazar H0","No rechazar H0")</f>
        <v>No rechazar H0</v>
      </c>
      <c r="F501" s="0" t="str">
        <f aca="false">IF(AND(B501="H0 verdadera",E501="Rechazar H0"),"Error tipo I",IF(AND(B501="Ha verdadera",E501="No rechazar H0"),"Error tipo II","Decisión correcta"))</f>
        <v>Error tipo II</v>
      </c>
    </row>
    <row r="502" customFormat="false" ht="15" hidden="false" customHeight="false" outlineLevel="0" collapsed="false">
      <c r="A502" s="0" t="n">
        <v>481</v>
      </c>
      <c r="B502" s="0" t="s">
        <v>85</v>
      </c>
      <c r="C502" s="17" t="n">
        <v>0.0573036747939811</v>
      </c>
      <c r="D502" s="17" t="n">
        <f aca="false">(C502-$B$4)/($B$6/SQRT($B$7))</f>
        <v>0.286518373969905</v>
      </c>
      <c r="E502" s="0" t="str">
        <f aca="false">IF(OR(AND($B$9="superior",D502&gt;$B$10),AND($B$9="inferior",D502&lt;-$B$10)),"Rechazar H0","No rechazar H0")</f>
        <v>No rechazar H0</v>
      </c>
      <c r="F502" s="0" t="str">
        <f aca="false">IF(AND(B502="H0 verdadera",E502="Rechazar H0"),"Error tipo I",IF(AND(B502="Ha verdadera",E502="No rechazar H0"),"Error tipo II","Decisión correcta"))</f>
        <v>Decisión correcta</v>
      </c>
    </row>
    <row r="503" customFormat="false" ht="15" hidden="false" customHeight="false" outlineLevel="0" collapsed="false">
      <c r="A503" s="0" t="n">
        <v>482</v>
      </c>
      <c r="B503" s="0" t="s">
        <v>85</v>
      </c>
      <c r="C503" s="17" t="n">
        <v>-0.0513010610555049</v>
      </c>
      <c r="D503" s="17" t="n">
        <f aca="false">(C503-$B$4)/($B$6/SQRT($B$7))</f>
        <v>-0.256505305277524</v>
      </c>
      <c r="E503" s="0" t="str">
        <f aca="false">IF(OR(AND($B$9="superior",D503&gt;$B$10),AND($B$9="inferior",D503&lt;-$B$10)),"Rechazar H0","No rechazar H0")</f>
        <v>No rechazar H0</v>
      </c>
      <c r="F503" s="0" t="str">
        <f aca="false">IF(AND(B503="H0 verdadera",E503="Rechazar H0"),"Error tipo I",IF(AND(B503="Ha verdadera",E503="No rechazar H0"),"Error tipo II","Decisión correcta"))</f>
        <v>Decisión correcta</v>
      </c>
    </row>
    <row r="504" customFormat="false" ht="15" hidden="false" customHeight="false" outlineLevel="0" collapsed="false">
      <c r="A504" s="0" t="n">
        <v>483</v>
      </c>
      <c r="B504" s="0" t="s">
        <v>85</v>
      </c>
      <c r="C504" s="17" t="n">
        <v>-0.0342913516727521</v>
      </c>
      <c r="D504" s="17" t="n">
        <f aca="false">(C504-$B$4)/($B$6/SQRT($B$7))</f>
        <v>-0.171456758363761</v>
      </c>
      <c r="E504" s="0" t="str">
        <f aca="false">IF(OR(AND($B$9="superior",D504&gt;$B$10),AND($B$9="inferior",D504&lt;-$B$10)),"Rechazar H0","No rechazar H0")</f>
        <v>No rechazar H0</v>
      </c>
      <c r="F504" s="0" t="str">
        <f aca="false">IF(AND(B504="H0 verdadera",E504="Rechazar H0"),"Error tipo I",IF(AND(B504="Ha verdadera",E504="No rechazar H0"),"Error tipo II","Decisión correcta"))</f>
        <v>Decisión correcta</v>
      </c>
    </row>
    <row r="505" customFormat="false" ht="15" hidden="false" customHeight="false" outlineLevel="0" collapsed="false">
      <c r="A505" s="0" t="n">
        <v>484</v>
      </c>
      <c r="B505" s="0" t="s">
        <v>85</v>
      </c>
      <c r="C505" s="17" t="n">
        <v>0.111567147327985</v>
      </c>
      <c r="D505" s="17" t="n">
        <f aca="false">(C505-$B$4)/($B$6/SQRT($B$7))</f>
        <v>0.557835736639926</v>
      </c>
      <c r="E505" s="0" t="str">
        <f aca="false">IF(OR(AND($B$9="superior",D505&gt;$B$10),AND($B$9="inferior",D505&lt;-$B$10)),"Rechazar H0","No rechazar H0")</f>
        <v>No rechazar H0</v>
      </c>
      <c r="F505" s="0" t="str">
        <f aca="false">IF(AND(B505="H0 verdadera",E505="Rechazar H0"),"Error tipo I",IF(AND(B505="Ha verdadera",E505="No rechazar H0"),"Error tipo II","Decisión correcta"))</f>
        <v>Decisión correcta</v>
      </c>
    </row>
    <row r="506" customFormat="false" ht="15" hidden="false" customHeight="false" outlineLevel="0" collapsed="false">
      <c r="A506" s="0" t="n">
        <v>485</v>
      </c>
      <c r="B506" s="0" t="s">
        <v>85</v>
      </c>
      <c r="C506" s="17" t="n">
        <v>-0.0115839628802637</v>
      </c>
      <c r="D506" s="17" t="n">
        <f aca="false">(C506-$B$4)/($B$6/SQRT($B$7))</f>
        <v>-0.0579198144013183</v>
      </c>
      <c r="E506" s="0" t="str">
        <f aca="false">IF(OR(AND($B$9="superior",D506&gt;$B$10),AND($B$9="inferior",D506&lt;-$B$10)),"Rechazar H0","No rechazar H0")</f>
        <v>No rechazar H0</v>
      </c>
      <c r="F506" s="0" t="str">
        <f aca="false">IF(AND(B506="H0 verdadera",E506="Rechazar H0"),"Error tipo I",IF(AND(B506="Ha verdadera",E506="No rechazar H0"),"Error tipo II","Decisión correcta"))</f>
        <v>Decisión correcta</v>
      </c>
    </row>
    <row r="507" customFormat="false" ht="15" hidden="false" customHeight="false" outlineLevel="0" collapsed="false">
      <c r="A507" s="0" t="n">
        <v>486</v>
      </c>
      <c r="B507" s="0" t="s">
        <v>86</v>
      </c>
      <c r="C507" s="17" t="n">
        <v>-0.349654134812524</v>
      </c>
      <c r="D507" s="17" t="n">
        <f aca="false">(C507-$B$4)/($B$6/SQRT($B$7))</f>
        <v>-1.74827067406262</v>
      </c>
      <c r="E507" s="0" t="str">
        <f aca="false">IF(OR(AND($B$9="superior",D507&gt;$B$10),AND($B$9="inferior",D507&lt;-$B$10)),"Rechazar H0","No rechazar H0")</f>
        <v>Rechazar H0</v>
      </c>
      <c r="F507" s="0" t="str">
        <f aca="false">IF(AND(B507="H0 verdadera",E507="Rechazar H0"),"Error tipo I",IF(AND(B507="Ha verdadera",E507="No rechazar H0"),"Error tipo II","Decisión correcta"))</f>
        <v>Decisión correcta</v>
      </c>
    </row>
    <row r="508" customFormat="false" ht="15" hidden="false" customHeight="false" outlineLevel="0" collapsed="false">
      <c r="A508" s="0" t="n">
        <v>487</v>
      </c>
      <c r="B508" s="0" t="s">
        <v>85</v>
      </c>
      <c r="C508" s="17" t="n">
        <v>0.0400531830932661</v>
      </c>
      <c r="D508" s="17" t="n">
        <f aca="false">(C508-$B$4)/($B$6/SQRT($B$7))</f>
        <v>0.20026591546633</v>
      </c>
      <c r="E508" s="0" t="str">
        <f aca="false">IF(OR(AND($B$9="superior",D508&gt;$B$10),AND($B$9="inferior",D508&lt;-$B$10)),"Rechazar H0","No rechazar H0")</f>
        <v>No rechazar H0</v>
      </c>
      <c r="F508" s="0" t="str">
        <f aca="false">IF(AND(B508="H0 verdadera",E508="Rechazar H0"),"Error tipo I",IF(AND(B508="Ha verdadera",E508="No rechazar H0"),"Error tipo II","Decisión correcta"))</f>
        <v>Decisión correcta</v>
      </c>
    </row>
    <row r="509" customFormat="false" ht="15" hidden="false" customHeight="false" outlineLevel="0" collapsed="false">
      <c r="A509" s="0" t="n">
        <v>488</v>
      </c>
      <c r="B509" s="0" t="s">
        <v>85</v>
      </c>
      <c r="C509" s="17" t="n">
        <v>0.267477920643532</v>
      </c>
      <c r="D509" s="17" t="n">
        <f aca="false">(C509-$B$4)/($B$6/SQRT($B$7))</f>
        <v>1.33738960321766</v>
      </c>
      <c r="E509" s="0" t="str">
        <f aca="false">IF(OR(AND($B$9="superior",D509&gt;$B$10),AND($B$9="inferior",D509&lt;-$B$10)),"Rechazar H0","No rechazar H0")</f>
        <v>No rechazar H0</v>
      </c>
      <c r="F509" s="0" t="str">
        <f aca="false">IF(AND(B509="H0 verdadera",E509="Rechazar H0"),"Error tipo I",IF(AND(B509="Ha verdadera",E509="No rechazar H0"),"Error tipo II","Decisión correcta"))</f>
        <v>Decisión correcta</v>
      </c>
    </row>
    <row r="510" customFormat="false" ht="15" hidden="false" customHeight="false" outlineLevel="0" collapsed="false">
      <c r="A510" s="0" t="n">
        <v>489</v>
      </c>
      <c r="B510" s="0" t="s">
        <v>86</v>
      </c>
      <c r="C510" s="17" t="n">
        <v>-0.290174641013224</v>
      </c>
      <c r="D510" s="17" t="n">
        <f aca="false">(C510-$B$4)/($B$6/SQRT($B$7))</f>
        <v>-1.45087320506612</v>
      </c>
      <c r="E510" s="0" t="str">
        <f aca="false">IF(OR(AND($B$9="superior",D510&gt;$B$10),AND($B$9="inferior",D510&lt;-$B$10)),"Rechazar H0","No rechazar H0")</f>
        <v>No rechazar H0</v>
      </c>
      <c r="F510" s="0" t="str">
        <f aca="false">IF(AND(B510="H0 verdadera",E510="Rechazar H0"),"Error tipo I",IF(AND(B510="Ha verdadera",E510="No rechazar H0"),"Error tipo II","Decisión correcta"))</f>
        <v>Error tipo II</v>
      </c>
    </row>
    <row r="511" customFormat="false" ht="15" hidden="false" customHeight="false" outlineLevel="0" collapsed="false">
      <c r="A511" s="0" t="n">
        <v>490</v>
      </c>
      <c r="B511" s="0" t="s">
        <v>85</v>
      </c>
      <c r="C511" s="17" t="n">
        <v>0.198502701914946</v>
      </c>
      <c r="D511" s="17" t="n">
        <f aca="false">(C511-$B$4)/($B$6/SQRT($B$7))</f>
        <v>0.992513509574728</v>
      </c>
      <c r="E511" s="0" t="str">
        <f aca="false">IF(OR(AND($B$9="superior",D511&gt;$B$10),AND($B$9="inferior",D511&lt;-$B$10)),"Rechazar H0","No rechazar H0")</f>
        <v>No rechazar H0</v>
      </c>
      <c r="F511" s="0" t="str">
        <f aca="false">IF(AND(B511="H0 verdadera",E511="Rechazar H0"),"Error tipo I",IF(AND(B511="Ha verdadera",E511="No rechazar H0"),"Error tipo II","Decisión correcta"))</f>
        <v>Decisión correcta</v>
      </c>
    </row>
    <row r="512" customFormat="false" ht="15" hidden="false" customHeight="false" outlineLevel="0" collapsed="false">
      <c r="A512" s="0" t="n">
        <v>491</v>
      </c>
      <c r="B512" s="0" t="s">
        <v>86</v>
      </c>
      <c r="C512" s="17" t="n">
        <v>-0.462072511125095</v>
      </c>
      <c r="D512" s="17" t="n">
        <f aca="false">(C512-$B$4)/($B$6/SQRT($B$7))</f>
        <v>-2.31036255562547</v>
      </c>
      <c r="E512" s="0" t="str">
        <f aca="false">IF(OR(AND($B$9="superior",D512&gt;$B$10),AND($B$9="inferior",D512&lt;-$B$10)),"Rechazar H0","No rechazar H0")</f>
        <v>Rechazar H0</v>
      </c>
      <c r="F512" s="0" t="str">
        <f aca="false">IF(AND(B512="H0 verdadera",E512="Rechazar H0"),"Error tipo I",IF(AND(B512="Ha verdadera",E512="No rechazar H0"),"Error tipo II","Decisión correcta"))</f>
        <v>Decisión correcta</v>
      </c>
    </row>
    <row r="513" customFormat="false" ht="15" hidden="false" customHeight="false" outlineLevel="0" collapsed="false">
      <c r="A513" s="0" t="n">
        <v>492</v>
      </c>
      <c r="B513" s="0" t="s">
        <v>86</v>
      </c>
      <c r="C513" s="17" t="n">
        <v>-0.386186688008515</v>
      </c>
      <c r="D513" s="17" t="n">
        <f aca="false">(C513-$B$4)/($B$6/SQRT($B$7))</f>
        <v>-1.93093344004258</v>
      </c>
      <c r="E513" s="0" t="str">
        <f aca="false">IF(OR(AND($B$9="superior",D513&gt;$B$10),AND($B$9="inferior",D513&lt;-$B$10)),"Rechazar H0","No rechazar H0")</f>
        <v>Rechazar H0</v>
      </c>
      <c r="F513" s="0" t="str">
        <f aca="false">IF(AND(B513="H0 verdadera",E513="Rechazar H0"),"Error tipo I",IF(AND(B513="Ha verdadera",E513="No rechazar H0"),"Error tipo II","Decisión correcta"))</f>
        <v>Decisión correcta</v>
      </c>
    </row>
    <row r="514" customFormat="false" ht="15" hidden="false" customHeight="false" outlineLevel="0" collapsed="false">
      <c r="A514" s="0" t="n">
        <v>493</v>
      </c>
      <c r="B514" s="0" t="s">
        <v>86</v>
      </c>
      <c r="C514" s="17" t="n">
        <v>-0.377595188611656</v>
      </c>
      <c r="D514" s="17" t="n">
        <f aca="false">(C514-$B$4)/($B$6/SQRT($B$7))</f>
        <v>-1.88797594305828</v>
      </c>
      <c r="E514" s="0" t="str">
        <f aca="false">IF(OR(AND($B$9="superior",D514&gt;$B$10),AND($B$9="inferior",D514&lt;-$B$10)),"Rechazar H0","No rechazar H0")</f>
        <v>Rechazar H0</v>
      </c>
      <c r="F514" s="0" t="str">
        <f aca="false">IF(AND(B514="H0 verdadera",E514="Rechazar H0"),"Error tipo I",IF(AND(B514="Ha verdadera",E514="No rechazar H0"),"Error tipo II","Decisión correcta"))</f>
        <v>Decisión correcta</v>
      </c>
    </row>
    <row r="515" customFormat="false" ht="15" hidden="false" customHeight="false" outlineLevel="0" collapsed="false">
      <c r="A515" s="0" t="n">
        <v>494</v>
      </c>
      <c r="B515" s="0" t="s">
        <v>86</v>
      </c>
      <c r="C515" s="17" t="n">
        <v>-0.656042053347434</v>
      </c>
      <c r="D515" s="17" t="n">
        <f aca="false">(C515-$B$4)/($B$6/SQRT($B$7))</f>
        <v>-3.28021026673717</v>
      </c>
      <c r="E515" s="0" t="str">
        <f aca="false">IF(OR(AND($B$9="superior",D515&gt;$B$10),AND($B$9="inferior",D515&lt;-$B$10)),"Rechazar H0","No rechazar H0")</f>
        <v>Rechazar H0</v>
      </c>
      <c r="F515" s="0" t="str">
        <f aca="false">IF(AND(B515="H0 verdadera",E515="Rechazar H0"),"Error tipo I",IF(AND(B515="Ha verdadera",E515="No rechazar H0"),"Error tipo II","Decisión correcta"))</f>
        <v>Decisión correcta</v>
      </c>
    </row>
    <row r="516" customFormat="false" ht="15" hidden="false" customHeight="false" outlineLevel="0" collapsed="false">
      <c r="A516" s="0" t="n">
        <v>495</v>
      </c>
      <c r="B516" s="0" t="s">
        <v>86</v>
      </c>
      <c r="C516" s="17" t="n">
        <v>-0.0930379201545347</v>
      </c>
      <c r="D516" s="17" t="n">
        <f aca="false">(C516-$B$4)/($B$6/SQRT($B$7))</f>
        <v>-0.465189600772673</v>
      </c>
      <c r="E516" s="0" t="str">
        <f aca="false">IF(OR(AND($B$9="superior",D516&gt;$B$10),AND($B$9="inferior",D516&lt;-$B$10)),"Rechazar H0","No rechazar H0")</f>
        <v>No rechazar H0</v>
      </c>
      <c r="F516" s="0" t="str">
        <f aca="false">IF(AND(B516="H0 verdadera",E516="Rechazar H0"),"Error tipo I",IF(AND(B516="Ha verdadera",E516="No rechazar H0"),"Error tipo II","Decisión correcta"))</f>
        <v>Error tipo II</v>
      </c>
    </row>
    <row r="517" customFormat="false" ht="15" hidden="false" customHeight="false" outlineLevel="0" collapsed="false">
      <c r="A517" s="0" t="n">
        <v>496</v>
      </c>
      <c r="B517" s="0" t="s">
        <v>86</v>
      </c>
      <c r="C517" s="17" t="n">
        <v>-0.248104027745109</v>
      </c>
      <c r="D517" s="17" t="n">
        <f aca="false">(C517-$B$4)/($B$6/SQRT($B$7))</f>
        <v>-1.24052013872555</v>
      </c>
      <c r="E517" s="0" t="str">
        <f aca="false">IF(OR(AND($B$9="superior",D517&gt;$B$10),AND($B$9="inferior",D517&lt;-$B$10)),"Rechazar H0","No rechazar H0")</f>
        <v>No rechazar H0</v>
      </c>
      <c r="F517" s="0" t="str">
        <f aca="false">IF(AND(B517="H0 verdadera",E517="Rechazar H0"),"Error tipo I",IF(AND(B517="Ha verdadera",E517="No rechazar H0"),"Error tipo II","Decisión correcta"))</f>
        <v>Error tipo II</v>
      </c>
    </row>
    <row r="518" customFormat="false" ht="15" hidden="false" customHeight="false" outlineLevel="0" collapsed="false">
      <c r="A518" s="0" t="n">
        <v>497</v>
      </c>
      <c r="B518" s="0" t="s">
        <v>86</v>
      </c>
      <c r="C518" s="17" t="n">
        <v>-0.0881947885005497</v>
      </c>
      <c r="D518" s="17" t="n">
        <f aca="false">(C518-$B$4)/($B$6/SQRT($B$7))</f>
        <v>-0.440973942502748</v>
      </c>
      <c r="E518" s="0" t="str">
        <f aca="false">IF(OR(AND($B$9="superior",D518&gt;$B$10),AND($B$9="inferior",D518&lt;-$B$10)),"Rechazar H0","No rechazar H0")</f>
        <v>No rechazar H0</v>
      </c>
      <c r="F518" s="0" t="str">
        <f aca="false">IF(AND(B518="H0 verdadera",E518="Rechazar H0"),"Error tipo I",IF(AND(B518="Ha verdadera",E518="No rechazar H0"),"Error tipo II","Decisión correcta"))</f>
        <v>Error tipo II</v>
      </c>
    </row>
    <row r="519" customFormat="false" ht="15" hidden="false" customHeight="false" outlineLevel="0" collapsed="false">
      <c r="A519" s="0" t="n">
        <v>498</v>
      </c>
      <c r="B519" s="0" t="s">
        <v>85</v>
      </c>
      <c r="C519" s="17" t="n">
        <v>-0.0536732584023961</v>
      </c>
      <c r="D519" s="17" t="n">
        <f aca="false">(C519-$B$4)/($B$6/SQRT($B$7))</f>
        <v>-0.26836629201198</v>
      </c>
      <c r="E519" s="0" t="str">
        <f aca="false">IF(OR(AND($B$9="superior",D519&gt;$B$10),AND($B$9="inferior",D519&lt;-$B$10)),"Rechazar H0","No rechazar H0")</f>
        <v>No rechazar H0</v>
      </c>
      <c r="F519" s="0" t="str">
        <f aca="false">IF(AND(B519="H0 verdadera",E519="Rechazar H0"),"Error tipo I",IF(AND(B519="Ha verdadera",E519="No rechazar H0"),"Error tipo II","Decisión correcta"))</f>
        <v>Decisión correcta</v>
      </c>
    </row>
    <row r="520" customFormat="false" ht="15" hidden="false" customHeight="false" outlineLevel="0" collapsed="false">
      <c r="A520" s="0" t="n">
        <v>499</v>
      </c>
      <c r="B520" s="0" t="s">
        <v>85</v>
      </c>
      <c r="C520" s="17" t="n">
        <v>0.159828461798691</v>
      </c>
      <c r="D520" s="17" t="n">
        <f aca="false">(C520-$B$4)/($B$6/SQRT($B$7))</f>
        <v>0.799142308993454</v>
      </c>
      <c r="E520" s="0" t="str">
        <f aca="false">IF(OR(AND($B$9="superior",D520&gt;$B$10),AND($B$9="inferior",D520&lt;-$B$10)),"Rechazar H0","No rechazar H0")</f>
        <v>No rechazar H0</v>
      </c>
      <c r="F520" s="0" t="str">
        <f aca="false">IF(AND(B520="H0 verdadera",E520="Rechazar H0"),"Error tipo I",IF(AND(B520="Ha verdadera",E520="No rechazar H0"),"Error tipo II","Decisión correcta"))</f>
        <v>Decisión correcta</v>
      </c>
    </row>
    <row r="521" customFormat="false" ht="15" hidden="false" customHeight="false" outlineLevel="0" collapsed="false">
      <c r="A521" s="0" t="n">
        <v>500</v>
      </c>
      <c r="B521" s="0" t="s">
        <v>85</v>
      </c>
      <c r="C521" s="17" t="n">
        <v>0.261011382095752</v>
      </c>
      <c r="D521" s="17" t="n">
        <f aca="false">(C521-$B$4)/($B$6/SQRT($B$7))</f>
        <v>1.30505691047876</v>
      </c>
      <c r="E521" s="0" t="str">
        <f aca="false">IF(OR(AND($B$9="superior",D521&gt;$B$10),AND($B$9="inferior",D521&lt;-$B$10)),"Rechazar H0","No rechazar H0")</f>
        <v>No rechazar H0</v>
      </c>
      <c r="F521" s="0" t="str">
        <f aca="false">IF(AND(B521="H0 verdadera",E521="Rechazar H0"),"Error tipo I",IF(AND(B521="Ha verdadera",E521="No rechazar H0"),"Error tipo II","Decisión correcta"))</f>
        <v>Decisión correcta</v>
      </c>
    </row>
    <row r="522" customFormat="false" ht="15" hidden="false" customHeight="false" outlineLevel="0" collapsed="false">
      <c r="A522" s="0" t="n">
        <v>501</v>
      </c>
      <c r="B522" s="0" t="s">
        <v>86</v>
      </c>
      <c r="C522" s="17" t="n">
        <v>-0.492847696593119</v>
      </c>
      <c r="D522" s="17" t="n">
        <f aca="false">(C522-$B$4)/($B$6/SQRT($B$7))</f>
        <v>-2.46423848296559</v>
      </c>
      <c r="E522" s="0" t="str">
        <f aca="false">IF(OR(AND($B$9="superior",D522&gt;$B$10),AND($B$9="inferior",D522&lt;-$B$10)),"Rechazar H0","No rechazar H0")</f>
        <v>Rechazar H0</v>
      </c>
      <c r="F522" s="0" t="str">
        <f aca="false">IF(AND(B522="H0 verdadera",E522="Rechazar H0"),"Error tipo I",IF(AND(B522="Ha verdadera",E522="No rechazar H0"),"Error tipo II","Decisión correcta"))</f>
        <v>Decisión correcta</v>
      </c>
    </row>
    <row r="523" customFormat="false" ht="15" hidden="false" customHeight="false" outlineLevel="0" collapsed="false">
      <c r="A523" s="0" t="n">
        <v>502</v>
      </c>
      <c r="B523" s="0" t="s">
        <v>85</v>
      </c>
      <c r="C523" s="17" t="n">
        <v>-0.00961167031817709</v>
      </c>
      <c r="D523" s="17" t="n">
        <f aca="false">(C523-$B$4)/($B$6/SQRT($B$7))</f>
        <v>-0.0480583515908854</v>
      </c>
      <c r="E523" s="0" t="str">
        <f aca="false">IF(OR(AND($B$9="superior",D523&gt;$B$10),AND($B$9="inferior",D523&lt;-$B$10)),"Rechazar H0","No rechazar H0")</f>
        <v>No rechazar H0</v>
      </c>
      <c r="F523" s="0" t="str">
        <f aca="false">IF(AND(B523="H0 verdadera",E523="Rechazar H0"),"Error tipo I",IF(AND(B523="Ha verdadera",E523="No rechazar H0"),"Error tipo II","Decisión correcta"))</f>
        <v>Decisión correcta</v>
      </c>
    </row>
    <row r="524" customFormat="false" ht="15" hidden="false" customHeight="false" outlineLevel="0" collapsed="false">
      <c r="A524" s="0" t="n">
        <v>503</v>
      </c>
      <c r="B524" s="0" t="s">
        <v>86</v>
      </c>
      <c r="C524" s="17" t="n">
        <v>-0.407455773586165</v>
      </c>
      <c r="D524" s="17" t="n">
        <f aca="false">(C524-$B$4)/($B$6/SQRT($B$7))</f>
        <v>-2.03727886793082</v>
      </c>
      <c r="E524" s="0" t="str">
        <f aca="false">IF(OR(AND($B$9="superior",D524&gt;$B$10),AND($B$9="inferior",D524&lt;-$B$10)),"Rechazar H0","No rechazar H0")</f>
        <v>Rechazar H0</v>
      </c>
      <c r="F524" s="0" t="str">
        <f aca="false">IF(AND(B524="H0 verdadera",E524="Rechazar H0"),"Error tipo I",IF(AND(B524="Ha verdadera",E524="No rechazar H0"),"Error tipo II","Decisión correcta"))</f>
        <v>Decisión correcta</v>
      </c>
    </row>
    <row r="525" customFormat="false" ht="15" hidden="false" customHeight="false" outlineLevel="0" collapsed="false">
      <c r="A525" s="0" t="n">
        <v>504</v>
      </c>
      <c r="B525" s="0" t="s">
        <v>85</v>
      </c>
      <c r="C525" s="17" t="n">
        <v>0.190208851214734</v>
      </c>
      <c r="D525" s="17" t="n">
        <f aca="false">(C525-$B$4)/($B$6/SQRT($B$7))</f>
        <v>0.95104425607367</v>
      </c>
      <c r="E525" s="0" t="str">
        <f aca="false">IF(OR(AND($B$9="superior",D525&gt;$B$10),AND($B$9="inferior",D525&lt;-$B$10)),"Rechazar H0","No rechazar H0")</f>
        <v>No rechazar H0</v>
      </c>
      <c r="F525" s="0" t="str">
        <f aca="false">IF(AND(B525="H0 verdadera",E525="Rechazar H0"),"Error tipo I",IF(AND(B525="Ha verdadera",E525="No rechazar H0"),"Error tipo II","Decisión correcta"))</f>
        <v>Decisión correcta</v>
      </c>
    </row>
    <row r="526" customFormat="false" ht="15" hidden="false" customHeight="false" outlineLevel="0" collapsed="false">
      <c r="A526" s="0" t="n">
        <v>505</v>
      </c>
      <c r="B526" s="0" t="s">
        <v>85</v>
      </c>
      <c r="C526" s="17" t="n">
        <v>-0.0489913191165431</v>
      </c>
      <c r="D526" s="17" t="n">
        <f aca="false">(C526-$B$4)/($B$6/SQRT($B$7))</f>
        <v>-0.244956595582715</v>
      </c>
      <c r="E526" s="0" t="str">
        <f aca="false">IF(OR(AND($B$9="superior",D526&gt;$B$10),AND($B$9="inferior",D526&lt;-$B$10)),"Rechazar H0","No rechazar H0")</f>
        <v>No rechazar H0</v>
      </c>
      <c r="F526" s="0" t="str">
        <f aca="false">IF(AND(B526="H0 verdadera",E526="Rechazar H0"),"Error tipo I",IF(AND(B526="Ha verdadera",E526="No rechazar H0"),"Error tipo II","Decisión correcta"))</f>
        <v>Decisión correcta</v>
      </c>
    </row>
    <row r="527" customFormat="false" ht="15" hidden="false" customHeight="false" outlineLevel="0" collapsed="false">
      <c r="A527" s="0" t="n">
        <v>506</v>
      </c>
      <c r="B527" s="0" t="s">
        <v>85</v>
      </c>
      <c r="C527" s="17" t="n">
        <v>0.0328552047683563</v>
      </c>
      <c r="D527" s="17" t="n">
        <f aca="false">(C527-$B$4)/($B$6/SQRT($B$7))</f>
        <v>0.164276023841782</v>
      </c>
      <c r="E527" s="0" t="str">
        <f aca="false">IF(OR(AND($B$9="superior",D527&gt;$B$10),AND($B$9="inferior",D527&lt;-$B$10)),"Rechazar H0","No rechazar H0")</f>
        <v>No rechazar H0</v>
      </c>
      <c r="F527" s="0" t="str">
        <f aca="false">IF(AND(B527="H0 verdadera",E527="Rechazar H0"),"Error tipo I",IF(AND(B527="Ha verdadera",E527="No rechazar H0"),"Error tipo II","Decisión correcta"))</f>
        <v>Decisión correcta</v>
      </c>
    </row>
    <row r="528" customFormat="false" ht="15" hidden="false" customHeight="false" outlineLevel="0" collapsed="false">
      <c r="A528" s="0" t="n">
        <v>507</v>
      </c>
      <c r="B528" s="0" t="s">
        <v>85</v>
      </c>
      <c r="C528" s="17" t="n">
        <v>0.0370962277714403</v>
      </c>
      <c r="D528" s="17" t="n">
        <f aca="false">(C528-$B$4)/($B$6/SQRT($B$7))</f>
        <v>0.185481138857202</v>
      </c>
      <c r="E528" s="0" t="str">
        <f aca="false">IF(OR(AND($B$9="superior",D528&gt;$B$10),AND($B$9="inferior",D528&lt;-$B$10)),"Rechazar H0","No rechazar H0")</f>
        <v>No rechazar H0</v>
      </c>
      <c r="F528" s="0" t="str">
        <f aca="false">IF(AND(B528="H0 verdadera",E528="Rechazar H0"),"Error tipo I",IF(AND(B528="Ha verdadera",E528="No rechazar H0"),"Error tipo II","Decisión correcta"))</f>
        <v>Decisión correcta</v>
      </c>
    </row>
    <row r="529" customFormat="false" ht="15" hidden="false" customHeight="false" outlineLevel="0" collapsed="false">
      <c r="A529" s="0" t="n">
        <v>508</v>
      </c>
      <c r="B529" s="0" t="s">
        <v>85</v>
      </c>
      <c r="C529" s="17" t="n">
        <v>0.232050993721819</v>
      </c>
      <c r="D529" s="17" t="n">
        <f aca="false">(C529-$B$4)/($B$6/SQRT($B$7))</f>
        <v>1.1602549686091</v>
      </c>
      <c r="E529" s="0" t="str">
        <f aca="false">IF(OR(AND($B$9="superior",D529&gt;$B$10),AND($B$9="inferior",D529&lt;-$B$10)),"Rechazar H0","No rechazar H0")</f>
        <v>No rechazar H0</v>
      </c>
      <c r="F529" s="0" t="str">
        <f aca="false">IF(AND(B529="H0 verdadera",E529="Rechazar H0"),"Error tipo I",IF(AND(B529="Ha verdadera",E529="No rechazar H0"),"Error tipo II","Decisión correcta"))</f>
        <v>Decisión correcta</v>
      </c>
    </row>
    <row r="530" customFormat="false" ht="15" hidden="false" customHeight="false" outlineLevel="0" collapsed="false">
      <c r="A530" s="0" t="n">
        <v>509</v>
      </c>
      <c r="B530" s="0" t="s">
        <v>85</v>
      </c>
      <c r="C530" s="17" t="n">
        <v>-0.0601481212324699</v>
      </c>
      <c r="D530" s="17" t="n">
        <f aca="false">(C530-$B$4)/($B$6/SQRT($B$7))</f>
        <v>-0.300740606162349</v>
      </c>
      <c r="E530" s="0" t="str">
        <f aca="false">IF(OR(AND($B$9="superior",D530&gt;$B$10),AND($B$9="inferior",D530&lt;-$B$10)),"Rechazar H0","No rechazar H0")</f>
        <v>No rechazar H0</v>
      </c>
      <c r="F530" s="0" t="str">
        <f aca="false">IF(AND(B530="H0 verdadera",E530="Rechazar H0"),"Error tipo I",IF(AND(B530="Ha verdadera",E530="No rechazar H0"),"Error tipo II","Decisión correcta"))</f>
        <v>Decisión correcta</v>
      </c>
    </row>
    <row r="531" customFormat="false" ht="15" hidden="false" customHeight="false" outlineLevel="0" collapsed="false">
      <c r="A531" s="0" t="n">
        <v>510</v>
      </c>
      <c r="B531" s="0" t="s">
        <v>86</v>
      </c>
      <c r="C531" s="17" t="n">
        <v>-0.30505206745329</v>
      </c>
      <c r="D531" s="17" t="n">
        <f aca="false">(C531-$B$4)/($B$6/SQRT($B$7))</f>
        <v>-1.52526033726645</v>
      </c>
      <c r="E531" s="0" t="str">
        <f aca="false">IF(OR(AND($B$9="superior",D531&gt;$B$10),AND($B$9="inferior",D531&lt;-$B$10)),"Rechazar H0","No rechazar H0")</f>
        <v>No rechazar H0</v>
      </c>
      <c r="F531" s="0" t="str">
        <f aca="false">IF(AND(B531="H0 verdadera",E531="Rechazar H0"),"Error tipo I",IF(AND(B531="Ha verdadera",E531="No rechazar H0"),"Error tipo II","Decisión correcta"))</f>
        <v>Error tipo II</v>
      </c>
    </row>
    <row r="532" customFormat="false" ht="15" hidden="false" customHeight="false" outlineLevel="0" collapsed="false">
      <c r="A532" s="0" t="n">
        <v>511</v>
      </c>
      <c r="B532" s="0" t="s">
        <v>85</v>
      </c>
      <c r="C532" s="17" t="n">
        <v>-0.199788205092198</v>
      </c>
      <c r="D532" s="17" t="n">
        <f aca="false">(C532-$B$4)/($B$6/SQRT($B$7))</f>
        <v>-0.998941025460992</v>
      </c>
      <c r="E532" s="0" t="str">
        <f aca="false">IF(OR(AND($B$9="superior",D532&gt;$B$10),AND($B$9="inferior",D532&lt;-$B$10)),"Rechazar H0","No rechazar H0")</f>
        <v>No rechazar H0</v>
      </c>
      <c r="F532" s="0" t="str">
        <f aca="false">IF(AND(B532="H0 verdadera",E532="Rechazar H0"),"Error tipo I",IF(AND(B532="Ha verdadera",E532="No rechazar H0"),"Error tipo II","Decisión correcta"))</f>
        <v>Decisión correcta</v>
      </c>
    </row>
    <row r="533" customFormat="false" ht="15" hidden="false" customHeight="false" outlineLevel="0" collapsed="false">
      <c r="A533" s="0" t="n">
        <v>512</v>
      </c>
      <c r="B533" s="0" t="s">
        <v>85</v>
      </c>
      <c r="C533" s="17" t="n">
        <v>-0.226548229364525</v>
      </c>
      <c r="D533" s="17" t="n">
        <f aca="false">(C533-$B$4)/($B$6/SQRT($B$7))</f>
        <v>-1.13274114682262</v>
      </c>
      <c r="E533" s="0" t="str">
        <f aca="false">IF(OR(AND($B$9="superior",D533&gt;$B$10),AND($B$9="inferior",D533&lt;-$B$10)),"Rechazar H0","No rechazar H0")</f>
        <v>No rechazar H0</v>
      </c>
      <c r="F533" s="0" t="str">
        <f aca="false">IF(AND(B533="H0 verdadera",E533="Rechazar H0"),"Error tipo I",IF(AND(B533="Ha verdadera",E533="No rechazar H0"),"Error tipo II","Decisión correcta"))</f>
        <v>Decisión correcta</v>
      </c>
    </row>
    <row r="534" customFormat="false" ht="15" hidden="false" customHeight="false" outlineLevel="0" collapsed="false">
      <c r="A534" s="0" t="n">
        <v>513</v>
      </c>
      <c r="B534" s="0" t="s">
        <v>86</v>
      </c>
      <c r="C534" s="17" t="n">
        <v>-0.563011541364418</v>
      </c>
      <c r="D534" s="17" t="n">
        <f aca="false">(C534-$B$4)/($B$6/SQRT($B$7))</f>
        <v>-2.81505770682209</v>
      </c>
      <c r="E534" s="0" t="str">
        <f aca="false">IF(OR(AND($B$9="superior",D534&gt;$B$10),AND($B$9="inferior",D534&lt;-$B$10)),"Rechazar H0","No rechazar H0")</f>
        <v>Rechazar H0</v>
      </c>
      <c r="F534" s="0" t="str">
        <f aca="false">IF(AND(B534="H0 verdadera",E534="Rechazar H0"),"Error tipo I",IF(AND(B534="Ha verdadera",E534="No rechazar H0"),"Error tipo II","Decisión correcta"))</f>
        <v>Decisión correcta</v>
      </c>
    </row>
    <row r="535" customFormat="false" ht="15" hidden="false" customHeight="false" outlineLevel="0" collapsed="false">
      <c r="A535" s="0" t="n">
        <v>514</v>
      </c>
      <c r="B535" s="0" t="s">
        <v>85</v>
      </c>
      <c r="C535" s="17" t="n">
        <v>0.267803388217318</v>
      </c>
      <c r="D535" s="17" t="n">
        <f aca="false">(C535-$B$4)/($B$6/SQRT($B$7))</f>
        <v>1.33901694108659</v>
      </c>
      <c r="E535" s="0" t="str">
        <f aca="false">IF(OR(AND($B$9="superior",D535&gt;$B$10),AND($B$9="inferior",D535&lt;-$B$10)),"Rechazar H0","No rechazar H0")</f>
        <v>No rechazar H0</v>
      </c>
      <c r="F535" s="0" t="str">
        <f aca="false">IF(AND(B535="H0 verdadera",E535="Rechazar H0"),"Error tipo I",IF(AND(B535="Ha verdadera",E535="No rechazar H0"),"Error tipo II","Decisión correcta"))</f>
        <v>Decisión correcta</v>
      </c>
    </row>
    <row r="536" customFormat="false" ht="15" hidden="false" customHeight="false" outlineLevel="0" collapsed="false">
      <c r="A536" s="0" t="n">
        <v>515</v>
      </c>
      <c r="B536" s="0" t="s">
        <v>86</v>
      </c>
      <c r="C536" s="17" t="n">
        <v>-0.342791419039446</v>
      </c>
      <c r="D536" s="17" t="n">
        <f aca="false">(C536-$B$4)/($B$6/SQRT($B$7))</f>
        <v>-1.71395709519723</v>
      </c>
      <c r="E536" s="0" t="str">
        <f aca="false">IF(OR(AND($B$9="superior",D536&gt;$B$10),AND($B$9="inferior",D536&lt;-$B$10)),"Rechazar H0","No rechazar H0")</f>
        <v>Rechazar H0</v>
      </c>
      <c r="F536" s="0" t="str">
        <f aca="false">IF(AND(B536="H0 verdadera",E536="Rechazar H0"),"Error tipo I",IF(AND(B536="Ha verdadera",E536="No rechazar H0"),"Error tipo II","Decisión correcta"))</f>
        <v>Decisión correcta</v>
      </c>
    </row>
    <row r="537" customFormat="false" ht="15" hidden="false" customHeight="false" outlineLevel="0" collapsed="false">
      <c r="A537" s="0" t="n">
        <v>516</v>
      </c>
      <c r="B537" s="0" t="s">
        <v>86</v>
      </c>
      <c r="C537" s="17" t="n">
        <v>-0.44734598014453</v>
      </c>
      <c r="D537" s="17" t="n">
        <f aca="false">(C537-$B$4)/($B$6/SQRT($B$7))</f>
        <v>-2.23672990072265</v>
      </c>
      <c r="E537" s="0" t="str">
        <f aca="false">IF(OR(AND($B$9="superior",D537&gt;$B$10),AND($B$9="inferior",D537&lt;-$B$10)),"Rechazar H0","No rechazar H0")</f>
        <v>Rechazar H0</v>
      </c>
      <c r="F537" s="0" t="str">
        <f aca="false">IF(AND(B537="H0 verdadera",E537="Rechazar H0"),"Error tipo I",IF(AND(B537="Ha verdadera",E537="No rechazar H0"),"Error tipo II","Decisión correcta"))</f>
        <v>Decisión correcta</v>
      </c>
    </row>
    <row r="538" customFormat="false" ht="15" hidden="false" customHeight="false" outlineLevel="0" collapsed="false">
      <c r="A538" s="0" t="n">
        <v>517</v>
      </c>
      <c r="B538" s="0" t="s">
        <v>85</v>
      </c>
      <c r="C538" s="17" t="n">
        <v>0.206479729378914</v>
      </c>
      <c r="D538" s="17" t="n">
        <f aca="false">(C538-$B$4)/($B$6/SQRT($B$7))</f>
        <v>1.03239864689457</v>
      </c>
      <c r="E538" s="0" t="str">
        <f aca="false">IF(OR(AND($B$9="superior",D538&gt;$B$10),AND($B$9="inferior",D538&lt;-$B$10)),"Rechazar H0","No rechazar H0")</f>
        <v>No rechazar H0</v>
      </c>
      <c r="F538" s="0" t="str">
        <f aca="false">IF(AND(B538="H0 verdadera",E538="Rechazar H0"),"Error tipo I",IF(AND(B538="Ha verdadera",E538="No rechazar H0"),"Error tipo II","Decisión correcta"))</f>
        <v>Decisión correcta</v>
      </c>
    </row>
    <row r="539" customFormat="false" ht="15" hidden="false" customHeight="false" outlineLevel="0" collapsed="false">
      <c r="A539" s="0" t="n">
        <v>518</v>
      </c>
      <c r="B539" s="0" t="s">
        <v>86</v>
      </c>
      <c r="C539" s="17" t="n">
        <v>-0.691500768550823</v>
      </c>
      <c r="D539" s="17" t="n">
        <f aca="false">(C539-$B$4)/($B$6/SQRT($B$7))</f>
        <v>-3.45750384275412</v>
      </c>
      <c r="E539" s="0" t="str">
        <f aca="false">IF(OR(AND($B$9="superior",D539&gt;$B$10),AND($B$9="inferior",D539&lt;-$B$10)),"Rechazar H0","No rechazar H0")</f>
        <v>Rechazar H0</v>
      </c>
      <c r="F539" s="0" t="str">
        <f aca="false">IF(AND(B539="H0 verdadera",E539="Rechazar H0"),"Error tipo I",IF(AND(B539="Ha verdadera",E539="No rechazar H0"),"Error tipo II","Decisión correcta"))</f>
        <v>Decisión correcta</v>
      </c>
    </row>
    <row r="540" customFormat="false" ht="15" hidden="false" customHeight="false" outlineLevel="0" collapsed="false">
      <c r="A540" s="0" t="n">
        <v>519</v>
      </c>
      <c r="B540" s="0" t="s">
        <v>86</v>
      </c>
      <c r="C540" s="17" t="n">
        <v>-0.459171511660693</v>
      </c>
      <c r="D540" s="17" t="n">
        <f aca="false">(C540-$B$4)/($B$6/SQRT($B$7))</f>
        <v>-2.29585755830347</v>
      </c>
      <c r="E540" s="0" t="str">
        <f aca="false">IF(OR(AND($B$9="superior",D540&gt;$B$10),AND($B$9="inferior",D540&lt;-$B$10)),"Rechazar H0","No rechazar H0")</f>
        <v>Rechazar H0</v>
      </c>
      <c r="F540" s="0" t="str">
        <f aca="false">IF(AND(B540="H0 verdadera",E540="Rechazar H0"),"Error tipo I",IF(AND(B540="Ha verdadera",E540="No rechazar H0"),"Error tipo II","Decisión correcta"))</f>
        <v>Decisión correcta</v>
      </c>
    </row>
    <row r="541" customFormat="false" ht="15" hidden="false" customHeight="false" outlineLevel="0" collapsed="false">
      <c r="A541" s="0" t="n">
        <v>520</v>
      </c>
      <c r="B541" s="0" t="s">
        <v>85</v>
      </c>
      <c r="C541" s="17" t="n">
        <v>-0.0240175568141487</v>
      </c>
      <c r="D541" s="17" t="n">
        <f aca="false">(C541-$B$4)/($B$6/SQRT($B$7))</f>
        <v>-0.120087784070743</v>
      </c>
      <c r="E541" s="0" t="str">
        <f aca="false">IF(OR(AND($B$9="superior",D541&gt;$B$10),AND($B$9="inferior",D541&lt;-$B$10)),"Rechazar H0","No rechazar H0")</f>
        <v>No rechazar H0</v>
      </c>
      <c r="F541" s="0" t="str">
        <f aca="false">IF(AND(B541="H0 verdadera",E541="Rechazar H0"),"Error tipo I",IF(AND(B541="Ha verdadera",E541="No rechazar H0"),"Error tipo II","Decisión correcta"))</f>
        <v>Decisión correcta</v>
      </c>
    </row>
    <row r="542" customFormat="false" ht="15" hidden="false" customHeight="false" outlineLevel="0" collapsed="false">
      <c r="A542" s="0" t="n">
        <v>521</v>
      </c>
      <c r="B542" s="0" t="s">
        <v>86</v>
      </c>
      <c r="C542" s="17" t="n">
        <v>-0.11455235422404</v>
      </c>
      <c r="D542" s="17" t="n">
        <f aca="false">(C542-$B$4)/($B$6/SQRT($B$7))</f>
        <v>-0.572761771120202</v>
      </c>
      <c r="E542" s="0" t="str">
        <f aca="false">IF(OR(AND($B$9="superior",D542&gt;$B$10),AND($B$9="inferior",D542&lt;-$B$10)),"Rechazar H0","No rechazar H0")</f>
        <v>No rechazar H0</v>
      </c>
      <c r="F542" s="0" t="str">
        <f aca="false">IF(AND(B542="H0 verdadera",E542="Rechazar H0"),"Error tipo I",IF(AND(B542="Ha verdadera",E542="No rechazar H0"),"Error tipo II","Decisión correcta"))</f>
        <v>Error tipo II</v>
      </c>
    </row>
    <row r="543" customFormat="false" ht="15" hidden="false" customHeight="false" outlineLevel="0" collapsed="false">
      <c r="A543" s="0" t="n">
        <v>522</v>
      </c>
      <c r="B543" s="0" t="s">
        <v>86</v>
      </c>
      <c r="C543" s="17" t="n">
        <v>-0.397850464798551</v>
      </c>
      <c r="D543" s="17" t="n">
        <f aca="false">(C543-$B$4)/($B$6/SQRT($B$7))</f>
        <v>-1.98925232399276</v>
      </c>
      <c r="E543" s="0" t="str">
        <f aca="false">IF(OR(AND($B$9="superior",D543&gt;$B$10),AND($B$9="inferior",D543&lt;-$B$10)),"Rechazar H0","No rechazar H0")</f>
        <v>Rechazar H0</v>
      </c>
      <c r="F543" s="0" t="str">
        <f aca="false">IF(AND(B543="H0 verdadera",E543="Rechazar H0"),"Error tipo I",IF(AND(B543="Ha verdadera",E543="No rechazar H0"),"Error tipo II","Decisión correcta"))</f>
        <v>Decisión correcta</v>
      </c>
    </row>
    <row r="544" customFormat="false" ht="15" hidden="false" customHeight="false" outlineLevel="0" collapsed="false">
      <c r="A544" s="0" t="n">
        <v>523</v>
      </c>
      <c r="B544" s="0" t="s">
        <v>86</v>
      </c>
      <c r="C544" s="17" t="n">
        <v>-0.793328828305628</v>
      </c>
      <c r="D544" s="17" t="n">
        <f aca="false">(C544-$B$4)/($B$6/SQRT($B$7))</f>
        <v>-3.96664414152814</v>
      </c>
      <c r="E544" s="0" t="str">
        <f aca="false">IF(OR(AND($B$9="superior",D544&gt;$B$10),AND($B$9="inferior",D544&lt;-$B$10)),"Rechazar H0","No rechazar H0")</f>
        <v>Rechazar H0</v>
      </c>
      <c r="F544" s="0" t="str">
        <f aca="false">IF(AND(B544="H0 verdadera",E544="Rechazar H0"),"Error tipo I",IF(AND(B544="Ha verdadera",E544="No rechazar H0"),"Error tipo II","Decisión correcta"))</f>
        <v>Decisión correcta</v>
      </c>
    </row>
    <row r="545" customFormat="false" ht="15" hidden="false" customHeight="false" outlineLevel="0" collapsed="false">
      <c r="A545" s="0" t="n">
        <v>524</v>
      </c>
      <c r="B545" s="0" t="s">
        <v>86</v>
      </c>
      <c r="C545" s="17" t="n">
        <v>-0.292065592193418</v>
      </c>
      <c r="D545" s="17" t="n">
        <f aca="false">(C545-$B$4)/($B$6/SQRT($B$7))</f>
        <v>-1.46032796096709</v>
      </c>
      <c r="E545" s="0" t="str">
        <f aca="false">IF(OR(AND($B$9="superior",D545&gt;$B$10),AND($B$9="inferior",D545&lt;-$B$10)),"Rechazar H0","No rechazar H0")</f>
        <v>No rechazar H0</v>
      </c>
      <c r="F545" s="0" t="str">
        <f aca="false">IF(AND(B545="H0 verdadera",E545="Rechazar H0"),"Error tipo I",IF(AND(B545="Ha verdadera",E545="No rechazar H0"),"Error tipo II","Decisión correcta"))</f>
        <v>Error tipo II</v>
      </c>
    </row>
    <row r="546" customFormat="false" ht="15" hidden="false" customHeight="false" outlineLevel="0" collapsed="false">
      <c r="A546" s="0" t="n">
        <v>525</v>
      </c>
      <c r="B546" s="0" t="s">
        <v>85</v>
      </c>
      <c r="C546" s="17" t="n">
        <v>0.0112126577171748</v>
      </c>
      <c r="D546" s="17" t="n">
        <f aca="false">(C546-$B$4)/($B$6/SQRT($B$7))</f>
        <v>0.0560632885858741</v>
      </c>
      <c r="E546" s="0" t="str">
        <f aca="false">IF(OR(AND($B$9="superior",D546&gt;$B$10),AND($B$9="inferior",D546&lt;-$B$10)),"Rechazar H0","No rechazar H0")</f>
        <v>No rechazar H0</v>
      </c>
      <c r="F546" s="0" t="str">
        <f aca="false">IF(AND(B546="H0 verdadera",E546="Rechazar H0"),"Error tipo I",IF(AND(B546="Ha verdadera",E546="No rechazar H0"),"Error tipo II","Decisión correcta"))</f>
        <v>Decisión correcta</v>
      </c>
    </row>
    <row r="547" customFormat="false" ht="15" hidden="false" customHeight="false" outlineLevel="0" collapsed="false">
      <c r="A547" s="0" t="n">
        <v>526</v>
      </c>
      <c r="B547" s="0" t="s">
        <v>86</v>
      </c>
      <c r="C547" s="17" t="n">
        <v>-0.43878201340821</v>
      </c>
      <c r="D547" s="17" t="n">
        <f aca="false">(C547-$B$4)/($B$6/SQRT($B$7))</f>
        <v>-2.19391006704105</v>
      </c>
      <c r="E547" s="0" t="str">
        <f aca="false">IF(OR(AND($B$9="superior",D547&gt;$B$10),AND($B$9="inferior",D547&lt;-$B$10)),"Rechazar H0","No rechazar H0")</f>
        <v>Rechazar H0</v>
      </c>
      <c r="F547" s="0" t="str">
        <f aca="false">IF(AND(B547="H0 verdadera",E547="Rechazar H0"),"Error tipo I",IF(AND(B547="Ha verdadera",E547="No rechazar H0"),"Error tipo II","Decisión correcta"))</f>
        <v>Decisión correcta</v>
      </c>
    </row>
    <row r="548" customFormat="false" ht="15" hidden="false" customHeight="false" outlineLevel="0" collapsed="false">
      <c r="A548" s="0" t="n">
        <v>527</v>
      </c>
      <c r="B548" s="0" t="s">
        <v>86</v>
      </c>
      <c r="C548" s="17" t="n">
        <v>-0.0406414064856689</v>
      </c>
      <c r="D548" s="17" t="n">
        <f aca="false">(C548-$B$4)/($B$6/SQRT($B$7))</f>
        <v>-0.203207032428344</v>
      </c>
      <c r="E548" s="0" t="str">
        <f aca="false">IF(OR(AND($B$9="superior",D548&gt;$B$10),AND($B$9="inferior",D548&lt;-$B$10)),"Rechazar H0","No rechazar H0")</f>
        <v>No rechazar H0</v>
      </c>
      <c r="F548" s="0" t="str">
        <f aca="false">IF(AND(B548="H0 verdadera",E548="Rechazar H0"),"Error tipo I",IF(AND(B548="Ha verdadera",E548="No rechazar H0"),"Error tipo II","Decisión correcta"))</f>
        <v>Error tipo II</v>
      </c>
    </row>
    <row r="549" customFormat="false" ht="15" hidden="false" customHeight="false" outlineLevel="0" collapsed="false">
      <c r="A549" s="0" t="n">
        <v>528</v>
      </c>
      <c r="B549" s="0" t="s">
        <v>86</v>
      </c>
      <c r="C549" s="17" t="n">
        <v>-0.194746842519206</v>
      </c>
      <c r="D549" s="17" t="n">
        <f aca="false">(C549-$B$4)/($B$6/SQRT($B$7))</f>
        <v>-0.973734212596029</v>
      </c>
      <c r="E549" s="0" t="str">
        <f aca="false">IF(OR(AND($B$9="superior",D549&gt;$B$10),AND($B$9="inferior",D549&lt;-$B$10)),"Rechazar H0","No rechazar H0")</f>
        <v>No rechazar H0</v>
      </c>
      <c r="F549" s="0" t="str">
        <f aca="false">IF(AND(B549="H0 verdadera",E549="Rechazar H0"),"Error tipo I",IF(AND(B549="Ha verdadera",E549="No rechazar H0"),"Error tipo II","Decisión correcta"))</f>
        <v>Error tipo II</v>
      </c>
    </row>
    <row r="550" customFormat="false" ht="15" hidden="false" customHeight="false" outlineLevel="0" collapsed="false">
      <c r="A550" s="0" t="n">
        <v>529</v>
      </c>
      <c r="B550" s="0" t="s">
        <v>85</v>
      </c>
      <c r="C550" s="17" t="n">
        <v>-0.0554634206449727</v>
      </c>
      <c r="D550" s="17" t="n">
        <f aca="false">(C550-$B$4)/($B$6/SQRT($B$7))</f>
        <v>-0.277317103224863</v>
      </c>
      <c r="E550" s="0" t="str">
        <f aca="false">IF(OR(AND($B$9="superior",D550&gt;$B$10),AND($B$9="inferior",D550&lt;-$B$10)),"Rechazar H0","No rechazar H0")</f>
        <v>No rechazar H0</v>
      </c>
      <c r="F550" s="0" t="str">
        <f aca="false">IF(AND(B550="H0 verdadera",E550="Rechazar H0"),"Error tipo I",IF(AND(B550="Ha verdadera",E550="No rechazar H0"),"Error tipo II","Decisión correcta"))</f>
        <v>Decisión correcta</v>
      </c>
    </row>
    <row r="551" customFormat="false" ht="15" hidden="false" customHeight="false" outlineLevel="0" collapsed="false">
      <c r="A551" s="0" t="n">
        <v>530</v>
      </c>
      <c r="B551" s="0" t="s">
        <v>86</v>
      </c>
      <c r="C551" s="17" t="n">
        <v>-0.576689422014525</v>
      </c>
      <c r="D551" s="17" t="n">
        <f aca="false">(C551-$B$4)/($B$6/SQRT($B$7))</f>
        <v>-2.88344711007263</v>
      </c>
      <c r="E551" s="0" t="str">
        <f aca="false">IF(OR(AND($B$9="superior",D551&gt;$B$10),AND($B$9="inferior",D551&lt;-$B$10)),"Rechazar H0","No rechazar H0")</f>
        <v>Rechazar H0</v>
      </c>
      <c r="F551" s="0" t="str">
        <f aca="false">IF(AND(B551="H0 verdadera",E551="Rechazar H0"),"Error tipo I",IF(AND(B551="Ha verdadera",E551="No rechazar H0"),"Error tipo II","Decisión correcta"))</f>
        <v>Decisión correcta</v>
      </c>
    </row>
    <row r="552" customFormat="false" ht="15" hidden="false" customHeight="false" outlineLevel="0" collapsed="false">
      <c r="A552" s="0" t="n">
        <v>531</v>
      </c>
      <c r="B552" s="0" t="s">
        <v>86</v>
      </c>
      <c r="C552" s="17" t="n">
        <v>-0.600273427117556</v>
      </c>
      <c r="D552" s="17" t="n">
        <f aca="false">(C552-$B$4)/($B$6/SQRT($B$7))</f>
        <v>-3.00136713558778</v>
      </c>
      <c r="E552" s="0" t="str">
        <f aca="false">IF(OR(AND($B$9="superior",D552&gt;$B$10),AND($B$9="inferior",D552&lt;-$B$10)),"Rechazar H0","No rechazar H0")</f>
        <v>Rechazar H0</v>
      </c>
      <c r="F552" s="0" t="str">
        <f aca="false">IF(AND(B552="H0 verdadera",E552="Rechazar H0"),"Error tipo I",IF(AND(B552="Ha verdadera",E552="No rechazar H0"),"Error tipo II","Decisión correcta"))</f>
        <v>Decisión correcta</v>
      </c>
    </row>
    <row r="553" customFormat="false" ht="15" hidden="false" customHeight="false" outlineLevel="0" collapsed="false">
      <c r="A553" s="0" t="n">
        <v>532</v>
      </c>
      <c r="B553" s="0" t="s">
        <v>86</v>
      </c>
      <c r="C553" s="17" t="n">
        <v>-0.60260689071748</v>
      </c>
      <c r="D553" s="17" t="n">
        <f aca="false">(C553-$B$4)/($B$6/SQRT($B$7))</f>
        <v>-3.0130344535874</v>
      </c>
      <c r="E553" s="0" t="str">
        <f aca="false">IF(OR(AND($B$9="superior",D553&gt;$B$10),AND($B$9="inferior",D553&lt;-$B$10)),"Rechazar H0","No rechazar H0")</f>
        <v>Rechazar H0</v>
      </c>
      <c r="F553" s="0" t="str">
        <f aca="false">IF(AND(B553="H0 verdadera",E553="Rechazar H0"),"Error tipo I",IF(AND(B553="Ha verdadera",E553="No rechazar H0"),"Error tipo II","Decisión correcta"))</f>
        <v>Decisión correcta</v>
      </c>
    </row>
    <row r="554" customFormat="false" ht="15" hidden="false" customHeight="false" outlineLevel="0" collapsed="false">
      <c r="A554" s="0" t="n">
        <v>533</v>
      </c>
      <c r="B554" s="0" t="s">
        <v>85</v>
      </c>
      <c r="C554" s="17" t="n">
        <v>-0.0780104973964663</v>
      </c>
      <c r="D554" s="17" t="n">
        <f aca="false">(C554-$B$4)/($B$6/SQRT($B$7))</f>
        <v>-0.390052486982331</v>
      </c>
      <c r="E554" s="0" t="str">
        <f aca="false">IF(OR(AND($B$9="superior",D554&gt;$B$10),AND($B$9="inferior",D554&lt;-$B$10)),"Rechazar H0","No rechazar H0")</f>
        <v>No rechazar H0</v>
      </c>
      <c r="F554" s="0" t="str">
        <f aca="false">IF(AND(B554="H0 verdadera",E554="Rechazar H0"),"Error tipo I",IF(AND(B554="Ha verdadera",E554="No rechazar H0"),"Error tipo II","Decisión correcta"))</f>
        <v>Decisión correcta</v>
      </c>
    </row>
    <row r="555" customFormat="false" ht="15" hidden="false" customHeight="false" outlineLevel="0" collapsed="false">
      <c r="A555" s="0" t="n">
        <v>534</v>
      </c>
      <c r="B555" s="0" t="s">
        <v>86</v>
      </c>
      <c r="C555" s="17" t="n">
        <v>-0.465022903332133</v>
      </c>
      <c r="D555" s="17" t="n">
        <f aca="false">(C555-$B$4)/($B$6/SQRT($B$7))</f>
        <v>-2.32511451666066</v>
      </c>
      <c r="E555" s="0" t="str">
        <f aca="false">IF(OR(AND($B$9="superior",D555&gt;$B$10),AND($B$9="inferior",D555&lt;-$B$10)),"Rechazar H0","No rechazar H0")</f>
        <v>Rechazar H0</v>
      </c>
      <c r="F555" s="0" t="str">
        <f aca="false">IF(AND(B555="H0 verdadera",E555="Rechazar H0"),"Error tipo I",IF(AND(B555="Ha verdadera",E555="No rechazar H0"),"Error tipo II","Decisión correcta"))</f>
        <v>Decisión correcta</v>
      </c>
    </row>
    <row r="556" customFormat="false" ht="15" hidden="false" customHeight="false" outlineLevel="0" collapsed="false">
      <c r="A556" s="0" t="n">
        <v>535</v>
      </c>
      <c r="B556" s="0" t="s">
        <v>86</v>
      </c>
      <c r="C556" s="17" t="n">
        <v>-0.796873243608103</v>
      </c>
      <c r="D556" s="17" t="n">
        <f aca="false">(C556-$B$4)/($B$6/SQRT($B$7))</f>
        <v>-3.98436621804051</v>
      </c>
      <c r="E556" s="0" t="str">
        <f aca="false">IF(OR(AND($B$9="superior",D556&gt;$B$10),AND($B$9="inferior",D556&lt;-$B$10)),"Rechazar H0","No rechazar H0")</f>
        <v>Rechazar H0</v>
      </c>
      <c r="F556" s="0" t="str">
        <f aca="false">IF(AND(B556="H0 verdadera",E556="Rechazar H0"),"Error tipo I",IF(AND(B556="Ha verdadera",E556="No rechazar H0"),"Error tipo II","Decisión correcta"))</f>
        <v>Decisión correcta</v>
      </c>
    </row>
    <row r="557" customFormat="false" ht="15" hidden="false" customHeight="false" outlineLevel="0" collapsed="false">
      <c r="A557" s="0" t="n">
        <v>536</v>
      </c>
      <c r="B557" s="0" t="s">
        <v>85</v>
      </c>
      <c r="C557" s="17" t="n">
        <v>-0.332628350250484</v>
      </c>
      <c r="D557" s="17" t="n">
        <f aca="false">(C557-$B$4)/($B$6/SQRT($B$7))</f>
        <v>-1.66314175125242</v>
      </c>
      <c r="E557" s="0" t="str">
        <f aca="false">IF(OR(AND($B$9="superior",D557&gt;$B$10),AND($B$9="inferior",D557&lt;-$B$10)),"Rechazar H0","No rechazar H0")</f>
        <v>Rechazar H0</v>
      </c>
      <c r="F557" s="0" t="str">
        <f aca="false">IF(AND(B557="H0 verdadera",E557="Rechazar H0"),"Error tipo I",IF(AND(B557="Ha verdadera",E557="No rechazar H0"),"Error tipo II","Decisión correcta"))</f>
        <v>Error tipo I</v>
      </c>
    </row>
    <row r="558" customFormat="false" ht="15" hidden="false" customHeight="false" outlineLevel="0" collapsed="false">
      <c r="A558" s="0" t="n">
        <v>537</v>
      </c>
      <c r="B558" s="0" t="s">
        <v>86</v>
      </c>
      <c r="C558" s="17" t="n">
        <v>-0.354065072534895</v>
      </c>
      <c r="D558" s="17" t="n">
        <f aca="false">(C558-$B$4)/($B$6/SQRT($B$7))</f>
        <v>-1.77032536267448</v>
      </c>
      <c r="E558" s="0" t="str">
        <f aca="false">IF(OR(AND($B$9="superior",D558&gt;$B$10),AND($B$9="inferior",D558&lt;-$B$10)),"Rechazar H0","No rechazar H0")</f>
        <v>Rechazar H0</v>
      </c>
      <c r="F558" s="0" t="str">
        <f aca="false">IF(AND(B558="H0 verdadera",E558="Rechazar H0"),"Error tipo I",IF(AND(B558="Ha verdadera",E558="No rechazar H0"),"Error tipo II","Decisión correcta"))</f>
        <v>Decisión correcta</v>
      </c>
    </row>
    <row r="559" customFormat="false" ht="15" hidden="false" customHeight="false" outlineLevel="0" collapsed="false">
      <c r="A559" s="0" t="n">
        <v>538</v>
      </c>
      <c r="B559" s="0" t="s">
        <v>85</v>
      </c>
      <c r="C559" s="17" t="n">
        <v>-0.328883723486726</v>
      </c>
      <c r="D559" s="17" t="n">
        <f aca="false">(C559-$B$4)/($B$6/SQRT($B$7))</f>
        <v>-1.64441861743363</v>
      </c>
      <c r="E559" s="0" t="str">
        <f aca="false">IF(OR(AND($B$9="superior",D559&gt;$B$10),AND($B$9="inferior",D559&lt;-$B$10)),"Rechazar H0","No rechazar H0")</f>
        <v>No rechazar H0</v>
      </c>
      <c r="F559" s="0" t="str">
        <f aca="false">IF(AND(B559="H0 verdadera",E559="Rechazar H0"),"Error tipo I",IF(AND(B559="Ha verdadera",E559="No rechazar H0"),"Error tipo II","Decisión correcta"))</f>
        <v>Decisión correcta</v>
      </c>
    </row>
    <row r="560" customFormat="false" ht="15" hidden="false" customHeight="false" outlineLevel="0" collapsed="false">
      <c r="A560" s="0" t="n">
        <v>539</v>
      </c>
      <c r="B560" s="0" t="s">
        <v>86</v>
      </c>
      <c r="C560" s="17" t="n">
        <v>-0.308137229965202</v>
      </c>
      <c r="D560" s="17" t="n">
        <f aca="false">(C560-$B$4)/($B$6/SQRT($B$7))</f>
        <v>-1.54068614982601</v>
      </c>
      <c r="E560" s="0" t="str">
        <f aca="false">IF(OR(AND($B$9="superior",D560&gt;$B$10),AND($B$9="inferior",D560&lt;-$B$10)),"Rechazar H0","No rechazar H0")</f>
        <v>No rechazar H0</v>
      </c>
      <c r="F560" s="0" t="str">
        <f aca="false">IF(AND(B560="H0 verdadera",E560="Rechazar H0"),"Error tipo I",IF(AND(B560="Ha verdadera",E560="No rechazar H0"),"Error tipo II","Decisión correcta"))</f>
        <v>Error tipo II</v>
      </c>
    </row>
    <row r="561" customFormat="false" ht="15" hidden="false" customHeight="false" outlineLevel="0" collapsed="false">
      <c r="A561" s="0" t="n">
        <v>540</v>
      </c>
      <c r="B561" s="0" t="s">
        <v>86</v>
      </c>
      <c r="C561" s="17" t="n">
        <v>-0.48958998830713</v>
      </c>
      <c r="D561" s="17" t="n">
        <f aca="false">(C561-$B$4)/($B$6/SQRT($B$7))</f>
        <v>-2.44794994153565</v>
      </c>
      <c r="E561" s="0" t="str">
        <f aca="false">IF(OR(AND($B$9="superior",D561&gt;$B$10),AND($B$9="inferior",D561&lt;-$B$10)),"Rechazar H0","No rechazar H0")</f>
        <v>Rechazar H0</v>
      </c>
      <c r="F561" s="0" t="str">
        <f aca="false">IF(AND(B561="H0 verdadera",E561="Rechazar H0"),"Error tipo I",IF(AND(B561="Ha verdadera",E561="No rechazar H0"),"Error tipo II","Decisión correcta"))</f>
        <v>Decisión correcta</v>
      </c>
    </row>
    <row r="562" customFormat="false" ht="15" hidden="false" customHeight="false" outlineLevel="0" collapsed="false">
      <c r="A562" s="0" t="n">
        <v>541</v>
      </c>
      <c r="B562" s="0" t="s">
        <v>86</v>
      </c>
      <c r="C562" s="17" t="n">
        <v>-0.223574411793414</v>
      </c>
      <c r="D562" s="17" t="n">
        <f aca="false">(C562-$B$4)/($B$6/SQRT($B$7))</f>
        <v>-1.11787205896707</v>
      </c>
      <c r="E562" s="0" t="str">
        <f aca="false">IF(OR(AND($B$9="superior",D562&gt;$B$10),AND($B$9="inferior",D562&lt;-$B$10)),"Rechazar H0","No rechazar H0")</f>
        <v>No rechazar H0</v>
      </c>
      <c r="F562" s="0" t="str">
        <f aca="false">IF(AND(B562="H0 verdadera",E562="Rechazar H0"),"Error tipo I",IF(AND(B562="Ha verdadera",E562="No rechazar H0"),"Error tipo II","Decisión correcta"))</f>
        <v>Error tipo II</v>
      </c>
    </row>
    <row r="563" customFormat="false" ht="15" hidden="false" customHeight="false" outlineLevel="0" collapsed="false">
      <c r="A563" s="0" t="n">
        <v>542</v>
      </c>
      <c r="B563" s="0" t="s">
        <v>86</v>
      </c>
      <c r="C563" s="17" t="n">
        <v>-0.164855597351543</v>
      </c>
      <c r="D563" s="17" t="n">
        <f aca="false">(C563-$B$4)/($B$6/SQRT($B$7))</f>
        <v>-0.824277986757715</v>
      </c>
      <c r="E563" s="0" t="str">
        <f aca="false">IF(OR(AND($B$9="superior",D563&gt;$B$10),AND($B$9="inferior",D563&lt;-$B$10)),"Rechazar H0","No rechazar H0")</f>
        <v>No rechazar H0</v>
      </c>
      <c r="F563" s="0" t="str">
        <f aca="false">IF(AND(B563="H0 verdadera",E563="Rechazar H0"),"Error tipo I",IF(AND(B563="Ha verdadera",E563="No rechazar H0"),"Error tipo II","Decisión correcta"))</f>
        <v>Error tipo II</v>
      </c>
    </row>
    <row r="564" customFormat="false" ht="15" hidden="false" customHeight="false" outlineLevel="0" collapsed="false">
      <c r="A564" s="0" t="n">
        <v>543</v>
      </c>
      <c r="B564" s="0" t="s">
        <v>86</v>
      </c>
      <c r="C564" s="17" t="n">
        <v>-0.214472935330933</v>
      </c>
      <c r="D564" s="17" t="n">
        <f aca="false">(C564-$B$4)/($B$6/SQRT($B$7))</f>
        <v>-1.07236467665466</v>
      </c>
      <c r="E564" s="0" t="str">
        <f aca="false">IF(OR(AND($B$9="superior",D564&gt;$B$10),AND($B$9="inferior",D564&lt;-$B$10)),"Rechazar H0","No rechazar H0")</f>
        <v>No rechazar H0</v>
      </c>
      <c r="F564" s="0" t="str">
        <f aca="false">IF(AND(B564="H0 verdadera",E564="Rechazar H0"),"Error tipo I",IF(AND(B564="Ha verdadera",E564="No rechazar H0"),"Error tipo II","Decisión correcta"))</f>
        <v>Error tipo II</v>
      </c>
    </row>
    <row r="565" customFormat="false" ht="15" hidden="false" customHeight="false" outlineLevel="0" collapsed="false">
      <c r="A565" s="0" t="n">
        <v>544</v>
      </c>
      <c r="B565" s="0" t="s">
        <v>85</v>
      </c>
      <c r="C565" s="17" t="n">
        <v>0.152885300196786</v>
      </c>
      <c r="D565" s="17" t="n">
        <f aca="false">(C565-$B$4)/($B$6/SQRT($B$7))</f>
        <v>0.764426500983929</v>
      </c>
      <c r="E565" s="0" t="str">
        <f aca="false">IF(OR(AND($B$9="superior",D565&gt;$B$10),AND($B$9="inferior",D565&lt;-$B$10)),"Rechazar H0","No rechazar H0")</f>
        <v>No rechazar H0</v>
      </c>
      <c r="F565" s="0" t="str">
        <f aca="false">IF(AND(B565="H0 verdadera",E565="Rechazar H0"),"Error tipo I",IF(AND(B565="Ha verdadera",E565="No rechazar H0"),"Error tipo II","Decisión correcta"))</f>
        <v>Decisión correcta</v>
      </c>
    </row>
    <row r="566" customFormat="false" ht="15" hidden="false" customHeight="false" outlineLevel="0" collapsed="false">
      <c r="A566" s="0" t="n">
        <v>545</v>
      </c>
      <c r="B566" s="0" t="s">
        <v>86</v>
      </c>
      <c r="C566" s="17" t="n">
        <v>-0.334012744102609</v>
      </c>
      <c r="D566" s="17" t="n">
        <f aca="false">(C566-$B$4)/($B$6/SQRT($B$7))</f>
        <v>-1.67006372051305</v>
      </c>
      <c r="E566" s="0" t="str">
        <f aca="false">IF(OR(AND($B$9="superior",D566&gt;$B$10),AND($B$9="inferior",D566&lt;-$B$10)),"Rechazar H0","No rechazar H0")</f>
        <v>Rechazar H0</v>
      </c>
      <c r="F566" s="0" t="str">
        <f aca="false">IF(AND(B566="H0 verdadera",E566="Rechazar H0"),"Error tipo I",IF(AND(B566="Ha verdadera",E566="No rechazar H0"),"Error tipo II","Decisión correcta"))</f>
        <v>Decisión correcta</v>
      </c>
    </row>
    <row r="567" customFormat="false" ht="15" hidden="false" customHeight="false" outlineLevel="0" collapsed="false">
      <c r="A567" s="0" t="n">
        <v>546</v>
      </c>
      <c r="B567" s="0" t="s">
        <v>86</v>
      </c>
      <c r="C567" s="17" t="n">
        <v>-0.504528591781128</v>
      </c>
      <c r="D567" s="17" t="n">
        <f aca="false">(C567-$B$4)/($B$6/SQRT($B$7))</f>
        <v>-2.52264295890564</v>
      </c>
      <c r="E567" s="0" t="str">
        <f aca="false">IF(OR(AND($B$9="superior",D567&gt;$B$10),AND($B$9="inferior",D567&lt;-$B$10)),"Rechazar H0","No rechazar H0")</f>
        <v>Rechazar H0</v>
      </c>
      <c r="F567" s="0" t="str">
        <f aca="false">IF(AND(B567="H0 verdadera",E567="Rechazar H0"),"Error tipo I",IF(AND(B567="Ha verdadera",E567="No rechazar H0"),"Error tipo II","Decisión correcta"))</f>
        <v>Decisión correcta</v>
      </c>
    </row>
    <row r="568" customFormat="false" ht="15" hidden="false" customHeight="false" outlineLevel="0" collapsed="false">
      <c r="A568" s="0" t="n">
        <v>547</v>
      </c>
      <c r="B568" s="0" t="s">
        <v>85</v>
      </c>
      <c r="C568" s="17" t="n">
        <v>0.33413323472105</v>
      </c>
      <c r="D568" s="17" t="n">
        <f aca="false">(C568-$B$4)/($B$6/SQRT($B$7))</f>
        <v>1.67066617360525</v>
      </c>
      <c r="E568" s="0" t="str">
        <f aca="false">IF(OR(AND($B$9="superior",D568&gt;$B$10),AND($B$9="inferior",D568&lt;-$B$10)),"Rechazar H0","No rechazar H0")</f>
        <v>No rechazar H0</v>
      </c>
      <c r="F568" s="0" t="str">
        <f aca="false">IF(AND(B568="H0 verdadera",E568="Rechazar H0"),"Error tipo I",IF(AND(B568="Ha verdadera",E568="No rechazar H0"),"Error tipo II","Decisión correcta"))</f>
        <v>Decisión correcta</v>
      </c>
    </row>
    <row r="569" customFormat="false" ht="15" hidden="false" customHeight="false" outlineLevel="0" collapsed="false">
      <c r="A569" s="0" t="n">
        <v>548</v>
      </c>
      <c r="B569" s="0" t="s">
        <v>85</v>
      </c>
      <c r="C569" s="17" t="n">
        <v>-0.0398959075390937</v>
      </c>
      <c r="D569" s="17" t="n">
        <f aca="false">(C569-$B$4)/($B$6/SQRT($B$7))</f>
        <v>-0.199479537695469</v>
      </c>
      <c r="E569" s="0" t="str">
        <f aca="false">IF(OR(AND($B$9="superior",D569&gt;$B$10),AND($B$9="inferior",D569&lt;-$B$10)),"Rechazar H0","No rechazar H0")</f>
        <v>No rechazar H0</v>
      </c>
      <c r="F569" s="0" t="str">
        <f aca="false">IF(AND(B569="H0 verdadera",E569="Rechazar H0"),"Error tipo I",IF(AND(B569="Ha verdadera",E569="No rechazar H0"),"Error tipo II","Decisión correcta"))</f>
        <v>Decisión correcta</v>
      </c>
    </row>
    <row r="570" customFormat="false" ht="15" hidden="false" customHeight="false" outlineLevel="0" collapsed="false">
      <c r="A570" s="0" t="n">
        <v>549</v>
      </c>
      <c r="B570" s="0" t="s">
        <v>86</v>
      </c>
      <c r="C570" s="17" t="n">
        <v>-0.0486097667170517</v>
      </c>
      <c r="D570" s="17" t="n">
        <f aca="false">(C570-$B$4)/($B$6/SQRT($B$7))</f>
        <v>-0.243048833585258</v>
      </c>
      <c r="E570" s="0" t="str">
        <f aca="false">IF(OR(AND($B$9="superior",D570&gt;$B$10),AND($B$9="inferior",D570&lt;-$B$10)),"Rechazar H0","No rechazar H0")</f>
        <v>No rechazar H0</v>
      </c>
      <c r="F570" s="0" t="str">
        <f aca="false">IF(AND(B570="H0 verdadera",E570="Rechazar H0"),"Error tipo I",IF(AND(B570="Ha verdadera",E570="No rechazar H0"),"Error tipo II","Decisión correcta"))</f>
        <v>Error tipo II</v>
      </c>
    </row>
    <row r="571" customFormat="false" ht="15" hidden="false" customHeight="false" outlineLevel="0" collapsed="false">
      <c r="A571" s="0" t="n">
        <v>550</v>
      </c>
      <c r="B571" s="0" t="s">
        <v>86</v>
      </c>
      <c r="C571" s="17" t="n">
        <v>-0.866729236211558</v>
      </c>
      <c r="D571" s="17" t="n">
        <f aca="false">(C571-$B$4)/($B$6/SQRT($B$7))</f>
        <v>-4.33364618105779</v>
      </c>
      <c r="E571" s="0" t="str">
        <f aca="false">IF(OR(AND($B$9="superior",D571&gt;$B$10),AND($B$9="inferior",D571&lt;-$B$10)),"Rechazar H0","No rechazar H0")</f>
        <v>Rechazar H0</v>
      </c>
      <c r="F571" s="0" t="str">
        <f aca="false">IF(AND(B571="H0 verdadera",E571="Rechazar H0"),"Error tipo I",IF(AND(B571="Ha verdadera",E571="No rechazar H0"),"Error tipo II","Decisión correcta"))</f>
        <v>Decisión correcta</v>
      </c>
    </row>
    <row r="572" customFormat="false" ht="15" hidden="false" customHeight="false" outlineLevel="0" collapsed="false">
      <c r="A572" s="0" t="n">
        <v>551</v>
      </c>
      <c r="B572" s="0" t="s">
        <v>86</v>
      </c>
      <c r="C572" s="17" t="n">
        <v>-0.106150165520002</v>
      </c>
      <c r="D572" s="17" t="n">
        <f aca="false">(C572-$B$4)/($B$6/SQRT($B$7))</f>
        <v>-0.530750827600008</v>
      </c>
      <c r="E572" s="0" t="str">
        <f aca="false">IF(OR(AND($B$9="superior",D572&gt;$B$10),AND($B$9="inferior",D572&lt;-$B$10)),"Rechazar H0","No rechazar H0")</f>
        <v>No rechazar H0</v>
      </c>
      <c r="F572" s="0" t="str">
        <f aca="false">IF(AND(B572="H0 verdadera",E572="Rechazar H0"),"Error tipo I",IF(AND(B572="Ha verdadera",E572="No rechazar H0"),"Error tipo II","Decisión correcta"))</f>
        <v>Error tipo II</v>
      </c>
    </row>
    <row r="573" customFormat="false" ht="15" hidden="false" customHeight="false" outlineLevel="0" collapsed="false">
      <c r="A573" s="0" t="n">
        <v>552</v>
      </c>
      <c r="B573" s="0" t="s">
        <v>85</v>
      </c>
      <c r="C573" s="17" t="n">
        <v>-0.0543947254483901</v>
      </c>
      <c r="D573" s="17" t="n">
        <f aca="false">(C573-$B$4)/($B$6/SQRT($B$7))</f>
        <v>-0.271973627241951</v>
      </c>
      <c r="E573" s="0" t="str">
        <f aca="false">IF(OR(AND($B$9="superior",D573&gt;$B$10),AND($B$9="inferior",D573&lt;-$B$10)),"Rechazar H0","No rechazar H0")</f>
        <v>No rechazar H0</v>
      </c>
      <c r="F573" s="0" t="str">
        <f aca="false">IF(AND(B573="H0 verdadera",E573="Rechazar H0"),"Error tipo I",IF(AND(B573="Ha verdadera",E573="No rechazar H0"),"Error tipo II","Decisión correcta"))</f>
        <v>Decisión correcta</v>
      </c>
    </row>
    <row r="574" customFormat="false" ht="15" hidden="false" customHeight="false" outlineLevel="0" collapsed="false">
      <c r="A574" s="0" t="n">
        <v>553</v>
      </c>
      <c r="B574" s="0" t="s">
        <v>85</v>
      </c>
      <c r="C574" s="17" t="n">
        <v>-0.156834272111012</v>
      </c>
      <c r="D574" s="17" t="n">
        <f aca="false">(C574-$B$4)/($B$6/SQRT($B$7))</f>
        <v>-0.784171360555059</v>
      </c>
      <c r="E574" s="0" t="str">
        <f aca="false">IF(OR(AND($B$9="superior",D574&gt;$B$10),AND($B$9="inferior",D574&lt;-$B$10)),"Rechazar H0","No rechazar H0")</f>
        <v>No rechazar H0</v>
      </c>
      <c r="F574" s="0" t="str">
        <f aca="false">IF(AND(B574="H0 verdadera",E574="Rechazar H0"),"Error tipo I",IF(AND(B574="Ha verdadera",E574="No rechazar H0"),"Error tipo II","Decisión correcta"))</f>
        <v>Decisión correcta</v>
      </c>
    </row>
    <row r="575" customFormat="false" ht="15" hidden="false" customHeight="false" outlineLevel="0" collapsed="false">
      <c r="A575" s="0" t="n">
        <v>554</v>
      </c>
      <c r="B575" s="0" t="s">
        <v>86</v>
      </c>
      <c r="C575" s="17" t="n">
        <v>-0.315412027649189</v>
      </c>
      <c r="D575" s="17" t="n">
        <f aca="false">(C575-$B$4)/($B$6/SQRT($B$7))</f>
        <v>-1.57706013824595</v>
      </c>
      <c r="E575" s="0" t="str">
        <f aca="false">IF(OR(AND($B$9="superior",D575&gt;$B$10),AND($B$9="inferior",D575&lt;-$B$10)),"Rechazar H0","No rechazar H0")</f>
        <v>No rechazar H0</v>
      </c>
      <c r="F575" s="0" t="str">
        <f aca="false">IF(AND(B575="H0 verdadera",E575="Rechazar H0"),"Error tipo I",IF(AND(B575="Ha verdadera",E575="No rechazar H0"),"Error tipo II","Decisión correcta"))</f>
        <v>Error tipo II</v>
      </c>
    </row>
    <row r="576" customFormat="false" ht="15" hidden="false" customHeight="false" outlineLevel="0" collapsed="false">
      <c r="A576" s="0" t="n">
        <v>555</v>
      </c>
      <c r="B576" s="0" t="s">
        <v>86</v>
      </c>
      <c r="C576" s="17" t="n">
        <v>-0.527742279105052</v>
      </c>
      <c r="D576" s="17" t="n">
        <f aca="false">(C576-$B$4)/($B$6/SQRT($B$7))</f>
        <v>-2.63871139552526</v>
      </c>
      <c r="E576" s="0" t="str">
        <f aca="false">IF(OR(AND($B$9="superior",D576&gt;$B$10),AND($B$9="inferior",D576&lt;-$B$10)),"Rechazar H0","No rechazar H0")</f>
        <v>Rechazar H0</v>
      </c>
      <c r="F576" s="0" t="str">
        <f aca="false">IF(AND(B576="H0 verdadera",E576="Rechazar H0"),"Error tipo I",IF(AND(B576="Ha verdadera",E576="No rechazar H0"),"Error tipo II","Decisión correcta"))</f>
        <v>Decisión correcta</v>
      </c>
    </row>
    <row r="577" customFormat="false" ht="15" hidden="false" customHeight="false" outlineLevel="0" collapsed="false">
      <c r="A577" s="0" t="n">
        <v>556</v>
      </c>
      <c r="B577" s="0" t="s">
        <v>86</v>
      </c>
      <c r="C577" s="17" t="n">
        <v>-0.413879885486486</v>
      </c>
      <c r="D577" s="17" t="n">
        <f aca="false">(C577-$B$4)/($B$6/SQRT($B$7))</f>
        <v>-2.06939942743243</v>
      </c>
      <c r="E577" s="0" t="str">
        <f aca="false">IF(OR(AND($B$9="superior",D577&gt;$B$10),AND($B$9="inferior",D577&lt;-$B$10)),"Rechazar H0","No rechazar H0")</f>
        <v>Rechazar H0</v>
      </c>
      <c r="F577" s="0" t="str">
        <f aca="false">IF(AND(B577="H0 verdadera",E577="Rechazar H0"),"Error tipo I",IF(AND(B577="Ha verdadera",E577="No rechazar H0"),"Error tipo II","Decisión correcta"))</f>
        <v>Decisión correcta</v>
      </c>
    </row>
    <row r="578" customFormat="false" ht="15" hidden="false" customHeight="false" outlineLevel="0" collapsed="false">
      <c r="A578" s="0" t="n">
        <v>557</v>
      </c>
      <c r="B578" s="0" t="s">
        <v>86</v>
      </c>
      <c r="C578" s="17" t="n">
        <v>-0.259615138009822</v>
      </c>
      <c r="D578" s="17" t="n">
        <f aca="false">(C578-$B$4)/($B$6/SQRT($B$7))</f>
        <v>-1.29807569004911</v>
      </c>
      <c r="E578" s="0" t="str">
        <f aca="false">IF(OR(AND($B$9="superior",D578&gt;$B$10),AND($B$9="inferior",D578&lt;-$B$10)),"Rechazar H0","No rechazar H0")</f>
        <v>No rechazar H0</v>
      </c>
      <c r="F578" s="0" t="str">
        <f aca="false">IF(AND(B578="H0 verdadera",E578="Rechazar H0"),"Error tipo I",IF(AND(B578="Ha verdadera",E578="No rechazar H0"),"Error tipo II","Decisión correcta"))</f>
        <v>Error tipo II</v>
      </c>
    </row>
    <row r="579" customFormat="false" ht="15" hidden="false" customHeight="false" outlineLevel="0" collapsed="false">
      <c r="A579" s="0" t="n">
        <v>558</v>
      </c>
      <c r="B579" s="0" t="s">
        <v>85</v>
      </c>
      <c r="C579" s="17" t="n">
        <v>0.076601717504109</v>
      </c>
      <c r="D579" s="17" t="n">
        <f aca="false">(C579-$B$4)/($B$6/SQRT($B$7))</f>
        <v>0.383008587520545</v>
      </c>
      <c r="E579" s="0" t="str">
        <f aca="false">IF(OR(AND($B$9="superior",D579&gt;$B$10),AND($B$9="inferior",D579&lt;-$B$10)),"Rechazar H0","No rechazar H0")</f>
        <v>No rechazar H0</v>
      </c>
      <c r="F579" s="0" t="str">
        <f aca="false">IF(AND(B579="H0 verdadera",E579="Rechazar H0"),"Error tipo I",IF(AND(B579="Ha verdadera",E579="No rechazar H0"),"Error tipo II","Decisión correcta"))</f>
        <v>Decisión correcta</v>
      </c>
    </row>
    <row r="580" customFormat="false" ht="15" hidden="false" customHeight="false" outlineLevel="0" collapsed="false">
      <c r="A580" s="0" t="n">
        <v>559</v>
      </c>
      <c r="B580" s="0" t="s">
        <v>86</v>
      </c>
      <c r="C580" s="17" t="n">
        <v>-0.590968316520407</v>
      </c>
      <c r="D580" s="17" t="n">
        <f aca="false">(C580-$B$4)/($B$6/SQRT($B$7))</f>
        <v>-2.95484158260203</v>
      </c>
      <c r="E580" s="0" t="str">
        <f aca="false">IF(OR(AND($B$9="superior",D580&gt;$B$10),AND($B$9="inferior",D580&lt;-$B$10)),"Rechazar H0","No rechazar H0")</f>
        <v>Rechazar H0</v>
      </c>
      <c r="F580" s="0" t="str">
        <f aca="false">IF(AND(B580="H0 verdadera",E580="Rechazar H0"),"Error tipo I",IF(AND(B580="Ha verdadera",E580="No rechazar H0"),"Error tipo II","Decisión correcta"))</f>
        <v>Decisión correcta</v>
      </c>
    </row>
    <row r="581" customFormat="false" ht="15" hidden="false" customHeight="false" outlineLevel="0" collapsed="false">
      <c r="A581" s="0" t="n">
        <v>560</v>
      </c>
      <c r="B581" s="0" t="s">
        <v>86</v>
      </c>
      <c r="C581" s="17" t="n">
        <v>-0.91252099124961</v>
      </c>
      <c r="D581" s="17" t="n">
        <f aca="false">(C581-$B$4)/($B$6/SQRT($B$7))</f>
        <v>-4.56260495624805</v>
      </c>
      <c r="E581" s="0" t="str">
        <f aca="false">IF(OR(AND($B$9="superior",D581&gt;$B$10),AND($B$9="inferior",D581&lt;-$B$10)),"Rechazar H0","No rechazar H0")</f>
        <v>Rechazar H0</v>
      </c>
      <c r="F581" s="0" t="str">
        <f aca="false">IF(AND(B581="H0 verdadera",E581="Rechazar H0"),"Error tipo I",IF(AND(B581="Ha verdadera",E581="No rechazar H0"),"Error tipo II","Decisión correcta"))</f>
        <v>Decisión correcta</v>
      </c>
    </row>
    <row r="582" customFormat="false" ht="15" hidden="false" customHeight="false" outlineLevel="0" collapsed="false">
      <c r="A582" s="0" t="n">
        <v>561</v>
      </c>
      <c r="B582" s="0" t="s">
        <v>86</v>
      </c>
      <c r="C582" s="17" t="n">
        <v>-0.138879076424986</v>
      </c>
      <c r="D582" s="17" t="n">
        <f aca="false">(C582-$B$4)/($B$6/SQRT($B$7))</f>
        <v>-0.694395382124931</v>
      </c>
      <c r="E582" s="0" t="str">
        <f aca="false">IF(OR(AND($B$9="superior",D582&gt;$B$10),AND($B$9="inferior",D582&lt;-$B$10)),"Rechazar H0","No rechazar H0")</f>
        <v>No rechazar H0</v>
      </c>
      <c r="F582" s="0" t="str">
        <f aca="false">IF(AND(B582="H0 verdadera",E582="Rechazar H0"),"Error tipo I",IF(AND(B582="Ha verdadera",E582="No rechazar H0"),"Error tipo II","Decisión correcta"))</f>
        <v>Error tipo II</v>
      </c>
    </row>
    <row r="583" customFormat="false" ht="15" hidden="false" customHeight="false" outlineLevel="0" collapsed="false">
      <c r="A583" s="0" t="n">
        <v>562</v>
      </c>
      <c r="B583" s="0" t="s">
        <v>85</v>
      </c>
      <c r="C583" s="17" t="n">
        <v>0.0151917947591351</v>
      </c>
      <c r="D583" s="17" t="n">
        <f aca="false">(C583-$B$4)/($B$6/SQRT($B$7))</f>
        <v>0.0759589737956753</v>
      </c>
      <c r="E583" s="0" t="str">
        <f aca="false">IF(OR(AND($B$9="superior",D583&gt;$B$10),AND($B$9="inferior",D583&lt;-$B$10)),"Rechazar H0","No rechazar H0")</f>
        <v>No rechazar H0</v>
      </c>
      <c r="F583" s="0" t="str">
        <f aca="false">IF(AND(B583="H0 verdadera",E583="Rechazar H0"),"Error tipo I",IF(AND(B583="Ha verdadera",E583="No rechazar H0"),"Error tipo II","Decisión correcta"))</f>
        <v>Decisión correcta</v>
      </c>
    </row>
    <row r="584" customFormat="false" ht="15" hidden="false" customHeight="false" outlineLevel="0" collapsed="false">
      <c r="A584" s="0" t="n">
        <v>563</v>
      </c>
      <c r="B584" s="0" t="s">
        <v>85</v>
      </c>
      <c r="C584" s="17" t="n">
        <v>-0.0104420846748093</v>
      </c>
      <c r="D584" s="17" t="n">
        <f aca="false">(C584-$B$4)/($B$6/SQRT($B$7))</f>
        <v>-0.0522104233740464</v>
      </c>
      <c r="E584" s="0" t="str">
        <f aca="false">IF(OR(AND($B$9="superior",D584&gt;$B$10),AND($B$9="inferior",D584&lt;-$B$10)),"Rechazar H0","No rechazar H0")</f>
        <v>No rechazar H0</v>
      </c>
      <c r="F584" s="0" t="str">
        <f aca="false">IF(AND(B584="H0 verdadera",E584="Rechazar H0"),"Error tipo I",IF(AND(B584="Ha verdadera",E584="No rechazar H0"),"Error tipo II","Decisión correcta"))</f>
        <v>Decisión correcta</v>
      </c>
    </row>
    <row r="585" customFormat="false" ht="15" hidden="false" customHeight="false" outlineLevel="0" collapsed="false">
      <c r="A585" s="0" t="n">
        <v>564</v>
      </c>
      <c r="B585" s="0" t="s">
        <v>86</v>
      </c>
      <c r="C585" s="17" t="n">
        <v>-0.251221433618781</v>
      </c>
      <c r="D585" s="17" t="n">
        <f aca="false">(C585-$B$4)/($B$6/SQRT($B$7))</f>
        <v>-1.25610716809391</v>
      </c>
      <c r="E585" s="0" t="str">
        <f aca="false">IF(OR(AND($B$9="superior",D585&gt;$B$10),AND($B$9="inferior",D585&lt;-$B$10)),"Rechazar H0","No rechazar H0")</f>
        <v>No rechazar H0</v>
      </c>
      <c r="F585" s="0" t="str">
        <f aca="false">IF(AND(B585="H0 verdadera",E585="Rechazar H0"),"Error tipo I",IF(AND(B585="Ha verdadera",E585="No rechazar H0"),"Error tipo II","Decisión correcta"))</f>
        <v>Error tipo II</v>
      </c>
    </row>
    <row r="586" customFormat="false" ht="15" hidden="false" customHeight="false" outlineLevel="0" collapsed="false">
      <c r="A586" s="0" t="n">
        <v>565</v>
      </c>
      <c r="B586" s="0" t="s">
        <v>85</v>
      </c>
      <c r="C586" s="17" t="n">
        <v>0.23607055905084</v>
      </c>
      <c r="D586" s="17" t="n">
        <f aca="false">(C586-$B$4)/($B$6/SQRT($B$7))</f>
        <v>1.1803527952542</v>
      </c>
      <c r="E586" s="0" t="str">
        <f aca="false">IF(OR(AND($B$9="superior",D586&gt;$B$10),AND($B$9="inferior",D586&lt;-$B$10)),"Rechazar H0","No rechazar H0")</f>
        <v>No rechazar H0</v>
      </c>
      <c r="F586" s="0" t="str">
        <f aca="false">IF(AND(B586="H0 verdadera",E586="Rechazar H0"),"Error tipo I",IF(AND(B586="Ha verdadera",E586="No rechazar H0"),"Error tipo II","Decisión correcta"))</f>
        <v>Decisión correcta</v>
      </c>
    </row>
    <row r="587" customFormat="false" ht="15" hidden="false" customHeight="false" outlineLevel="0" collapsed="false">
      <c r="A587" s="0" t="n">
        <v>566</v>
      </c>
      <c r="B587" s="0" t="s">
        <v>85</v>
      </c>
      <c r="C587" s="17" t="n">
        <v>0.32511716196826</v>
      </c>
      <c r="D587" s="17" t="n">
        <f aca="false">(C587-$B$4)/($B$6/SQRT($B$7))</f>
        <v>1.6255858098413</v>
      </c>
      <c r="E587" s="0" t="str">
        <f aca="false">IF(OR(AND($B$9="superior",D587&gt;$B$10),AND($B$9="inferior",D587&lt;-$B$10)),"Rechazar H0","No rechazar H0")</f>
        <v>No rechazar H0</v>
      </c>
      <c r="F587" s="0" t="str">
        <f aca="false">IF(AND(B587="H0 verdadera",E587="Rechazar H0"),"Error tipo I",IF(AND(B587="Ha verdadera",E587="No rechazar H0"),"Error tipo II","Decisión correcta"))</f>
        <v>Decisión correcta</v>
      </c>
    </row>
    <row r="588" customFormat="false" ht="15" hidden="false" customHeight="false" outlineLevel="0" collapsed="false">
      <c r="A588" s="0" t="n">
        <v>567</v>
      </c>
      <c r="B588" s="0" t="s">
        <v>86</v>
      </c>
      <c r="C588" s="17" t="n">
        <v>-0.1660077587765</v>
      </c>
      <c r="D588" s="17" t="n">
        <f aca="false">(C588-$B$4)/($B$6/SQRT($B$7))</f>
        <v>-0.830038793882502</v>
      </c>
      <c r="E588" s="0" t="str">
        <f aca="false">IF(OR(AND($B$9="superior",D588&gt;$B$10),AND($B$9="inferior",D588&lt;-$B$10)),"Rechazar H0","No rechazar H0")</f>
        <v>No rechazar H0</v>
      </c>
      <c r="F588" s="0" t="str">
        <f aca="false">IF(AND(B588="H0 verdadera",E588="Rechazar H0"),"Error tipo I",IF(AND(B588="Ha verdadera",E588="No rechazar H0"),"Error tipo II","Decisión correcta"))</f>
        <v>Error tipo II</v>
      </c>
    </row>
    <row r="589" customFormat="false" ht="15" hidden="false" customHeight="false" outlineLevel="0" collapsed="false">
      <c r="A589" s="0" t="n">
        <v>568</v>
      </c>
      <c r="B589" s="0" t="s">
        <v>86</v>
      </c>
      <c r="C589" s="17" t="n">
        <v>-0.518086229558695</v>
      </c>
      <c r="D589" s="17" t="n">
        <f aca="false">(C589-$B$4)/($B$6/SQRT($B$7))</f>
        <v>-2.59043114779348</v>
      </c>
      <c r="E589" s="0" t="str">
        <f aca="false">IF(OR(AND($B$9="superior",D589&gt;$B$10),AND($B$9="inferior",D589&lt;-$B$10)),"Rechazar H0","No rechazar H0")</f>
        <v>Rechazar H0</v>
      </c>
      <c r="F589" s="0" t="str">
        <f aca="false">IF(AND(B589="H0 verdadera",E589="Rechazar H0"),"Error tipo I",IF(AND(B589="Ha verdadera",E589="No rechazar H0"),"Error tipo II","Decisión correcta"))</f>
        <v>Decisión correcta</v>
      </c>
    </row>
    <row r="590" customFormat="false" ht="15" hidden="false" customHeight="false" outlineLevel="0" collapsed="false">
      <c r="A590" s="0" t="n">
        <v>569</v>
      </c>
      <c r="B590" s="0" t="s">
        <v>86</v>
      </c>
      <c r="C590" s="17" t="n">
        <v>-0.661622677771261</v>
      </c>
      <c r="D590" s="17" t="n">
        <f aca="false">(C590-$B$4)/($B$6/SQRT($B$7))</f>
        <v>-3.3081133888563</v>
      </c>
      <c r="E590" s="0" t="str">
        <f aca="false">IF(OR(AND($B$9="superior",D590&gt;$B$10),AND($B$9="inferior",D590&lt;-$B$10)),"Rechazar H0","No rechazar H0")</f>
        <v>Rechazar H0</v>
      </c>
      <c r="F590" s="0" t="str">
        <f aca="false">IF(AND(B590="H0 verdadera",E590="Rechazar H0"),"Error tipo I",IF(AND(B590="Ha verdadera",E590="No rechazar H0"),"Error tipo II","Decisión correcta"))</f>
        <v>Decisión correcta</v>
      </c>
    </row>
    <row r="591" customFormat="false" ht="15" hidden="false" customHeight="false" outlineLevel="0" collapsed="false">
      <c r="A591" s="0" t="n">
        <v>570</v>
      </c>
      <c r="B591" s="0" t="s">
        <v>86</v>
      </c>
      <c r="C591" s="17" t="n">
        <v>-0.116291903282809</v>
      </c>
      <c r="D591" s="17" t="n">
        <f aca="false">(C591-$B$4)/($B$6/SQRT($B$7))</f>
        <v>-0.581459516414044</v>
      </c>
      <c r="E591" s="0" t="str">
        <f aca="false">IF(OR(AND($B$9="superior",D591&gt;$B$10),AND($B$9="inferior",D591&lt;-$B$10)),"Rechazar H0","No rechazar H0")</f>
        <v>No rechazar H0</v>
      </c>
      <c r="F591" s="0" t="str">
        <f aca="false">IF(AND(B591="H0 verdadera",E591="Rechazar H0"),"Error tipo I",IF(AND(B591="Ha verdadera",E591="No rechazar H0"),"Error tipo II","Decisión correcta"))</f>
        <v>Error tipo II</v>
      </c>
    </row>
    <row r="592" customFormat="false" ht="15" hidden="false" customHeight="false" outlineLevel="0" collapsed="false">
      <c r="A592" s="0" t="n">
        <v>571</v>
      </c>
      <c r="B592" s="0" t="s">
        <v>86</v>
      </c>
      <c r="C592" s="17" t="n">
        <v>-0.0287623683150492</v>
      </c>
      <c r="D592" s="17" t="n">
        <f aca="false">(C592-$B$4)/($B$6/SQRT($B$7))</f>
        <v>-0.143811841575246</v>
      </c>
      <c r="E592" s="0" t="str">
        <f aca="false">IF(OR(AND($B$9="superior",D592&gt;$B$10),AND($B$9="inferior",D592&lt;-$B$10)),"Rechazar H0","No rechazar H0")</f>
        <v>No rechazar H0</v>
      </c>
      <c r="F592" s="0" t="str">
        <f aca="false">IF(AND(B592="H0 verdadera",E592="Rechazar H0"),"Error tipo I",IF(AND(B592="Ha verdadera",E592="No rechazar H0"),"Error tipo II","Decisión correcta"))</f>
        <v>Error tipo II</v>
      </c>
    </row>
    <row r="593" customFormat="false" ht="15" hidden="false" customHeight="false" outlineLevel="0" collapsed="false">
      <c r="A593" s="0" t="n">
        <v>572</v>
      </c>
      <c r="B593" s="0" t="s">
        <v>86</v>
      </c>
      <c r="C593" s="17" t="n">
        <v>-0.415045846780864</v>
      </c>
      <c r="D593" s="17" t="n">
        <f aca="false">(C593-$B$4)/($B$6/SQRT($B$7))</f>
        <v>-2.07522923390432</v>
      </c>
      <c r="E593" s="0" t="str">
        <f aca="false">IF(OR(AND($B$9="superior",D593&gt;$B$10),AND($B$9="inferior",D593&lt;-$B$10)),"Rechazar H0","No rechazar H0")</f>
        <v>Rechazar H0</v>
      </c>
      <c r="F593" s="0" t="str">
        <f aca="false">IF(AND(B593="H0 verdadera",E593="Rechazar H0"),"Error tipo I",IF(AND(B593="Ha verdadera",E593="No rechazar H0"),"Error tipo II","Decisión correcta"))</f>
        <v>Decisión correcta</v>
      </c>
    </row>
    <row r="594" customFormat="false" ht="15" hidden="false" customHeight="false" outlineLevel="0" collapsed="false">
      <c r="A594" s="0" t="n">
        <v>573</v>
      </c>
      <c r="B594" s="0" t="s">
        <v>86</v>
      </c>
      <c r="C594" s="17" t="n">
        <v>0.175318443946992</v>
      </c>
      <c r="D594" s="17" t="n">
        <f aca="false">(C594-$B$4)/($B$6/SQRT($B$7))</f>
        <v>0.876592219734958</v>
      </c>
      <c r="E594" s="0" t="str">
        <f aca="false">IF(OR(AND($B$9="superior",D594&gt;$B$10),AND($B$9="inferior",D594&lt;-$B$10)),"Rechazar H0","No rechazar H0")</f>
        <v>No rechazar H0</v>
      </c>
      <c r="F594" s="0" t="str">
        <f aca="false">IF(AND(B594="H0 verdadera",E594="Rechazar H0"),"Error tipo I",IF(AND(B594="Ha verdadera",E594="No rechazar H0"),"Error tipo II","Decisión correcta"))</f>
        <v>Error tipo II</v>
      </c>
    </row>
    <row r="595" customFormat="false" ht="15" hidden="false" customHeight="false" outlineLevel="0" collapsed="false">
      <c r="A595" s="0" t="n">
        <v>574</v>
      </c>
      <c r="B595" s="0" t="s">
        <v>86</v>
      </c>
      <c r="C595" s="17" t="n">
        <v>-0.67404036664228</v>
      </c>
      <c r="D595" s="17" t="n">
        <f aca="false">(C595-$B$4)/($B$6/SQRT($B$7))</f>
        <v>-3.3702018332114</v>
      </c>
      <c r="E595" s="0" t="str">
        <f aca="false">IF(OR(AND($B$9="superior",D595&gt;$B$10),AND($B$9="inferior",D595&lt;-$B$10)),"Rechazar H0","No rechazar H0")</f>
        <v>Rechazar H0</v>
      </c>
      <c r="F595" s="0" t="str">
        <f aca="false">IF(AND(B595="H0 verdadera",E595="Rechazar H0"),"Error tipo I",IF(AND(B595="Ha verdadera",E595="No rechazar H0"),"Error tipo II","Decisión correcta"))</f>
        <v>Decisión correcta</v>
      </c>
    </row>
    <row r="596" customFormat="false" ht="15" hidden="false" customHeight="false" outlineLevel="0" collapsed="false">
      <c r="A596" s="0" t="n">
        <v>575</v>
      </c>
      <c r="B596" s="0" t="s">
        <v>85</v>
      </c>
      <c r="C596" s="17" t="n">
        <v>0.333047030419406</v>
      </c>
      <c r="D596" s="17" t="n">
        <f aca="false">(C596-$B$4)/($B$6/SQRT($B$7))</f>
        <v>1.66523515209703</v>
      </c>
      <c r="E596" s="0" t="str">
        <f aca="false">IF(OR(AND($B$9="superior",D596&gt;$B$10),AND($B$9="inferior",D596&lt;-$B$10)),"Rechazar H0","No rechazar H0")</f>
        <v>No rechazar H0</v>
      </c>
      <c r="F596" s="0" t="str">
        <f aca="false">IF(AND(B596="H0 verdadera",E596="Rechazar H0"),"Error tipo I",IF(AND(B596="Ha verdadera",E596="No rechazar H0"),"Error tipo II","Decisión correcta"))</f>
        <v>Decisión correcta</v>
      </c>
    </row>
    <row r="597" customFormat="false" ht="15" hidden="false" customHeight="false" outlineLevel="0" collapsed="false">
      <c r="A597" s="0" t="n">
        <v>576</v>
      </c>
      <c r="B597" s="0" t="s">
        <v>85</v>
      </c>
      <c r="C597" s="17" t="n">
        <v>0.0593413866302655</v>
      </c>
      <c r="D597" s="17" t="n">
        <f aca="false">(C597-$B$4)/($B$6/SQRT($B$7))</f>
        <v>0.296706933151328</v>
      </c>
      <c r="E597" s="0" t="str">
        <f aca="false">IF(OR(AND($B$9="superior",D597&gt;$B$10),AND($B$9="inferior",D597&lt;-$B$10)),"Rechazar H0","No rechazar H0")</f>
        <v>No rechazar H0</v>
      </c>
      <c r="F597" s="0" t="str">
        <f aca="false">IF(AND(B597="H0 verdadera",E597="Rechazar H0"),"Error tipo I",IF(AND(B597="Ha verdadera",E597="No rechazar H0"),"Error tipo II","Decisión correcta"))</f>
        <v>Decisión correcta</v>
      </c>
    </row>
    <row r="598" customFormat="false" ht="15" hidden="false" customHeight="false" outlineLevel="0" collapsed="false">
      <c r="A598" s="0" t="n">
        <v>577</v>
      </c>
      <c r="B598" s="0" t="s">
        <v>86</v>
      </c>
      <c r="C598" s="17" t="n">
        <v>-0.570789810515896</v>
      </c>
      <c r="D598" s="17" t="n">
        <f aca="false">(C598-$B$4)/($B$6/SQRT($B$7))</f>
        <v>-2.85394905257948</v>
      </c>
      <c r="E598" s="0" t="str">
        <f aca="false">IF(OR(AND($B$9="superior",D598&gt;$B$10),AND($B$9="inferior",D598&lt;-$B$10)),"Rechazar H0","No rechazar H0")</f>
        <v>Rechazar H0</v>
      </c>
      <c r="F598" s="0" t="str">
        <f aca="false">IF(AND(B598="H0 verdadera",E598="Rechazar H0"),"Error tipo I",IF(AND(B598="Ha verdadera",E598="No rechazar H0"),"Error tipo II","Decisión correcta"))</f>
        <v>Decisión correcta</v>
      </c>
    </row>
    <row r="599" customFormat="false" ht="15" hidden="false" customHeight="false" outlineLevel="0" collapsed="false">
      <c r="A599" s="0" t="n">
        <v>578</v>
      </c>
      <c r="B599" s="0" t="s">
        <v>85</v>
      </c>
      <c r="C599" s="17" t="n">
        <v>-0.031433669190811</v>
      </c>
      <c r="D599" s="17" t="n">
        <f aca="false">(C599-$B$4)/($B$6/SQRT($B$7))</f>
        <v>-0.157168345954055</v>
      </c>
      <c r="E599" s="0" t="str">
        <f aca="false">IF(OR(AND($B$9="superior",D599&gt;$B$10),AND($B$9="inferior",D599&lt;-$B$10)),"Rechazar H0","No rechazar H0")</f>
        <v>No rechazar H0</v>
      </c>
      <c r="F599" s="0" t="str">
        <f aca="false">IF(AND(B599="H0 verdadera",E599="Rechazar H0"),"Error tipo I",IF(AND(B599="Ha verdadera",E599="No rechazar H0"),"Error tipo II","Decisión correcta"))</f>
        <v>Decisión correcta</v>
      </c>
    </row>
    <row r="600" customFormat="false" ht="15" hidden="false" customHeight="false" outlineLevel="0" collapsed="false">
      <c r="A600" s="0" t="n">
        <v>579</v>
      </c>
      <c r="B600" s="0" t="s">
        <v>85</v>
      </c>
      <c r="C600" s="17" t="n">
        <v>0.267770952628594</v>
      </c>
      <c r="D600" s="17" t="n">
        <f aca="false">(C600-$B$4)/($B$6/SQRT($B$7))</f>
        <v>1.33885476314297</v>
      </c>
      <c r="E600" s="0" t="str">
        <f aca="false">IF(OR(AND($B$9="superior",D600&gt;$B$10),AND($B$9="inferior",D600&lt;-$B$10)),"Rechazar H0","No rechazar H0")</f>
        <v>No rechazar H0</v>
      </c>
      <c r="F600" s="0" t="str">
        <f aca="false">IF(AND(B600="H0 verdadera",E600="Rechazar H0"),"Error tipo I",IF(AND(B600="Ha verdadera",E600="No rechazar H0"),"Error tipo II","Decisión correcta"))</f>
        <v>Decisión correcta</v>
      </c>
    </row>
    <row r="601" customFormat="false" ht="15" hidden="false" customHeight="false" outlineLevel="0" collapsed="false">
      <c r="A601" s="0" t="n">
        <v>580</v>
      </c>
      <c r="B601" s="0" t="s">
        <v>86</v>
      </c>
      <c r="C601" s="17" t="n">
        <v>-0.0121538732218658</v>
      </c>
      <c r="D601" s="17" t="n">
        <f aca="false">(C601-$B$4)/($B$6/SQRT($B$7))</f>
        <v>-0.060769366109329</v>
      </c>
      <c r="E601" s="0" t="str">
        <f aca="false">IF(OR(AND($B$9="superior",D601&gt;$B$10),AND($B$9="inferior",D601&lt;-$B$10)),"Rechazar H0","No rechazar H0")</f>
        <v>No rechazar H0</v>
      </c>
      <c r="F601" s="0" t="str">
        <f aca="false">IF(AND(B601="H0 verdadera",E601="Rechazar H0"),"Error tipo I",IF(AND(B601="Ha verdadera",E601="No rechazar H0"),"Error tipo II","Decisión correcta"))</f>
        <v>Error tipo II</v>
      </c>
    </row>
    <row r="602" customFormat="false" ht="15" hidden="false" customHeight="false" outlineLevel="0" collapsed="false">
      <c r="A602" s="0" t="n">
        <v>581</v>
      </c>
      <c r="B602" s="0" t="s">
        <v>86</v>
      </c>
      <c r="C602" s="17" t="n">
        <v>-0.41572282116146</v>
      </c>
      <c r="D602" s="17" t="n">
        <f aca="false">(C602-$B$4)/($B$6/SQRT($B$7))</f>
        <v>-2.0786141058073</v>
      </c>
      <c r="E602" s="0" t="str">
        <f aca="false">IF(OR(AND($B$9="superior",D602&gt;$B$10),AND($B$9="inferior",D602&lt;-$B$10)),"Rechazar H0","No rechazar H0")</f>
        <v>Rechazar H0</v>
      </c>
      <c r="F602" s="0" t="str">
        <f aca="false">IF(AND(B602="H0 verdadera",E602="Rechazar H0"),"Error tipo I",IF(AND(B602="Ha verdadera",E602="No rechazar H0"),"Error tipo II","Decisión correcta"))</f>
        <v>Decisión correcta</v>
      </c>
    </row>
    <row r="603" customFormat="false" ht="15" hidden="false" customHeight="false" outlineLevel="0" collapsed="false">
      <c r="A603" s="0" t="n">
        <v>582</v>
      </c>
      <c r="B603" s="0" t="s">
        <v>85</v>
      </c>
      <c r="C603" s="17" t="n">
        <v>-0.104155155001397</v>
      </c>
      <c r="D603" s="17" t="n">
        <f aca="false">(C603-$B$4)/($B$6/SQRT($B$7))</f>
        <v>-0.520775775006985</v>
      </c>
      <c r="E603" s="0" t="str">
        <f aca="false">IF(OR(AND($B$9="superior",D603&gt;$B$10),AND($B$9="inferior",D603&lt;-$B$10)),"Rechazar H0","No rechazar H0")</f>
        <v>No rechazar H0</v>
      </c>
      <c r="F603" s="0" t="str">
        <f aca="false">IF(AND(B603="H0 verdadera",E603="Rechazar H0"),"Error tipo I",IF(AND(B603="Ha verdadera",E603="No rechazar H0"),"Error tipo II","Decisión correcta"))</f>
        <v>Decisión correcta</v>
      </c>
    </row>
    <row r="604" customFormat="false" ht="15" hidden="false" customHeight="false" outlineLevel="0" collapsed="false">
      <c r="A604" s="0" t="n">
        <v>583</v>
      </c>
      <c r="B604" s="0" t="s">
        <v>85</v>
      </c>
      <c r="C604" s="17" t="n">
        <v>0.355934214877364</v>
      </c>
      <c r="D604" s="17" t="n">
        <f aca="false">(C604-$B$4)/($B$6/SQRT($B$7))</f>
        <v>1.77967107438682</v>
      </c>
      <c r="E604" s="0" t="str">
        <f aca="false">IF(OR(AND($B$9="superior",D604&gt;$B$10),AND($B$9="inferior",D604&lt;-$B$10)),"Rechazar H0","No rechazar H0")</f>
        <v>No rechazar H0</v>
      </c>
      <c r="F604" s="0" t="str">
        <f aca="false">IF(AND(B604="H0 verdadera",E604="Rechazar H0"),"Error tipo I",IF(AND(B604="Ha verdadera",E604="No rechazar H0"),"Error tipo II","Decisión correcta"))</f>
        <v>Decisión correcta</v>
      </c>
    </row>
    <row r="605" customFormat="false" ht="15" hidden="false" customHeight="false" outlineLevel="0" collapsed="false">
      <c r="A605" s="0" t="n">
        <v>584</v>
      </c>
      <c r="B605" s="0" t="s">
        <v>86</v>
      </c>
      <c r="C605" s="17" t="n">
        <v>-0.487984756107087</v>
      </c>
      <c r="D605" s="17" t="n">
        <f aca="false">(C605-$B$4)/($B$6/SQRT($B$7))</f>
        <v>-2.43992378053543</v>
      </c>
      <c r="E605" s="0" t="str">
        <f aca="false">IF(OR(AND($B$9="superior",D605&gt;$B$10),AND($B$9="inferior",D605&lt;-$B$10)),"Rechazar H0","No rechazar H0")</f>
        <v>Rechazar H0</v>
      </c>
      <c r="F605" s="0" t="str">
        <f aca="false">IF(AND(B605="H0 verdadera",E605="Rechazar H0"),"Error tipo I",IF(AND(B605="Ha verdadera",E605="No rechazar H0"),"Error tipo II","Decisión correcta"))</f>
        <v>Decisión correcta</v>
      </c>
    </row>
    <row r="606" customFormat="false" ht="15" hidden="false" customHeight="false" outlineLevel="0" collapsed="false">
      <c r="A606" s="0" t="n">
        <v>585</v>
      </c>
      <c r="B606" s="0" t="s">
        <v>85</v>
      </c>
      <c r="C606" s="17" t="n">
        <v>-0.0615012897934573</v>
      </c>
      <c r="D606" s="17" t="n">
        <f aca="false">(C606-$B$4)/($B$6/SQRT($B$7))</f>
        <v>-0.307506448967286</v>
      </c>
      <c r="E606" s="0" t="str">
        <f aca="false">IF(OR(AND($B$9="superior",D606&gt;$B$10),AND($B$9="inferior",D606&lt;-$B$10)),"Rechazar H0","No rechazar H0")</f>
        <v>No rechazar H0</v>
      </c>
      <c r="F606" s="0" t="str">
        <f aca="false">IF(AND(B606="H0 verdadera",E606="Rechazar H0"),"Error tipo I",IF(AND(B606="Ha verdadera",E606="No rechazar H0"),"Error tipo II","Decisión correcta"))</f>
        <v>Decisión correcta</v>
      </c>
    </row>
    <row r="607" customFormat="false" ht="15" hidden="false" customHeight="false" outlineLevel="0" collapsed="false">
      <c r="A607" s="0" t="n">
        <v>586</v>
      </c>
      <c r="B607" s="0" t="s">
        <v>86</v>
      </c>
      <c r="C607" s="17" t="n">
        <v>-0.45345363311945</v>
      </c>
      <c r="D607" s="17" t="n">
        <f aca="false">(C607-$B$4)/($B$6/SQRT($B$7))</f>
        <v>-2.26726816559725</v>
      </c>
      <c r="E607" s="0" t="str">
        <f aca="false">IF(OR(AND($B$9="superior",D607&gt;$B$10),AND($B$9="inferior",D607&lt;-$B$10)),"Rechazar H0","No rechazar H0")</f>
        <v>Rechazar H0</v>
      </c>
      <c r="F607" s="0" t="str">
        <f aca="false">IF(AND(B607="H0 verdadera",E607="Rechazar H0"),"Error tipo I",IF(AND(B607="Ha verdadera",E607="No rechazar H0"),"Error tipo II","Decisión correcta"))</f>
        <v>Decisión correcta</v>
      </c>
    </row>
    <row r="608" customFormat="false" ht="15" hidden="false" customHeight="false" outlineLevel="0" collapsed="false">
      <c r="A608" s="0" t="n">
        <v>587</v>
      </c>
      <c r="B608" s="0" t="s">
        <v>85</v>
      </c>
      <c r="C608" s="17" t="n">
        <v>0.227721378412487</v>
      </c>
      <c r="D608" s="17" t="n">
        <f aca="false">(C608-$B$4)/($B$6/SQRT($B$7))</f>
        <v>1.13860689206244</v>
      </c>
      <c r="E608" s="0" t="str">
        <f aca="false">IF(OR(AND($B$9="superior",D608&gt;$B$10),AND($B$9="inferior",D608&lt;-$B$10)),"Rechazar H0","No rechazar H0")</f>
        <v>No rechazar H0</v>
      </c>
      <c r="F608" s="0" t="str">
        <f aca="false">IF(AND(B608="H0 verdadera",E608="Rechazar H0"),"Error tipo I",IF(AND(B608="Ha verdadera",E608="No rechazar H0"),"Error tipo II","Decisión correcta"))</f>
        <v>Decisión correcta</v>
      </c>
    </row>
    <row r="609" customFormat="false" ht="15" hidden="false" customHeight="false" outlineLevel="0" collapsed="false">
      <c r="A609" s="0" t="n">
        <v>588</v>
      </c>
      <c r="B609" s="0" t="s">
        <v>86</v>
      </c>
      <c r="C609" s="17" t="n">
        <v>-0.428861696568834</v>
      </c>
      <c r="D609" s="17" t="n">
        <f aca="false">(C609-$B$4)/($B$6/SQRT($B$7))</f>
        <v>-2.14430848284417</v>
      </c>
      <c r="E609" s="0" t="str">
        <f aca="false">IF(OR(AND($B$9="superior",D609&gt;$B$10),AND($B$9="inferior",D609&lt;-$B$10)),"Rechazar H0","No rechazar H0")</f>
        <v>Rechazar H0</v>
      </c>
      <c r="F609" s="0" t="str">
        <f aca="false">IF(AND(B609="H0 verdadera",E609="Rechazar H0"),"Error tipo I",IF(AND(B609="Ha verdadera",E609="No rechazar H0"),"Error tipo II","Decisión correcta"))</f>
        <v>Decisión correcta</v>
      </c>
    </row>
    <row r="610" customFormat="false" ht="15" hidden="false" customHeight="false" outlineLevel="0" collapsed="false">
      <c r="A610" s="0" t="n">
        <v>589</v>
      </c>
      <c r="B610" s="0" t="s">
        <v>85</v>
      </c>
      <c r="C610" s="17" t="n">
        <v>-0.0789079939212361</v>
      </c>
      <c r="D610" s="17" t="n">
        <f aca="false">(C610-$B$4)/($B$6/SQRT($B$7))</f>
        <v>-0.39453996960618</v>
      </c>
      <c r="E610" s="0" t="str">
        <f aca="false">IF(OR(AND($B$9="superior",D610&gt;$B$10),AND($B$9="inferior",D610&lt;-$B$10)),"Rechazar H0","No rechazar H0")</f>
        <v>No rechazar H0</v>
      </c>
      <c r="F610" s="0" t="str">
        <f aca="false">IF(AND(B610="H0 verdadera",E610="Rechazar H0"),"Error tipo I",IF(AND(B610="Ha verdadera",E610="No rechazar H0"),"Error tipo II","Decisión correcta"))</f>
        <v>Decisión correcta</v>
      </c>
    </row>
    <row r="611" customFormat="false" ht="15" hidden="false" customHeight="false" outlineLevel="0" collapsed="false">
      <c r="A611" s="0" t="n">
        <v>590</v>
      </c>
      <c r="B611" s="0" t="s">
        <v>85</v>
      </c>
      <c r="C611" s="17" t="n">
        <v>0.175911344005375</v>
      </c>
      <c r="D611" s="17" t="n">
        <f aca="false">(C611-$B$4)/($B$6/SQRT($B$7))</f>
        <v>0.879556720026876</v>
      </c>
      <c r="E611" s="0" t="str">
        <f aca="false">IF(OR(AND($B$9="superior",D611&gt;$B$10),AND($B$9="inferior",D611&lt;-$B$10)),"Rechazar H0","No rechazar H0")</f>
        <v>No rechazar H0</v>
      </c>
      <c r="F611" s="0" t="str">
        <f aca="false">IF(AND(B611="H0 verdadera",E611="Rechazar H0"),"Error tipo I",IF(AND(B611="Ha verdadera",E611="No rechazar H0"),"Error tipo II","Decisión correcta"))</f>
        <v>Decisión correcta</v>
      </c>
    </row>
    <row r="612" customFormat="false" ht="15" hidden="false" customHeight="false" outlineLevel="0" collapsed="false">
      <c r="A612" s="0" t="n">
        <v>591</v>
      </c>
      <c r="B612" s="0" t="s">
        <v>85</v>
      </c>
      <c r="C612" s="17" t="n">
        <v>-0.178135100101276</v>
      </c>
      <c r="D612" s="17" t="n">
        <f aca="false">(C612-$B$4)/($B$6/SQRT($B$7))</f>
        <v>-0.890675500506382</v>
      </c>
      <c r="E612" s="0" t="str">
        <f aca="false">IF(OR(AND($B$9="superior",D612&gt;$B$10),AND($B$9="inferior",D612&lt;-$B$10)),"Rechazar H0","No rechazar H0")</f>
        <v>No rechazar H0</v>
      </c>
      <c r="F612" s="0" t="str">
        <f aca="false">IF(AND(B612="H0 verdadera",E612="Rechazar H0"),"Error tipo I",IF(AND(B612="Ha verdadera",E612="No rechazar H0"),"Error tipo II","Decisión correcta"))</f>
        <v>Decisión correcta</v>
      </c>
    </row>
    <row r="613" customFormat="false" ht="15" hidden="false" customHeight="false" outlineLevel="0" collapsed="false">
      <c r="A613" s="0" t="n">
        <v>592</v>
      </c>
      <c r="B613" s="0" t="s">
        <v>86</v>
      </c>
      <c r="C613" s="17" t="n">
        <v>-0.409541005337988</v>
      </c>
      <c r="D613" s="17" t="n">
        <f aca="false">(C613-$B$4)/($B$6/SQRT($B$7))</f>
        <v>-2.04770502668994</v>
      </c>
      <c r="E613" s="0" t="str">
        <f aca="false">IF(OR(AND($B$9="superior",D613&gt;$B$10),AND($B$9="inferior",D613&lt;-$B$10)),"Rechazar H0","No rechazar H0")</f>
        <v>Rechazar H0</v>
      </c>
      <c r="F613" s="0" t="str">
        <f aca="false">IF(AND(B613="H0 verdadera",E613="Rechazar H0"),"Error tipo I",IF(AND(B613="Ha verdadera",E613="No rechazar H0"),"Error tipo II","Decisión correcta"))</f>
        <v>Decisión correcta</v>
      </c>
    </row>
    <row r="614" customFormat="false" ht="15" hidden="false" customHeight="false" outlineLevel="0" collapsed="false">
      <c r="A614" s="0" t="n">
        <v>593</v>
      </c>
      <c r="B614" s="0" t="s">
        <v>86</v>
      </c>
      <c r="C614" s="17" t="n">
        <v>-0.378946803701691</v>
      </c>
      <c r="D614" s="17" t="n">
        <f aca="false">(C614-$B$4)/($B$6/SQRT($B$7))</f>
        <v>-1.89473401850845</v>
      </c>
      <c r="E614" s="0" t="str">
        <f aca="false">IF(OR(AND($B$9="superior",D614&gt;$B$10),AND($B$9="inferior",D614&lt;-$B$10)),"Rechazar H0","No rechazar H0")</f>
        <v>Rechazar H0</v>
      </c>
      <c r="F614" s="0" t="str">
        <f aca="false">IF(AND(B614="H0 verdadera",E614="Rechazar H0"),"Error tipo I",IF(AND(B614="Ha verdadera",E614="No rechazar H0"),"Error tipo II","Decisión correcta"))</f>
        <v>Decisión correcta</v>
      </c>
    </row>
    <row r="615" customFormat="false" ht="15" hidden="false" customHeight="false" outlineLevel="0" collapsed="false">
      <c r="A615" s="0" t="n">
        <v>594</v>
      </c>
      <c r="B615" s="0" t="s">
        <v>85</v>
      </c>
      <c r="C615" s="17" t="n">
        <v>-0.118200615749705</v>
      </c>
      <c r="D615" s="17" t="n">
        <f aca="false">(C615-$B$4)/($B$6/SQRT($B$7))</f>
        <v>-0.591003078748524</v>
      </c>
      <c r="E615" s="0" t="str">
        <f aca="false">IF(OR(AND($B$9="superior",D615&gt;$B$10),AND($B$9="inferior",D615&lt;-$B$10)),"Rechazar H0","No rechazar H0")</f>
        <v>No rechazar H0</v>
      </c>
      <c r="F615" s="0" t="str">
        <f aca="false">IF(AND(B615="H0 verdadera",E615="Rechazar H0"),"Error tipo I",IF(AND(B615="Ha verdadera",E615="No rechazar H0"),"Error tipo II","Decisión correcta"))</f>
        <v>Decisión correcta</v>
      </c>
    </row>
    <row r="616" customFormat="false" ht="15" hidden="false" customHeight="false" outlineLevel="0" collapsed="false">
      <c r="A616" s="0" t="n">
        <v>595</v>
      </c>
      <c r="B616" s="0" t="s">
        <v>85</v>
      </c>
      <c r="C616" s="17" t="n">
        <v>-0.0764857014084693</v>
      </c>
      <c r="D616" s="17" t="n">
        <f aca="false">(C616-$B$4)/($B$6/SQRT($B$7))</f>
        <v>-0.382428507042346</v>
      </c>
      <c r="E616" s="0" t="str">
        <f aca="false">IF(OR(AND($B$9="superior",D616&gt;$B$10),AND($B$9="inferior",D616&lt;-$B$10)),"Rechazar H0","No rechazar H0")</f>
        <v>No rechazar H0</v>
      </c>
      <c r="F616" s="0" t="str">
        <f aca="false">IF(AND(B616="H0 verdadera",E616="Rechazar H0"),"Error tipo I",IF(AND(B616="Ha verdadera",E616="No rechazar H0"),"Error tipo II","Decisión correcta"))</f>
        <v>Decisión correcta</v>
      </c>
    </row>
    <row r="617" customFormat="false" ht="15" hidden="false" customHeight="false" outlineLevel="0" collapsed="false">
      <c r="A617" s="0" t="n">
        <v>596</v>
      </c>
      <c r="B617" s="0" t="s">
        <v>85</v>
      </c>
      <c r="C617" s="17" t="n">
        <v>-0.196530016364585</v>
      </c>
      <c r="D617" s="17" t="n">
        <f aca="false">(C617-$B$4)/($B$6/SQRT($B$7))</f>
        <v>-0.982650081822927</v>
      </c>
      <c r="E617" s="0" t="str">
        <f aca="false">IF(OR(AND($B$9="superior",D617&gt;$B$10),AND($B$9="inferior",D617&lt;-$B$10)),"Rechazar H0","No rechazar H0")</f>
        <v>No rechazar H0</v>
      </c>
      <c r="F617" s="0" t="str">
        <f aca="false">IF(AND(B617="H0 verdadera",E617="Rechazar H0"),"Error tipo I",IF(AND(B617="Ha verdadera",E617="No rechazar H0"),"Error tipo II","Decisión correcta"))</f>
        <v>Decisión correcta</v>
      </c>
    </row>
    <row r="618" customFormat="false" ht="15" hidden="false" customHeight="false" outlineLevel="0" collapsed="false">
      <c r="A618" s="0" t="n">
        <v>597</v>
      </c>
      <c r="B618" s="0" t="s">
        <v>86</v>
      </c>
      <c r="C618" s="17" t="n">
        <v>-0.190281825961411</v>
      </c>
      <c r="D618" s="17" t="n">
        <f aca="false">(C618-$B$4)/($B$6/SQRT($B$7))</f>
        <v>-0.951409129807053</v>
      </c>
      <c r="E618" s="0" t="str">
        <f aca="false">IF(OR(AND($B$9="superior",D618&gt;$B$10),AND($B$9="inferior",D618&lt;-$B$10)),"Rechazar H0","No rechazar H0")</f>
        <v>No rechazar H0</v>
      </c>
      <c r="F618" s="0" t="str">
        <f aca="false">IF(AND(B618="H0 verdadera",E618="Rechazar H0"),"Error tipo I",IF(AND(B618="Ha verdadera",E618="No rechazar H0"),"Error tipo II","Decisión correcta"))</f>
        <v>Error tipo II</v>
      </c>
    </row>
    <row r="619" customFormat="false" ht="15" hidden="false" customHeight="false" outlineLevel="0" collapsed="false">
      <c r="A619" s="0" t="n">
        <v>598</v>
      </c>
      <c r="B619" s="0" t="s">
        <v>85</v>
      </c>
      <c r="C619" s="17" t="n">
        <v>0.16732596328296</v>
      </c>
      <c r="D619" s="17" t="n">
        <f aca="false">(C619-$B$4)/($B$6/SQRT($B$7))</f>
        <v>0.836629816414798</v>
      </c>
      <c r="E619" s="0" t="str">
        <f aca="false">IF(OR(AND($B$9="superior",D619&gt;$B$10),AND($B$9="inferior",D619&lt;-$B$10)),"Rechazar H0","No rechazar H0")</f>
        <v>No rechazar H0</v>
      </c>
      <c r="F619" s="0" t="str">
        <f aca="false">IF(AND(B619="H0 verdadera",E619="Rechazar H0"),"Error tipo I",IF(AND(B619="Ha verdadera",E619="No rechazar H0"),"Error tipo II","Decisión correcta"))</f>
        <v>Decisión correcta</v>
      </c>
    </row>
    <row r="620" customFormat="false" ht="15" hidden="false" customHeight="false" outlineLevel="0" collapsed="false">
      <c r="A620" s="0" t="n">
        <v>599</v>
      </c>
      <c r="B620" s="0" t="s">
        <v>86</v>
      </c>
      <c r="C620" s="17" t="n">
        <v>-0.441251308756521</v>
      </c>
      <c r="D620" s="17" t="n">
        <f aca="false">(C620-$B$4)/($B$6/SQRT($B$7))</f>
        <v>-2.2062565437826</v>
      </c>
      <c r="E620" s="0" t="str">
        <f aca="false">IF(OR(AND($B$9="superior",D620&gt;$B$10),AND($B$9="inferior",D620&lt;-$B$10)),"Rechazar H0","No rechazar H0")</f>
        <v>Rechazar H0</v>
      </c>
      <c r="F620" s="0" t="str">
        <f aca="false">IF(AND(B620="H0 verdadera",E620="Rechazar H0"),"Error tipo I",IF(AND(B620="Ha verdadera",E620="No rechazar H0"),"Error tipo II","Decisión correcta"))</f>
        <v>Decisión correcta</v>
      </c>
    </row>
    <row r="621" customFormat="false" ht="15" hidden="false" customHeight="false" outlineLevel="0" collapsed="false">
      <c r="A621" s="0" t="n">
        <v>600</v>
      </c>
      <c r="B621" s="0" t="s">
        <v>85</v>
      </c>
      <c r="C621" s="17" t="n">
        <v>-0.0642812281898571</v>
      </c>
      <c r="D621" s="17" t="n">
        <f aca="false">(C621-$B$4)/($B$6/SQRT($B$7))</f>
        <v>-0.321406140949285</v>
      </c>
      <c r="E621" s="0" t="str">
        <f aca="false">IF(OR(AND($B$9="superior",D621&gt;$B$10),AND($B$9="inferior",D621&lt;-$B$10)),"Rechazar H0","No rechazar H0")</f>
        <v>No rechazar H0</v>
      </c>
      <c r="F621" s="0" t="str">
        <f aca="false">IF(AND(B621="H0 verdadera",E621="Rechazar H0"),"Error tipo I",IF(AND(B621="Ha verdadera",E621="No rechazar H0"),"Error tipo II","Decisión correcta"))</f>
        <v>Decisión correcta</v>
      </c>
    </row>
    <row r="622" customFormat="false" ht="15" hidden="false" customHeight="false" outlineLevel="0" collapsed="false">
      <c r="A622" s="0" t="n">
        <v>601</v>
      </c>
      <c r="B622" s="0" t="s">
        <v>86</v>
      </c>
      <c r="C622" s="17" t="n">
        <v>-0.632301311722201</v>
      </c>
      <c r="D622" s="17" t="n">
        <f aca="false">(C622-$B$4)/($B$6/SQRT($B$7))</f>
        <v>-3.16150655861101</v>
      </c>
      <c r="E622" s="0" t="str">
        <f aca="false">IF(OR(AND($B$9="superior",D622&gt;$B$10),AND($B$9="inferior",D622&lt;-$B$10)),"Rechazar H0","No rechazar H0")</f>
        <v>Rechazar H0</v>
      </c>
      <c r="F622" s="0" t="str">
        <f aca="false">IF(AND(B622="H0 verdadera",E622="Rechazar H0"),"Error tipo I",IF(AND(B622="Ha verdadera",E622="No rechazar H0"),"Error tipo II","Decisión correcta"))</f>
        <v>Decisión correcta</v>
      </c>
    </row>
    <row r="623" customFormat="false" ht="15" hidden="false" customHeight="false" outlineLevel="0" collapsed="false">
      <c r="A623" s="0" t="n">
        <v>602</v>
      </c>
      <c r="B623" s="0" t="s">
        <v>86</v>
      </c>
      <c r="C623" s="17" t="n">
        <v>-0.468557898311293</v>
      </c>
      <c r="D623" s="17" t="n">
        <f aca="false">(C623-$B$4)/($B$6/SQRT($B$7))</f>
        <v>-2.34278949155646</v>
      </c>
      <c r="E623" s="0" t="str">
        <f aca="false">IF(OR(AND($B$9="superior",D623&gt;$B$10),AND($B$9="inferior",D623&lt;-$B$10)),"Rechazar H0","No rechazar H0")</f>
        <v>Rechazar H0</v>
      </c>
      <c r="F623" s="0" t="str">
        <f aca="false">IF(AND(B623="H0 verdadera",E623="Rechazar H0"),"Error tipo I",IF(AND(B623="Ha verdadera",E623="No rechazar H0"),"Error tipo II","Decisión correcta"))</f>
        <v>Decisión correcta</v>
      </c>
    </row>
    <row r="624" customFormat="false" ht="15" hidden="false" customHeight="false" outlineLevel="0" collapsed="false">
      <c r="A624" s="0" t="n">
        <v>603</v>
      </c>
      <c r="B624" s="0" t="s">
        <v>86</v>
      </c>
      <c r="C624" s="17" t="n">
        <v>-0.266647995464597</v>
      </c>
      <c r="D624" s="17" t="n">
        <f aca="false">(C624-$B$4)/($B$6/SQRT($B$7))</f>
        <v>-1.33323997732299</v>
      </c>
      <c r="E624" s="0" t="str">
        <f aca="false">IF(OR(AND($B$9="superior",D624&gt;$B$10),AND($B$9="inferior",D624&lt;-$B$10)),"Rechazar H0","No rechazar H0")</f>
        <v>No rechazar H0</v>
      </c>
      <c r="F624" s="0" t="str">
        <f aca="false">IF(AND(B624="H0 verdadera",E624="Rechazar H0"),"Error tipo I",IF(AND(B624="Ha verdadera",E624="No rechazar H0"),"Error tipo II","Decisión correcta"))</f>
        <v>Error tipo II</v>
      </c>
    </row>
    <row r="625" customFormat="false" ht="15" hidden="false" customHeight="false" outlineLevel="0" collapsed="false">
      <c r="A625" s="0" t="n">
        <v>604</v>
      </c>
      <c r="B625" s="0" t="s">
        <v>85</v>
      </c>
      <c r="C625" s="17" t="n">
        <v>0.131098417785787</v>
      </c>
      <c r="D625" s="17" t="n">
        <f aca="false">(C625-$B$4)/($B$6/SQRT($B$7))</f>
        <v>0.655492088928937</v>
      </c>
      <c r="E625" s="0" t="str">
        <f aca="false">IF(OR(AND($B$9="superior",D625&gt;$B$10),AND($B$9="inferior",D625&lt;-$B$10)),"Rechazar H0","No rechazar H0")</f>
        <v>No rechazar H0</v>
      </c>
      <c r="F625" s="0" t="str">
        <f aca="false">IF(AND(B625="H0 verdadera",E625="Rechazar H0"),"Error tipo I",IF(AND(B625="Ha verdadera",E625="No rechazar H0"),"Error tipo II","Decisión correcta"))</f>
        <v>Decisión correcta</v>
      </c>
    </row>
    <row r="626" customFormat="false" ht="15" hidden="false" customHeight="false" outlineLevel="0" collapsed="false">
      <c r="A626" s="0" t="n">
        <v>605</v>
      </c>
      <c r="B626" s="0" t="s">
        <v>86</v>
      </c>
      <c r="C626" s="17" t="n">
        <v>-0.350457752001937</v>
      </c>
      <c r="D626" s="17" t="n">
        <f aca="false">(C626-$B$4)/($B$6/SQRT($B$7))</f>
        <v>-1.75228876000969</v>
      </c>
      <c r="E626" s="0" t="str">
        <f aca="false">IF(OR(AND($B$9="superior",D626&gt;$B$10),AND($B$9="inferior",D626&lt;-$B$10)),"Rechazar H0","No rechazar H0")</f>
        <v>Rechazar H0</v>
      </c>
      <c r="F626" s="0" t="str">
        <f aca="false">IF(AND(B626="H0 verdadera",E626="Rechazar H0"),"Error tipo I",IF(AND(B626="Ha verdadera",E626="No rechazar H0"),"Error tipo II","Decisión correcta"))</f>
        <v>Decisión correcta</v>
      </c>
    </row>
    <row r="627" customFormat="false" ht="15" hidden="false" customHeight="false" outlineLevel="0" collapsed="false">
      <c r="A627" s="0" t="n">
        <v>606</v>
      </c>
      <c r="B627" s="0" t="s">
        <v>86</v>
      </c>
      <c r="C627" s="17" t="n">
        <v>-0.574116107063817</v>
      </c>
      <c r="D627" s="17" t="n">
        <f aca="false">(C627-$B$4)/($B$6/SQRT($B$7))</f>
        <v>-2.87058053531909</v>
      </c>
      <c r="E627" s="0" t="str">
        <f aca="false">IF(OR(AND($B$9="superior",D627&gt;$B$10),AND($B$9="inferior",D627&lt;-$B$10)),"Rechazar H0","No rechazar H0")</f>
        <v>Rechazar H0</v>
      </c>
      <c r="F627" s="0" t="str">
        <f aca="false">IF(AND(B627="H0 verdadera",E627="Rechazar H0"),"Error tipo I",IF(AND(B627="Ha verdadera",E627="No rechazar H0"),"Error tipo II","Decisión correcta"))</f>
        <v>Decisión correcta</v>
      </c>
    </row>
    <row r="628" customFormat="false" ht="15" hidden="false" customHeight="false" outlineLevel="0" collapsed="false">
      <c r="A628" s="0" t="n">
        <v>607</v>
      </c>
      <c r="B628" s="0" t="s">
        <v>86</v>
      </c>
      <c r="C628" s="17" t="n">
        <v>-0.358018316262402</v>
      </c>
      <c r="D628" s="17" t="n">
        <f aca="false">(C628-$B$4)/($B$6/SQRT($B$7))</f>
        <v>-1.79009158131201</v>
      </c>
      <c r="E628" s="0" t="str">
        <f aca="false">IF(OR(AND($B$9="superior",D628&gt;$B$10),AND($B$9="inferior",D628&lt;-$B$10)),"Rechazar H0","No rechazar H0")</f>
        <v>Rechazar H0</v>
      </c>
      <c r="F628" s="0" t="str">
        <f aca="false">IF(AND(B628="H0 verdadera",E628="Rechazar H0"),"Error tipo I",IF(AND(B628="Ha verdadera",E628="No rechazar H0"),"Error tipo II","Decisión correcta"))</f>
        <v>Decisión correcta</v>
      </c>
    </row>
    <row r="629" customFormat="false" ht="15" hidden="false" customHeight="false" outlineLevel="0" collapsed="false">
      <c r="A629" s="0" t="n">
        <v>608</v>
      </c>
      <c r="B629" s="0" t="s">
        <v>85</v>
      </c>
      <c r="C629" s="17" t="n">
        <v>0.0345822086174811</v>
      </c>
      <c r="D629" s="17" t="n">
        <f aca="false">(C629-$B$4)/($B$6/SQRT($B$7))</f>
        <v>0.172911043087406</v>
      </c>
      <c r="E629" s="0" t="str">
        <f aca="false">IF(OR(AND($B$9="superior",D629&gt;$B$10),AND($B$9="inferior",D629&lt;-$B$10)),"Rechazar H0","No rechazar H0")</f>
        <v>No rechazar H0</v>
      </c>
      <c r="F629" s="0" t="str">
        <f aca="false">IF(AND(B629="H0 verdadera",E629="Rechazar H0"),"Error tipo I",IF(AND(B629="Ha verdadera",E629="No rechazar H0"),"Error tipo II","Decisión correcta"))</f>
        <v>Decisión correcta</v>
      </c>
    </row>
    <row r="630" customFormat="false" ht="15" hidden="false" customHeight="false" outlineLevel="0" collapsed="false">
      <c r="A630" s="0" t="n">
        <v>609</v>
      </c>
      <c r="B630" s="0" t="s">
        <v>86</v>
      </c>
      <c r="C630" s="17" t="n">
        <v>-0.876402547086634</v>
      </c>
      <c r="D630" s="17" t="n">
        <f aca="false">(C630-$B$4)/($B$6/SQRT($B$7))</f>
        <v>-4.38201273543317</v>
      </c>
      <c r="E630" s="0" t="str">
        <f aca="false">IF(OR(AND($B$9="superior",D630&gt;$B$10),AND($B$9="inferior",D630&lt;-$B$10)),"Rechazar H0","No rechazar H0")</f>
        <v>Rechazar H0</v>
      </c>
      <c r="F630" s="0" t="str">
        <f aca="false">IF(AND(B630="H0 verdadera",E630="Rechazar H0"),"Error tipo I",IF(AND(B630="Ha verdadera",E630="No rechazar H0"),"Error tipo II","Decisión correcta"))</f>
        <v>Decisión correcta</v>
      </c>
    </row>
    <row r="631" customFormat="false" ht="15" hidden="false" customHeight="false" outlineLevel="0" collapsed="false">
      <c r="A631" s="0" t="n">
        <v>610</v>
      </c>
      <c r="B631" s="0" t="s">
        <v>86</v>
      </c>
      <c r="C631" s="17" t="n">
        <v>-0.264095863239363</v>
      </c>
      <c r="D631" s="17" t="n">
        <f aca="false">(C631-$B$4)/($B$6/SQRT($B$7))</f>
        <v>-1.32047931619681</v>
      </c>
      <c r="E631" s="0" t="str">
        <f aca="false">IF(OR(AND($B$9="superior",D631&gt;$B$10),AND($B$9="inferior",D631&lt;-$B$10)),"Rechazar H0","No rechazar H0")</f>
        <v>No rechazar H0</v>
      </c>
      <c r="F631" s="0" t="str">
        <f aca="false">IF(AND(B631="H0 verdadera",E631="Rechazar H0"),"Error tipo I",IF(AND(B631="Ha verdadera",E631="No rechazar H0"),"Error tipo II","Decisión correcta"))</f>
        <v>Error tipo II</v>
      </c>
    </row>
    <row r="632" customFormat="false" ht="15" hidden="false" customHeight="false" outlineLevel="0" collapsed="false">
      <c r="A632" s="0" t="n">
        <v>611</v>
      </c>
      <c r="B632" s="0" t="s">
        <v>86</v>
      </c>
      <c r="C632" s="17" t="n">
        <v>-0.0465801715692646</v>
      </c>
      <c r="D632" s="17" t="n">
        <f aca="false">(C632-$B$4)/($B$6/SQRT($B$7))</f>
        <v>-0.232900857846323</v>
      </c>
      <c r="E632" s="0" t="str">
        <f aca="false">IF(OR(AND($B$9="superior",D632&gt;$B$10),AND($B$9="inferior",D632&lt;-$B$10)),"Rechazar H0","No rechazar H0")</f>
        <v>No rechazar H0</v>
      </c>
      <c r="F632" s="0" t="str">
        <f aca="false">IF(AND(B632="H0 verdadera",E632="Rechazar H0"),"Error tipo I",IF(AND(B632="Ha verdadera",E632="No rechazar H0"),"Error tipo II","Decisión correcta"))</f>
        <v>Error tipo II</v>
      </c>
    </row>
    <row r="633" customFormat="false" ht="15" hidden="false" customHeight="false" outlineLevel="0" collapsed="false">
      <c r="A633" s="0" t="n">
        <v>612</v>
      </c>
      <c r="B633" s="0" t="s">
        <v>85</v>
      </c>
      <c r="C633" s="17" t="n">
        <v>-0.0189497922078422</v>
      </c>
      <c r="D633" s="17" t="n">
        <f aca="false">(C633-$B$4)/($B$6/SQRT($B$7))</f>
        <v>-0.094748961039211</v>
      </c>
      <c r="E633" s="0" t="str">
        <f aca="false">IF(OR(AND($B$9="superior",D633&gt;$B$10),AND($B$9="inferior",D633&lt;-$B$10)),"Rechazar H0","No rechazar H0")</f>
        <v>No rechazar H0</v>
      </c>
      <c r="F633" s="0" t="str">
        <f aca="false">IF(AND(B633="H0 verdadera",E633="Rechazar H0"),"Error tipo I",IF(AND(B633="Ha verdadera",E633="No rechazar H0"),"Error tipo II","Decisión correcta"))</f>
        <v>Decisión correcta</v>
      </c>
    </row>
    <row r="634" customFormat="false" ht="15" hidden="false" customHeight="false" outlineLevel="0" collapsed="false">
      <c r="A634" s="0" t="n">
        <v>613</v>
      </c>
      <c r="B634" s="0" t="s">
        <v>86</v>
      </c>
      <c r="C634" s="17" t="n">
        <v>-0.195818169778944</v>
      </c>
      <c r="D634" s="17" t="n">
        <f aca="false">(C634-$B$4)/($B$6/SQRT($B$7))</f>
        <v>-0.979090848894718</v>
      </c>
      <c r="E634" s="0" t="str">
        <f aca="false">IF(OR(AND($B$9="superior",D634&gt;$B$10),AND($B$9="inferior",D634&lt;-$B$10)),"Rechazar H0","No rechazar H0")</f>
        <v>No rechazar H0</v>
      </c>
      <c r="F634" s="0" t="str">
        <f aca="false">IF(AND(B634="H0 verdadera",E634="Rechazar H0"),"Error tipo I",IF(AND(B634="Ha verdadera",E634="No rechazar H0"),"Error tipo II","Decisión correcta"))</f>
        <v>Error tipo II</v>
      </c>
    </row>
    <row r="635" customFormat="false" ht="15" hidden="false" customHeight="false" outlineLevel="0" collapsed="false">
      <c r="A635" s="0" t="n">
        <v>614</v>
      </c>
      <c r="B635" s="0" t="s">
        <v>86</v>
      </c>
      <c r="C635" s="17" t="n">
        <v>-0.348353863389187</v>
      </c>
      <c r="D635" s="17" t="n">
        <f aca="false">(C635-$B$4)/($B$6/SQRT($B$7))</f>
        <v>-1.74176931694593</v>
      </c>
      <c r="E635" s="0" t="str">
        <f aca="false">IF(OR(AND($B$9="superior",D635&gt;$B$10),AND($B$9="inferior",D635&lt;-$B$10)),"Rechazar H0","No rechazar H0")</f>
        <v>Rechazar H0</v>
      </c>
      <c r="F635" s="0" t="str">
        <f aca="false">IF(AND(B635="H0 verdadera",E635="Rechazar H0"),"Error tipo I",IF(AND(B635="Ha verdadera",E635="No rechazar H0"),"Error tipo II","Decisión correcta"))</f>
        <v>Decisión correcta</v>
      </c>
    </row>
    <row r="636" customFormat="false" ht="15" hidden="false" customHeight="false" outlineLevel="0" collapsed="false">
      <c r="A636" s="0" t="n">
        <v>615</v>
      </c>
      <c r="B636" s="0" t="s">
        <v>86</v>
      </c>
      <c r="C636" s="17" t="n">
        <v>-0.332747442080463</v>
      </c>
      <c r="D636" s="17" t="n">
        <f aca="false">(C636-$B$4)/($B$6/SQRT($B$7))</f>
        <v>-1.66373721040232</v>
      </c>
      <c r="E636" s="0" t="str">
        <f aca="false">IF(OR(AND($B$9="superior",D636&gt;$B$10),AND($B$9="inferior",D636&lt;-$B$10)),"Rechazar H0","No rechazar H0")</f>
        <v>Rechazar H0</v>
      </c>
      <c r="F636" s="0" t="str">
        <f aca="false">IF(AND(B636="H0 verdadera",E636="Rechazar H0"),"Error tipo I",IF(AND(B636="Ha verdadera",E636="No rechazar H0"),"Error tipo II","Decisión correcta"))</f>
        <v>Decisión correcta</v>
      </c>
    </row>
    <row r="637" customFormat="false" ht="15" hidden="false" customHeight="false" outlineLevel="0" collapsed="false">
      <c r="A637" s="0" t="n">
        <v>616</v>
      </c>
      <c r="B637" s="0" t="s">
        <v>86</v>
      </c>
      <c r="C637" s="17" t="n">
        <v>-0.413429926752164</v>
      </c>
      <c r="D637" s="17" t="n">
        <f aca="false">(C637-$B$4)/($B$6/SQRT($B$7))</f>
        <v>-2.06714963376082</v>
      </c>
      <c r="E637" s="0" t="str">
        <f aca="false">IF(OR(AND($B$9="superior",D637&gt;$B$10),AND($B$9="inferior",D637&lt;-$B$10)),"Rechazar H0","No rechazar H0")</f>
        <v>Rechazar H0</v>
      </c>
      <c r="F637" s="0" t="str">
        <f aca="false">IF(AND(B637="H0 verdadera",E637="Rechazar H0"),"Error tipo I",IF(AND(B637="Ha verdadera",E637="No rechazar H0"),"Error tipo II","Decisión correcta"))</f>
        <v>Decisión correcta</v>
      </c>
    </row>
    <row r="638" customFormat="false" ht="15" hidden="false" customHeight="false" outlineLevel="0" collapsed="false">
      <c r="A638" s="0" t="n">
        <v>617</v>
      </c>
      <c r="B638" s="0" t="s">
        <v>85</v>
      </c>
      <c r="C638" s="17" t="n">
        <v>0.107432736416779</v>
      </c>
      <c r="D638" s="17" t="n">
        <f aca="false">(C638-$B$4)/($B$6/SQRT($B$7))</f>
        <v>0.537163682083892</v>
      </c>
      <c r="E638" s="0" t="str">
        <f aca="false">IF(OR(AND($B$9="superior",D638&gt;$B$10),AND($B$9="inferior",D638&lt;-$B$10)),"Rechazar H0","No rechazar H0")</f>
        <v>No rechazar H0</v>
      </c>
      <c r="F638" s="0" t="str">
        <f aca="false">IF(AND(B638="H0 verdadera",E638="Rechazar H0"),"Error tipo I",IF(AND(B638="Ha verdadera",E638="No rechazar H0"),"Error tipo II","Decisión correcta"))</f>
        <v>Decisión correcta</v>
      </c>
    </row>
    <row r="639" customFormat="false" ht="15" hidden="false" customHeight="false" outlineLevel="0" collapsed="false">
      <c r="A639" s="0" t="n">
        <v>618</v>
      </c>
      <c r="B639" s="0" t="s">
        <v>86</v>
      </c>
      <c r="C639" s="17" t="n">
        <v>-0.380569043056431</v>
      </c>
      <c r="D639" s="17" t="n">
        <f aca="false">(C639-$B$4)/($B$6/SQRT($B$7))</f>
        <v>-1.90284521528215</v>
      </c>
      <c r="E639" s="0" t="str">
        <f aca="false">IF(OR(AND($B$9="superior",D639&gt;$B$10),AND($B$9="inferior",D639&lt;-$B$10)),"Rechazar H0","No rechazar H0")</f>
        <v>Rechazar H0</v>
      </c>
      <c r="F639" s="0" t="str">
        <f aca="false">IF(AND(B639="H0 verdadera",E639="Rechazar H0"),"Error tipo I",IF(AND(B639="Ha verdadera",E639="No rechazar H0"),"Error tipo II","Decisión correcta"))</f>
        <v>Decisión correcta</v>
      </c>
    </row>
    <row r="640" customFormat="false" ht="15" hidden="false" customHeight="false" outlineLevel="0" collapsed="false">
      <c r="A640" s="0" t="n">
        <v>619</v>
      </c>
      <c r="B640" s="0" t="s">
        <v>85</v>
      </c>
      <c r="C640" s="17" t="n">
        <v>-0.241593392872429</v>
      </c>
      <c r="D640" s="17" t="n">
        <f aca="false">(C640-$B$4)/($B$6/SQRT($B$7))</f>
        <v>-1.20796696436215</v>
      </c>
      <c r="E640" s="0" t="str">
        <f aca="false">IF(OR(AND($B$9="superior",D640&gt;$B$10),AND($B$9="inferior",D640&lt;-$B$10)),"Rechazar H0","No rechazar H0")</f>
        <v>No rechazar H0</v>
      </c>
      <c r="F640" s="0" t="str">
        <f aca="false">IF(AND(B640="H0 verdadera",E640="Rechazar H0"),"Error tipo I",IF(AND(B640="Ha verdadera",E640="No rechazar H0"),"Error tipo II","Decisión correcta"))</f>
        <v>Decisión correcta</v>
      </c>
    </row>
    <row r="641" customFormat="false" ht="15" hidden="false" customHeight="false" outlineLevel="0" collapsed="false">
      <c r="A641" s="0" t="n">
        <v>620</v>
      </c>
      <c r="B641" s="0" t="s">
        <v>85</v>
      </c>
      <c r="C641" s="17" t="n">
        <v>-0.234191939896855</v>
      </c>
      <c r="D641" s="17" t="n">
        <f aca="false">(C641-$B$4)/($B$6/SQRT($B$7))</f>
        <v>-1.17095969948427</v>
      </c>
      <c r="E641" s="0" t="str">
        <f aca="false">IF(OR(AND($B$9="superior",D641&gt;$B$10),AND($B$9="inferior",D641&lt;-$B$10)),"Rechazar H0","No rechazar H0")</f>
        <v>No rechazar H0</v>
      </c>
      <c r="F641" s="0" t="str">
        <f aca="false">IF(AND(B641="H0 verdadera",E641="Rechazar H0"),"Error tipo I",IF(AND(B641="Ha verdadera",E641="No rechazar H0"),"Error tipo II","Decisión correcta"))</f>
        <v>Decisión correcta</v>
      </c>
    </row>
    <row r="642" customFormat="false" ht="15" hidden="false" customHeight="false" outlineLevel="0" collapsed="false">
      <c r="A642" s="0" t="n">
        <v>621</v>
      </c>
      <c r="B642" s="0" t="s">
        <v>86</v>
      </c>
      <c r="C642" s="17" t="n">
        <v>-0.106821495667027</v>
      </c>
      <c r="D642" s="17" t="n">
        <f aca="false">(C642-$B$4)/($B$6/SQRT($B$7))</f>
        <v>-0.534107478335137</v>
      </c>
      <c r="E642" s="0" t="str">
        <f aca="false">IF(OR(AND($B$9="superior",D642&gt;$B$10),AND($B$9="inferior",D642&lt;-$B$10)),"Rechazar H0","No rechazar H0")</f>
        <v>No rechazar H0</v>
      </c>
      <c r="F642" s="0" t="str">
        <f aca="false">IF(AND(B642="H0 verdadera",E642="Rechazar H0"),"Error tipo I",IF(AND(B642="Ha verdadera",E642="No rechazar H0"),"Error tipo II","Decisión correcta"))</f>
        <v>Error tipo II</v>
      </c>
    </row>
    <row r="643" customFormat="false" ht="15" hidden="false" customHeight="false" outlineLevel="0" collapsed="false">
      <c r="A643" s="0" t="n">
        <v>622</v>
      </c>
      <c r="B643" s="0" t="s">
        <v>86</v>
      </c>
      <c r="C643" s="17" t="n">
        <v>-0.327247109851652</v>
      </c>
      <c r="D643" s="17" t="n">
        <f aca="false">(C643-$B$4)/($B$6/SQRT($B$7))</f>
        <v>-1.63623554925826</v>
      </c>
      <c r="E643" s="0" t="str">
        <f aca="false">IF(OR(AND($B$9="superior",D643&gt;$B$10),AND($B$9="inferior",D643&lt;-$B$10)),"Rechazar H0","No rechazar H0")</f>
        <v>No rechazar H0</v>
      </c>
      <c r="F643" s="0" t="str">
        <f aca="false">IF(AND(B643="H0 verdadera",E643="Rechazar H0"),"Error tipo I",IF(AND(B643="Ha verdadera",E643="No rechazar H0"),"Error tipo II","Decisión correcta"))</f>
        <v>Error tipo II</v>
      </c>
    </row>
    <row r="644" customFormat="false" ht="15" hidden="false" customHeight="false" outlineLevel="0" collapsed="false">
      <c r="A644" s="0" t="n">
        <v>623</v>
      </c>
      <c r="B644" s="0" t="s">
        <v>86</v>
      </c>
      <c r="C644" s="17" t="n">
        <v>-0.437374517374842</v>
      </c>
      <c r="D644" s="17" t="n">
        <f aca="false">(C644-$B$4)/($B$6/SQRT($B$7))</f>
        <v>-2.18687258687421</v>
      </c>
      <c r="E644" s="0" t="str">
        <f aca="false">IF(OR(AND($B$9="superior",D644&gt;$B$10),AND($B$9="inferior",D644&lt;-$B$10)),"Rechazar H0","No rechazar H0")</f>
        <v>Rechazar H0</v>
      </c>
      <c r="F644" s="0" t="str">
        <f aca="false">IF(AND(B644="H0 verdadera",E644="Rechazar H0"),"Error tipo I",IF(AND(B644="Ha verdadera",E644="No rechazar H0"),"Error tipo II","Decisión correcta"))</f>
        <v>Decisión correcta</v>
      </c>
    </row>
    <row r="645" customFormat="false" ht="15" hidden="false" customHeight="false" outlineLevel="0" collapsed="false">
      <c r="A645" s="0" t="n">
        <v>624</v>
      </c>
      <c r="B645" s="0" t="s">
        <v>85</v>
      </c>
      <c r="C645" s="17" t="n">
        <v>-0.292261214114631</v>
      </c>
      <c r="D645" s="17" t="n">
        <f aca="false">(C645-$B$4)/($B$6/SQRT($B$7))</f>
        <v>-1.46130607057315</v>
      </c>
      <c r="E645" s="0" t="str">
        <f aca="false">IF(OR(AND($B$9="superior",D645&gt;$B$10),AND($B$9="inferior",D645&lt;-$B$10)),"Rechazar H0","No rechazar H0")</f>
        <v>No rechazar H0</v>
      </c>
      <c r="F645" s="0" t="str">
        <f aca="false">IF(AND(B645="H0 verdadera",E645="Rechazar H0"),"Error tipo I",IF(AND(B645="Ha verdadera",E645="No rechazar H0"),"Error tipo II","Decisión correcta"))</f>
        <v>Decisión correcta</v>
      </c>
    </row>
    <row r="646" customFormat="false" ht="15" hidden="false" customHeight="false" outlineLevel="0" collapsed="false">
      <c r="A646" s="0" t="n">
        <v>625</v>
      </c>
      <c r="B646" s="0" t="s">
        <v>86</v>
      </c>
      <c r="C646" s="17" t="n">
        <v>-0.589394642497433</v>
      </c>
      <c r="D646" s="17" t="n">
        <f aca="false">(C646-$B$4)/($B$6/SQRT($B$7))</f>
        <v>-2.94697321248716</v>
      </c>
      <c r="E646" s="0" t="str">
        <f aca="false">IF(OR(AND($B$9="superior",D646&gt;$B$10),AND($B$9="inferior",D646&lt;-$B$10)),"Rechazar H0","No rechazar H0")</f>
        <v>Rechazar H0</v>
      </c>
      <c r="F646" s="0" t="str">
        <f aca="false">IF(AND(B646="H0 verdadera",E646="Rechazar H0"),"Error tipo I",IF(AND(B646="Ha verdadera",E646="No rechazar H0"),"Error tipo II","Decisión correcta"))</f>
        <v>Decisión correcta</v>
      </c>
    </row>
    <row r="647" customFormat="false" ht="15" hidden="false" customHeight="false" outlineLevel="0" collapsed="false">
      <c r="A647" s="0" t="n">
        <v>626</v>
      </c>
      <c r="B647" s="0" t="s">
        <v>86</v>
      </c>
      <c r="C647" s="17" t="n">
        <v>-0.381215768106798</v>
      </c>
      <c r="D647" s="17" t="n">
        <f aca="false">(C647-$B$4)/($B$6/SQRT($B$7))</f>
        <v>-1.90607884053399</v>
      </c>
      <c r="E647" s="0" t="str">
        <f aca="false">IF(OR(AND($B$9="superior",D647&gt;$B$10),AND($B$9="inferior",D647&lt;-$B$10)),"Rechazar H0","No rechazar H0")</f>
        <v>Rechazar H0</v>
      </c>
      <c r="F647" s="0" t="str">
        <f aca="false">IF(AND(B647="H0 verdadera",E647="Rechazar H0"),"Error tipo I",IF(AND(B647="Ha verdadera",E647="No rechazar H0"),"Error tipo II","Decisión correcta"))</f>
        <v>Decisión correcta</v>
      </c>
    </row>
    <row r="648" customFormat="false" ht="15" hidden="false" customHeight="false" outlineLevel="0" collapsed="false">
      <c r="A648" s="0" t="n">
        <v>627</v>
      </c>
      <c r="B648" s="0" t="s">
        <v>85</v>
      </c>
      <c r="C648" s="17" t="n">
        <v>-0.225407746311042</v>
      </c>
      <c r="D648" s="17" t="n">
        <f aca="false">(C648-$B$4)/($B$6/SQRT($B$7))</f>
        <v>-1.12703873155521</v>
      </c>
      <c r="E648" s="0" t="str">
        <f aca="false">IF(OR(AND($B$9="superior",D648&gt;$B$10),AND($B$9="inferior",D648&lt;-$B$10)),"Rechazar H0","No rechazar H0")</f>
        <v>No rechazar H0</v>
      </c>
      <c r="F648" s="0" t="str">
        <f aca="false">IF(AND(B648="H0 verdadera",E648="Rechazar H0"),"Error tipo I",IF(AND(B648="Ha verdadera",E648="No rechazar H0"),"Error tipo II","Decisión correcta"))</f>
        <v>Decisión correcta</v>
      </c>
    </row>
    <row r="649" customFormat="false" ht="15" hidden="false" customHeight="false" outlineLevel="0" collapsed="false">
      <c r="A649" s="0" t="n">
        <v>628</v>
      </c>
      <c r="B649" s="0" t="s">
        <v>86</v>
      </c>
      <c r="C649" s="17" t="n">
        <v>-0.0641272222059081</v>
      </c>
      <c r="D649" s="17" t="n">
        <f aca="false">(C649-$B$4)/($B$6/SQRT($B$7))</f>
        <v>-0.320636111029541</v>
      </c>
      <c r="E649" s="0" t="str">
        <f aca="false">IF(OR(AND($B$9="superior",D649&gt;$B$10),AND($B$9="inferior",D649&lt;-$B$10)),"Rechazar H0","No rechazar H0")</f>
        <v>No rechazar H0</v>
      </c>
      <c r="F649" s="0" t="str">
        <f aca="false">IF(AND(B649="H0 verdadera",E649="Rechazar H0"),"Error tipo I",IF(AND(B649="Ha verdadera",E649="No rechazar H0"),"Error tipo II","Decisión correcta"))</f>
        <v>Error tipo II</v>
      </c>
    </row>
    <row r="650" customFormat="false" ht="15" hidden="false" customHeight="false" outlineLevel="0" collapsed="false">
      <c r="A650" s="0" t="n">
        <v>629</v>
      </c>
      <c r="B650" s="0" t="s">
        <v>86</v>
      </c>
      <c r="C650" s="17" t="n">
        <v>-0.466710262111143</v>
      </c>
      <c r="D650" s="17" t="n">
        <f aca="false">(C650-$B$4)/($B$6/SQRT($B$7))</f>
        <v>-2.33355131055572</v>
      </c>
      <c r="E650" s="0" t="str">
        <f aca="false">IF(OR(AND($B$9="superior",D650&gt;$B$10),AND($B$9="inferior",D650&lt;-$B$10)),"Rechazar H0","No rechazar H0")</f>
        <v>Rechazar H0</v>
      </c>
      <c r="F650" s="0" t="str">
        <f aca="false">IF(AND(B650="H0 verdadera",E650="Rechazar H0"),"Error tipo I",IF(AND(B650="Ha verdadera",E650="No rechazar H0"),"Error tipo II","Decisión correcta"))</f>
        <v>Decisión correcta</v>
      </c>
    </row>
    <row r="651" customFormat="false" ht="15" hidden="false" customHeight="false" outlineLevel="0" collapsed="false">
      <c r="A651" s="0" t="n">
        <v>630</v>
      </c>
      <c r="B651" s="0" t="s">
        <v>85</v>
      </c>
      <c r="C651" s="17" t="n">
        <v>0.277768644408337</v>
      </c>
      <c r="D651" s="17" t="n">
        <f aca="false">(C651-$B$4)/($B$6/SQRT($B$7))</f>
        <v>1.38884322204168</v>
      </c>
      <c r="E651" s="0" t="str">
        <f aca="false">IF(OR(AND($B$9="superior",D651&gt;$B$10),AND($B$9="inferior",D651&lt;-$B$10)),"Rechazar H0","No rechazar H0")</f>
        <v>No rechazar H0</v>
      </c>
      <c r="F651" s="0" t="str">
        <f aca="false">IF(AND(B651="H0 verdadera",E651="Rechazar H0"),"Error tipo I",IF(AND(B651="Ha verdadera",E651="No rechazar H0"),"Error tipo II","Decisión correcta"))</f>
        <v>Decisión correcta</v>
      </c>
    </row>
    <row r="652" customFormat="false" ht="15" hidden="false" customHeight="false" outlineLevel="0" collapsed="false">
      <c r="A652" s="0" t="n">
        <v>631</v>
      </c>
      <c r="B652" s="0" t="s">
        <v>85</v>
      </c>
      <c r="C652" s="17" t="n">
        <v>0.277052795951404</v>
      </c>
      <c r="D652" s="17" t="n">
        <f aca="false">(C652-$B$4)/($B$6/SQRT($B$7))</f>
        <v>1.38526397975702</v>
      </c>
      <c r="E652" s="0" t="str">
        <f aca="false">IF(OR(AND($B$9="superior",D652&gt;$B$10),AND($B$9="inferior",D652&lt;-$B$10)),"Rechazar H0","No rechazar H0")</f>
        <v>No rechazar H0</v>
      </c>
      <c r="F652" s="0" t="str">
        <f aca="false">IF(AND(B652="H0 verdadera",E652="Rechazar H0"),"Error tipo I",IF(AND(B652="Ha verdadera",E652="No rechazar H0"),"Error tipo II","Decisión correcta"))</f>
        <v>Decisión correcta</v>
      </c>
    </row>
    <row r="653" customFormat="false" ht="15" hidden="false" customHeight="false" outlineLevel="0" collapsed="false">
      <c r="A653" s="0" t="n">
        <v>632</v>
      </c>
      <c r="B653" s="0" t="s">
        <v>86</v>
      </c>
      <c r="C653" s="17" t="n">
        <v>-0.299633883000512</v>
      </c>
      <c r="D653" s="17" t="n">
        <f aca="false">(C653-$B$4)/($B$6/SQRT($B$7))</f>
        <v>-1.49816941500256</v>
      </c>
      <c r="E653" s="0" t="str">
        <f aca="false">IF(OR(AND($B$9="superior",D653&gt;$B$10),AND($B$9="inferior",D653&lt;-$B$10)),"Rechazar H0","No rechazar H0")</f>
        <v>No rechazar H0</v>
      </c>
      <c r="F653" s="0" t="str">
        <f aca="false">IF(AND(B653="H0 verdadera",E653="Rechazar H0"),"Error tipo I",IF(AND(B653="Ha verdadera",E653="No rechazar H0"),"Error tipo II","Decisión correcta"))</f>
        <v>Error tipo II</v>
      </c>
    </row>
    <row r="654" customFormat="false" ht="15" hidden="false" customHeight="false" outlineLevel="0" collapsed="false">
      <c r="A654" s="0" t="n">
        <v>633</v>
      </c>
      <c r="B654" s="0" t="s">
        <v>86</v>
      </c>
      <c r="C654" s="17" t="n">
        <v>-0.788833436193928</v>
      </c>
      <c r="D654" s="17" t="n">
        <f aca="false">(C654-$B$4)/($B$6/SQRT($B$7))</f>
        <v>-3.94416718096964</v>
      </c>
      <c r="E654" s="0" t="str">
        <f aca="false">IF(OR(AND($B$9="superior",D654&gt;$B$10),AND($B$9="inferior",D654&lt;-$B$10)),"Rechazar H0","No rechazar H0")</f>
        <v>Rechazar H0</v>
      </c>
      <c r="F654" s="0" t="str">
        <f aca="false">IF(AND(B654="H0 verdadera",E654="Rechazar H0"),"Error tipo I",IF(AND(B654="Ha verdadera",E654="No rechazar H0"),"Error tipo II","Decisión correcta"))</f>
        <v>Decisión correcta</v>
      </c>
    </row>
    <row r="655" customFormat="false" ht="15" hidden="false" customHeight="false" outlineLevel="0" collapsed="false">
      <c r="A655" s="0" t="n">
        <v>634</v>
      </c>
      <c r="B655" s="0" t="s">
        <v>86</v>
      </c>
      <c r="C655" s="17" t="n">
        <v>-0.54072875456428</v>
      </c>
      <c r="D655" s="17" t="n">
        <f aca="false">(C655-$B$4)/($B$6/SQRT($B$7))</f>
        <v>-2.7036437728214</v>
      </c>
      <c r="E655" s="0" t="str">
        <f aca="false">IF(OR(AND($B$9="superior",D655&gt;$B$10),AND($B$9="inferior",D655&lt;-$B$10)),"Rechazar H0","No rechazar H0")</f>
        <v>Rechazar H0</v>
      </c>
      <c r="F655" s="0" t="str">
        <f aca="false">IF(AND(B655="H0 verdadera",E655="Rechazar H0"),"Error tipo I",IF(AND(B655="Ha verdadera",E655="No rechazar H0"),"Error tipo II","Decisión correcta"))</f>
        <v>Decisión correcta</v>
      </c>
    </row>
    <row r="656" customFormat="false" ht="15" hidden="false" customHeight="false" outlineLevel="0" collapsed="false">
      <c r="A656" s="0" t="n">
        <v>635</v>
      </c>
      <c r="B656" s="0" t="s">
        <v>86</v>
      </c>
      <c r="C656" s="17" t="n">
        <v>-0.382385203819053</v>
      </c>
      <c r="D656" s="17" t="n">
        <f aca="false">(C656-$B$4)/($B$6/SQRT($B$7))</f>
        <v>-1.91192601909526</v>
      </c>
      <c r="E656" s="0" t="str">
        <f aca="false">IF(OR(AND($B$9="superior",D656&gt;$B$10),AND($B$9="inferior",D656&lt;-$B$10)),"Rechazar H0","No rechazar H0")</f>
        <v>Rechazar H0</v>
      </c>
      <c r="F656" s="0" t="str">
        <f aca="false">IF(AND(B656="H0 verdadera",E656="Rechazar H0"),"Error tipo I",IF(AND(B656="Ha verdadera",E656="No rechazar H0"),"Error tipo II","Decisión correcta"))</f>
        <v>Decisión correcta</v>
      </c>
    </row>
    <row r="657" customFormat="false" ht="15" hidden="false" customHeight="false" outlineLevel="0" collapsed="false">
      <c r="A657" s="0" t="n">
        <v>636</v>
      </c>
      <c r="B657" s="0" t="s">
        <v>86</v>
      </c>
      <c r="C657" s="17" t="n">
        <v>-0.217424032922068</v>
      </c>
      <c r="D657" s="17" t="n">
        <f aca="false">(C657-$B$4)/($B$6/SQRT($B$7))</f>
        <v>-1.08712016461034</v>
      </c>
      <c r="E657" s="0" t="str">
        <f aca="false">IF(OR(AND($B$9="superior",D657&gt;$B$10),AND($B$9="inferior",D657&lt;-$B$10)),"Rechazar H0","No rechazar H0")</f>
        <v>No rechazar H0</v>
      </c>
      <c r="F657" s="0" t="str">
        <f aca="false">IF(AND(B657="H0 verdadera",E657="Rechazar H0"),"Error tipo I",IF(AND(B657="Ha verdadera",E657="No rechazar H0"),"Error tipo II","Decisión correcta"))</f>
        <v>Error tipo II</v>
      </c>
    </row>
    <row r="658" customFormat="false" ht="15" hidden="false" customHeight="false" outlineLevel="0" collapsed="false">
      <c r="A658" s="0" t="n">
        <v>637</v>
      </c>
      <c r="B658" s="0" t="s">
        <v>86</v>
      </c>
      <c r="C658" s="17" t="n">
        <v>-0.210675628627832</v>
      </c>
      <c r="D658" s="17" t="n">
        <f aca="false">(C658-$B$4)/($B$6/SQRT($B$7))</f>
        <v>-1.05337814313916</v>
      </c>
      <c r="E658" s="0" t="str">
        <f aca="false">IF(OR(AND($B$9="superior",D658&gt;$B$10),AND($B$9="inferior",D658&lt;-$B$10)),"Rechazar H0","No rechazar H0")</f>
        <v>No rechazar H0</v>
      </c>
      <c r="F658" s="0" t="str">
        <f aca="false">IF(AND(B658="H0 verdadera",E658="Rechazar H0"),"Error tipo I",IF(AND(B658="Ha verdadera",E658="No rechazar H0"),"Error tipo II","Decisión correcta"))</f>
        <v>Error tipo II</v>
      </c>
    </row>
    <row r="659" customFormat="false" ht="15" hidden="false" customHeight="false" outlineLevel="0" collapsed="false">
      <c r="A659" s="0" t="n">
        <v>638</v>
      </c>
      <c r="B659" s="0" t="s">
        <v>86</v>
      </c>
      <c r="C659" s="17" t="n">
        <v>-0.691216825544493</v>
      </c>
      <c r="D659" s="17" t="n">
        <f aca="false">(C659-$B$4)/($B$6/SQRT($B$7))</f>
        <v>-3.45608412772247</v>
      </c>
      <c r="E659" s="0" t="str">
        <f aca="false">IF(OR(AND($B$9="superior",D659&gt;$B$10),AND($B$9="inferior",D659&lt;-$B$10)),"Rechazar H0","No rechazar H0")</f>
        <v>Rechazar H0</v>
      </c>
      <c r="F659" s="0" t="str">
        <f aca="false">IF(AND(B659="H0 verdadera",E659="Rechazar H0"),"Error tipo I",IF(AND(B659="Ha verdadera",E659="No rechazar H0"),"Error tipo II","Decisión correcta"))</f>
        <v>Decisión correcta</v>
      </c>
    </row>
    <row r="660" customFormat="false" ht="15" hidden="false" customHeight="false" outlineLevel="0" collapsed="false">
      <c r="A660" s="0" t="n">
        <v>639</v>
      </c>
      <c r="B660" s="0" t="s">
        <v>85</v>
      </c>
      <c r="C660" s="17" t="n">
        <v>-0.121609401016804</v>
      </c>
      <c r="D660" s="17" t="n">
        <f aca="false">(C660-$B$4)/($B$6/SQRT($B$7))</f>
        <v>-0.608047005084021</v>
      </c>
      <c r="E660" s="0" t="str">
        <f aca="false">IF(OR(AND($B$9="superior",D660&gt;$B$10),AND($B$9="inferior",D660&lt;-$B$10)),"Rechazar H0","No rechazar H0")</f>
        <v>No rechazar H0</v>
      </c>
      <c r="F660" s="0" t="str">
        <f aca="false">IF(AND(B660="H0 verdadera",E660="Rechazar H0"),"Error tipo I",IF(AND(B660="Ha verdadera",E660="No rechazar H0"),"Error tipo II","Decisión correcta"))</f>
        <v>Decisión correcta</v>
      </c>
    </row>
    <row r="661" customFormat="false" ht="15" hidden="false" customHeight="false" outlineLevel="0" collapsed="false">
      <c r="A661" s="0" t="n">
        <v>640</v>
      </c>
      <c r="B661" s="0" t="s">
        <v>85</v>
      </c>
      <c r="C661" s="17" t="n">
        <v>-0.122515376949207</v>
      </c>
      <c r="D661" s="17" t="n">
        <f aca="false">(C661-$B$4)/($B$6/SQRT($B$7))</f>
        <v>-0.612576884746033</v>
      </c>
      <c r="E661" s="0" t="str">
        <f aca="false">IF(OR(AND($B$9="superior",D661&gt;$B$10),AND($B$9="inferior",D661&lt;-$B$10)),"Rechazar H0","No rechazar H0")</f>
        <v>No rechazar H0</v>
      </c>
      <c r="F661" s="0" t="str">
        <f aca="false">IF(AND(B661="H0 verdadera",E661="Rechazar H0"),"Error tipo I",IF(AND(B661="Ha verdadera",E661="No rechazar H0"),"Error tipo II","Decisión correcta"))</f>
        <v>Decisión correcta</v>
      </c>
    </row>
    <row r="662" customFormat="false" ht="15" hidden="false" customHeight="false" outlineLevel="0" collapsed="false">
      <c r="A662" s="0" t="n">
        <v>641</v>
      </c>
      <c r="B662" s="0" t="s">
        <v>86</v>
      </c>
      <c r="C662" s="17" t="n">
        <v>-0.358177348649644</v>
      </c>
      <c r="D662" s="17" t="n">
        <f aca="false">(C662-$B$4)/($B$6/SQRT($B$7))</f>
        <v>-1.79088674324822</v>
      </c>
      <c r="E662" s="0" t="str">
        <f aca="false">IF(OR(AND($B$9="superior",D662&gt;$B$10),AND($B$9="inferior",D662&lt;-$B$10)),"Rechazar H0","No rechazar H0")</f>
        <v>Rechazar H0</v>
      </c>
      <c r="F662" s="0" t="str">
        <f aca="false">IF(AND(B662="H0 verdadera",E662="Rechazar H0"),"Error tipo I",IF(AND(B662="Ha verdadera",E662="No rechazar H0"),"Error tipo II","Decisión correcta"))</f>
        <v>Decisión correcta</v>
      </c>
    </row>
    <row r="663" customFormat="false" ht="15" hidden="false" customHeight="false" outlineLevel="0" collapsed="false">
      <c r="A663" s="0" t="n">
        <v>642</v>
      </c>
      <c r="B663" s="0" t="s">
        <v>85</v>
      </c>
      <c r="C663" s="17" t="n">
        <v>0.312679857090347</v>
      </c>
      <c r="D663" s="17" t="n">
        <f aca="false">(C663-$B$4)/($B$6/SQRT($B$7))</f>
        <v>1.56339928545173</v>
      </c>
      <c r="E663" s="0" t="str">
        <f aca="false">IF(OR(AND($B$9="superior",D663&gt;$B$10),AND($B$9="inferior",D663&lt;-$B$10)),"Rechazar H0","No rechazar H0")</f>
        <v>No rechazar H0</v>
      </c>
      <c r="F663" s="0" t="str">
        <f aca="false">IF(AND(B663="H0 verdadera",E663="Rechazar H0"),"Error tipo I",IF(AND(B663="Ha verdadera",E663="No rechazar H0"),"Error tipo II","Decisión correcta"))</f>
        <v>Decisión correcta</v>
      </c>
    </row>
    <row r="664" customFormat="false" ht="15" hidden="false" customHeight="false" outlineLevel="0" collapsed="false">
      <c r="A664" s="0" t="n">
        <v>643</v>
      </c>
      <c r="B664" s="0" t="s">
        <v>85</v>
      </c>
      <c r="C664" s="17" t="n">
        <v>-0.0429414302237907</v>
      </c>
      <c r="D664" s="17" t="n">
        <f aca="false">(C664-$B$4)/($B$6/SQRT($B$7))</f>
        <v>-0.214707151118954</v>
      </c>
      <c r="E664" s="0" t="str">
        <f aca="false">IF(OR(AND($B$9="superior",D664&gt;$B$10),AND($B$9="inferior",D664&lt;-$B$10)),"Rechazar H0","No rechazar H0")</f>
        <v>No rechazar H0</v>
      </c>
      <c r="F664" s="0" t="str">
        <f aca="false">IF(AND(B664="H0 verdadera",E664="Rechazar H0"),"Error tipo I",IF(AND(B664="Ha verdadera",E664="No rechazar H0"),"Error tipo II","Decisión correcta"))</f>
        <v>Decisión correcta</v>
      </c>
    </row>
    <row r="665" customFormat="false" ht="15" hidden="false" customHeight="false" outlineLevel="0" collapsed="false">
      <c r="A665" s="0" t="n">
        <v>644</v>
      </c>
      <c r="B665" s="0" t="s">
        <v>85</v>
      </c>
      <c r="C665" s="17" t="n">
        <v>0.00626729078699771</v>
      </c>
      <c r="D665" s="17" t="n">
        <f aca="false">(C665-$B$4)/($B$6/SQRT($B$7))</f>
        <v>0.0313364539349885</v>
      </c>
      <c r="E665" s="0" t="str">
        <f aca="false">IF(OR(AND($B$9="superior",D665&gt;$B$10),AND($B$9="inferior",D665&lt;-$B$10)),"Rechazar H0","No rechazar H0")</f>
        <v>No rechazar H0</v>
      </c>
      <c r="F665" s="0" t="str">
        <f aca="false">IF(AND(B665="H0 verdadera",E665="Rechazar H0"),"Error tipo I",IF(AND(B665="Ha verdadera",E665="No rechazar H0"),"Error tipo II","Decisión correcta"))</f>
        <v>Decisión correcta</v>
      </c>
    </row>
    <row r="666" customFormat="false" ht="15" hidden="false" customHeight="false" outlineLevel="0" collapsed="false">
      <c r="A666" s="0" t="n">
        <v>645</v>
      </c>
      <c r="B666" s="0" t="s">
        <v>85</v>
      </c>
      <c r="C666" s="17" t="n">
        <v>0.0170480944584571</v>
      </c>
      <c r="D666" s="17" t="n">
        <f aca="false">(C666-$B$4)/($B$6/SQRT($B$7))</f>
        <v>0.0852404722922855</v>
      </c>
      <c r="E666" s="0" t="str">
        <f aca="false">IF(OR(AND($B$9="superior",D666&gt;$B$10),AND($B$9="inferior",D666&lt;-$B$10)),"Rechazar H0","No rechazar H0")</f>
        <v>No rechazar H0</v>
      </c>
      <c r="F666" s="0" t="str">
        <f aca="false">IF(AND(B666="H0 verdadera",E666="Rechazar H0"),"Error tipo I",IF(AND(B666="Ha verdadera",E666="No rechazar H0"),"Error tipo II","Decisión correcta"))</f>
        <v>Decisión correcta</v>
      </c>
    </row>
    <row r="667" customFormat="false" ht="15" hidden="false" customHeight="false" outlineLevel="0" collapsed="false">
      <c r="A667" s="0" t="n">
        <v>646</v>
      </c>
      <c r="B667" s="0" t="s">
        <v>86</v>
      </c>
      <c r="C667" s="17" t="n">
        <v>-0.161578212409019</v>
      </c>
      <c r="D667" s="17" t="n">
        <f aca="false">(C667-$B$4)/($B$6/SQRT($B$7))</f>
        <v>-0.807891062045095</v>
      </c>
      <c r="E667" s="0" t="str">
        <f aca="false">IF(OR(AND($B$9="superior",D667&gt;$B$10),AND($B$9="inferior",D667&lt;-$B$10)),"Rechazar H0","No rechazar H0")</f>
        <v>No rechazar H0</v>
      </c>
      <c r="F667" s="0" t="str">
        <f aca="false">IF(AND(B667="H0 verdadera",E667="Rechazar H0"),"Error tipo I",IF(AND(B667="Ha verdadera",E667="No rechazar H0"),"Error tipo II","Decisión correcta"))</f>
        <v>Error tipo II</v>
      </c>
    </row>
    <row r="668" customFormat="false" ht="15" hidden="false" customHeight="false" outlineLevel="0" collapsed="false">
      <c r="A668" s="0" t="n">
        <v>647</v>
      </c>
      <c r="B668" s="0" t="s">
        <v>86</v>
      </c>
      <c r="C668" s="17" t="n">
        <v>-0.567044192999413</v>
      </c>
      <c r="D668" s="17" t="n">
        <f aca="false">(C668-$B$4)/($B$6/SQRT($B$7))</f>
        <v>-2.83522096499706</v>
      </c>
      <c r="E668" s="0" t="str">
        <f aca="false">IF(OR(AND($B$9="superior",D668&gt;$B$10),AND($B$9="inferior",D668&lt;-$B$10)),"Rechazar H0","No rechazar H0")</f>
        <v>Rechazar H0</v>
      </c>
      <c r="F668" s="0" t="str">
        <f aca="false">IF(AND(B668="H0 verdadera",E668="Rechazar H0"),"Error tipo I",IF(AND(B668="Ha verdadera",E668="No rechazar H0"),"Error tipo II","Decisión correcta"))</f>
        <v>Decisión correcta</v>
      </c>
    </row>
    <row r="669" customFormat="false" ht="15" hidden="false" customHeight="false" outlineLevel="0" collapsed="false">
      <c r="A669" s="0" t="n">
        <v>648</v>
      </c>
      <c r="B669" s="0" t="s">
        <v>85</v>
      </c>
      <c r="C669" s="17" t="n">
        <v>-0.0947412261793527</v>
      </c>
      <c r="D669" s="17" t="n">
        <f aca="false">(C669-$B$4)/($B$6/SQRT($B$7))</f>
        <v>-0.473706130896764</v>
      </c>
      <c r="E669" s="0" t="str">
        <f aca="false">IF(OR(AND($B$9="superior",D669&gt;$B$10),AND($B$9="inferior",D669&lt;-$B$10)),"Rechazar H0","No rechazar H0")</f>
        <v>No rechazar H0</v>
      </c>
      <c r="F669" s="0" t="str">
        <f aca="false">IF(AND(B669="H0 verdadera",E669="Rechazar H0"),"Error tipo I",IF(AND(B669="Ha verdadera",E669="No rechazar H0"),"Error tipo II","Decisión correcta"))</f>
        <v>Decisión correcta</v>
      </c>
    </row>
    <row r="670" customFormat="false" ht="15" hidden="false" customHeight="false" outlineLevel="0" collapsed="false">
      <c r="A670" s="0" t="n">
        <v>649</v>
      </c>
      <c r="B670" s="0" t="s">
        <v>86</v>
      </c>
      <c r="C670" s="17" t="n">
        <v>-0.49008807973749</v>
      </c>
      <c r="D670" s="17" t="n">
        <f aca="false">(C670-$B$4)/($B$6/SQRT($B$7))</f>
        <v>-2.45044039868745</v>
      </c>
      <c r="E670" s="0" t="str">
        <f aca="false">IF(OR(AND($B$9="superior",D670&gt;$B$10),AND($B$9="inferior",D670&lt;-$B$10)),"Rechazar H0","No rechazar H0")</f>
        <v>Rechazar H0</v>
      </c>
      <c r="F670" s="0" t="str">
        <f aca="false">IF(AND(B670="H0 verdadera",E670="Rechazar H0"),"Error tipo I",IF(AND(B670="Ha verdadera",E670="No rechazar H0"),"Error tipo II","Decisión correcta"))</f>
        <v>Decisión correcta</v>
      </c>
    </row>
    <row r="671" customFormat="false" ht="15" hidden="false" customHeight="false" outlineLevel="0" collapsed="false">
      <c r="A671" s="0" t="n">
        <v>650</v>
      </c>
      <c r="B671" s="0" t="s">
        <v>85</v>
      </c>
      <c r="C671" s="17" t="n">
        <v>0.028720539479239</v>
      </c>
      <c r="D671" s="17" t="n">
        <f aca="false">(C671-$B$4)/($B$6/SQRT($B$7))</f>
        <v>0.143602697396195</v>
      </c>
      <c r="E671" s="0" t="str">
        <f aca="false">IF(OR(AND($B$9="superior",D671&gt;$B$10),AND($B$9="inferior",D671&lt;-$B$10)),"Rechazar H0","No rechazar H0")</f>
        <v>No rechazar H0</v>
      </c>
      <c r="F671" s="0" t="str">
        <f aca="false">IF(AND(B671="H0 verdadera",E671="Rechazar H0"),"Error tipo I",IF(AND(B671="Ha verdadera",E671="No rechazar H0"),"Error tipo II","Decisión correcta"))</f>
        <v>Decisión correcta</v>
      </c>
    </row>
    <row r="672" customFormat="false" ht="15" hidden="false" customHeight="false" outlineLevel="0" collapsed="false">
      <c r="A672" s="0" t="n">
        <v>651</v>
      </c>
      <c r="B672" s="0" t="s">
        <v>86</v>
      </c>
      <c r="C672" s="17" t="n">
        <v>-0.0997940100435884</v>
      </c>
      <c r="D672" s="17" t="n">
        <f aca="false">(C672-$B$4)/($B$6/SQRT($B$7))</f>
        <v>-0.498970050217942</v>
      </c>
      <c r="E672" s="0" t="str">
        <f aca="false">IF(OR(AND($B$9="superior",D672&gt;$B$10),AND($B$9="inferior",D672&lt;-$B$10)),"Rechazar H0","No rechazar H0")</f>
        <v>No rechazar H0</v>
      </c>
      <c r="F672" s="0" t="str">
        <f aca="false">IF(AND(B672="H0 verdadera",E672="Rechazar H0"),"Error tipo I",IF(AND(B672="Ha verdadera",E672="No rechazar H0"),"Error tipo II","Decisión correcta"))</f>
        <v>Error tipo II</v>
      </c>
    </row>
    <row r="673" customFormat="false" ht="15" hidden="false" customHeight="false" outlineLevel="0" collapsed="false">
      <c r="A673" s="0" t="n">
        <v>652</v>
      </c>
      <c r="B673" s="0" t="s">
        <v>86</v>
      </c>
      <c r="C673" s="17" t="n">
        <v>-0.55198786345609</v>
      </c>
      <c r="D673" s="17" t="n">
        <f aca="false">(C673-$B$4)/($B$6/SQRT($B$7))</f>
        <v>-2.75993931728045</v>
      </c>
      <c r="E673" s="0" t="str">
        <f aca="false">IF(OR(AND($B$9="superior",D673&gt;$B$10),AND($B$9="inferior",D673&lt;-$B$10)),"Rechazar H0","No rechazar H0")</f>
        <v>Rechazar H0</v>
      </c>
      <c r="F673" s="0" t="str">
        <f aca="false">IF(AND(B673="H0 verdadera",E673="Rechazar H0"),"Error tipo I",IF(AND(B673="Ha verdadera",E673="No rechazar H0"),"Error tipo II","Decisión correcta"))</f>
        <v>Decisión correcta</v>
      </c>
    </row>
    <row r="674" customFormat="false" ht="15" hidden="false" customHeight="false" outlineLevel="0" collapsed="false">
      <c r="A674" s="0" t="n">
        <v>653</v>
      </c>
      <c r="B674" s="0" t="s">
        <v>86</v>
      </c>
      <c r="C674" s="17" t="n">
        <v>-0.50386628367108</v>
      </c>
      <c r="D674" s="17" t="n">
        <f aca="false">(C674-$B$4)/($B$6/SQRT($B$7))</f>
        <v>-2.5193314183554</v>
      </c>
      <c r="E674" s="0" t="str">
        <f aca="false">IF(OR(AND($B$9="superior",D674&gt;$B$10),AND($B$9="inferior",D674&lt;-$B$10)),"Rechazar H0","No rechazar H0")</f>
        <v>Rechazar H0</v>
      </c>
      <c r="F674" s="0" t="str">
        <f aca="false">IF(AND(B674="H0 verdadera",E674="Rechazar H0"),"Error tipo I",IF(AND(B674="Ha verdadera",E674="No rechazar H0"),"Error tipo II","Decisión correcta"))</f>
        <v>Decisión correcta</v>
      </c>
    </row>
    <row r="675" customFormat="false" ht="15" hidden="false" customHeight="false" outlineLevel="0" collapsed="false">
      <c r="A675" s="0" t="n">
        <v>654</v>
      </c>
      <c r="B675" s="0" t="s">
        <v>85</v>
      </c>
      <c r="C675" s="17" t="n">
        <v>0.16066124264344</v>
      </c>
      <c r="D675" s="17" t="n">
        <f aca="false">(C675-$B$4)/($B$6/SQRT($B$7))</f>
        <v>0.803306213217201</v>
      </c>
      <c r="E675" s="0" t="str">
        <f aca="false">IF(OR(AND($B$9="superior",D675&gt;$B$10),AND($B$9="inferior",D675&lt;-$B$10)),"Rechazar H0","No rechazar H0")</f>
        <v>No rechazar H0</v>
      </c>
      <c r="F675" s="0" t="str">
        <f aca="false">IF(AND(B675="H0 verdadera",E675="Rechazar H0"),"Error tipo I",IF(AND(B675="Ha verdadera",E675="No rechazar H0"),"Error tipo II","Decisión correcta"))</f>
        <v>Decisión correcta</v>
      </c>
    </row>
    <row r="676" customFormat="false" ht="15" hidden="false" customHeight="false" outlineLevel="0" collapsed="false">
      <c r="A676" s="0" t="n">
        <v>655</v>
      </c>
      <c r="B676" s="0" t="s">
        <v>86</v>
      </c>
      <c r="C676" s="17" t="n">
        <v>-0.437315245522069</v>
      </c>
      <c r="D676" s="17" t="n">
        <f aca="false">(C676-$B$4)/($B$6/SQRT($B$7))</f>
        <v>-2.18657622761034</v>
      </c>
      <c r="E676" s="0" t="str">
        <f aca="false">IF(OR(AND($B$9="superior",D676&gt;$B$10),AND($B$9="inferior",D676&lt;-$B$10)),"Rechazar H0","No rechazar H0")</f>
        <v>Rechazar H0</v>
      </c>
      <c r="F676" s="0" t="str">
        <f aca="false">IF(AND(B676="H0 verdadera",E676="Rechazar H0"),"Error tipo I",IF(AND(B676="Ha verdadera",E676="No rechazar H0"),"Error tipo II","Decisión correcta"))</f>
        <v>Decisión correcta</v>
      </c>
    </row>
    <row r="677" customFormat="false" ht="15" hidden="false" customHeight="false" outlineLevel="0" collapsed="false">
      <c r="A677" s="0" t="n">
        <v>656</v>
      </c>
      <c r="B677" s="0" t="s">
        <v>85</v>
      </c>
      <c r="C677" s="17" t="n">
        <v>-0.0624187104621703</v>
      </c>
      <c r="D677" s="17" t="n">
        <f aca="false">(C677-$B$4)/($B$6/SQRT($B$7))</f>
        <v>-0.312093552310851</v>
      </c>
      <c r="E677" s="0" t="str">
        <f aca="false">IF(OR(AND($B$9="superior",D677&gt;$B$10),AND($B$9="inferior",D677&lt;-$B$10)),"Rechazar H0","No rechazar H0")</f>
        <v>No rechazar H0</v>
      </c>
      <c r="F677" s="0" t="str">
        <f aca="false">IF(AND(B677="H0 verdadera",E677="Rechazar H0"),"Error tipo I",IF(AND(B677="Ha verdadera",E677="No rechazar H0"),"Error tipo II","Decisión correcta"))</f>
        <v>Decisión correcta</v>
      </c>
    </row>
    <row r="678" customFormat="false" ht="15" hidden="false" customHeight="false" outlineLevel="0" collapsed="false">
      <c r="A678" s="0" t="n">
        <v>657</v>
      </c>
      <c r="B678" s="0" t="s">
        <v>86</v>
      </c>
      <c r="C678" s="17" t="n">
        <v>-0.334701197960376</v>
      </c>
      <c r="D678" s="17" t="n">
        <f aca="false">(C678-$B$4)/($B$6/SQRT($B$7))</f>
        <v>-1.67350598980188</v>
      </c>
      <c r="E678" s="0" t="str">
        <f aca="false">IF(OR(AND($B$9="superior",D678&gt;$B$10),AND($B$9="inferior",D678&lt;-$B$10)),"Rechazar H0","No rechazar H0")</f>
        <v>Rechazar H0</v>
      </c>
      <c r="F678" s="0" t="str">
        <f aca="false">IF(AND(B678="H0 verdadera",E678="Rechazar H0"),"Error tipo I",IF(AND(B678="Ha verdadera",E678="No rechazar H0"),"Error tipo II","Decisión correcta"))</f>
        <v>Decisión correcta</v>
      </c>
    </row>
    <row r="679" customFormat="false" ht="15" hidden="false" customHeight="false" outlineLevel="0" collapsed="false">
      <c r="A679" s="0" t="n">
        <v>658</v>
      </c>
      <c r="B679" s="0" t="s">
        <v>86</v>
      </c>
      <c r="C679" s="17" t="n">
        <v>-0.254027810374215</v>
      </c>
      <c r="D679" s="17" t="n">
        <f aca="false">(C679-$B$4)/($B$6/SQRT($B$7))</f>
        <v>-1.27013905187107</v>
      </c>
      <c r="E679" s="0" t="str">
        <f aca="false">IF(OR(AND($B$9="superior",D679&gt;$B$10),AND($B$9="inferior",D679&lt;-$B$10)),"Rechazar H0","No rechazar H0")</f>
        <v>No rechazar H0</v>
      </c>
      <c r="F679" s="0" t="str">
        <f aca="false">IF(AND(B679="H0 verdadera",E679="Rechazar H0"),"Error tipo I",IF(AND(B679="Ha verdadera",E679="No rechazar H0"),"Error tipo II","Decisión correcta"))</f>
        <v>Error tipo II</v>
      </c>
    </row>
    <row r="680" customFormat="false" ht="15" hidden="false" customHeight="false" outlineLevel="0" collapsed="false">
      <c r="A680" s="0" t="n">
        <v>659</v>
      </c>
      <c r="B680" s="0" t="s">
        <v>86</v>
      </c>
      <c r="C680" s="17" t="n">
        <v>-0.34372661852089</v>
      </c>
      <c r="D680" s="17" t="n">
        <f aca="false">(C680-$B$4)/($B$6/SQRT($B$7))</f>
        <v>-1.71863309260445</v>
      </c>
      <c r="E680" s="0" t="str">
        <f aca="false">IF(OR(AND($B$9="superior",D680&gt;$B$10),AND($B$9="inferior",D680&lt;-$B$10)),"Rechazar H0","No rechazar H0")</f>
        <v>Rechazar H0</v>
      </c>
      <c r="F680" s="0" t="str">
        <f aca="false">IF(AND(B680="H0 verdadera",E680="Rechazar H0"),"Error tipo I",IF(AND(B680="Ha verdadera",E680="No rechazar H0"),"Error tipo II","Decisión correcta"))</f>
        <v>Decisión correcta</v>
      </c>
    </row>
    <row r="681" customFormat="false" ht="15" hidden="false" customHeight="false" outlineLevel="0" collapsed="false">
      <c r="A681" s="0" t="n">
        <v>660</v>
      </c>
      <c r="B681" s="0" t="s">
        <v>86</v>
      </c>
      <c r="C681" s="17" t="n">
        <v>-0.376363558752272</v>
      </c>
      <c r="D681" s="17" t="n">
        <f aca="false">(C681-$B$4)/($B$6/SQRT($B$7))</f>
        <v>-1.88181779376136</v>
      </c>
      <c r="E681" s="0" t="str">
        <f aca="false">IF(OR(AND($B$9="superior",D681&gt;$B$10),AND($B$9="inferior",D681&lt;-$B$10)),"Rechazar H0","No rechazar H0")</f>
        <v>Rechazar H0</v>
      </c>
      <c r="F681" s="0" t="str">
        <f aca="false">IF(AND(B681="H0 verdadera",E681="Rechazar H0"),"Error tipo I",IF(AND(B681="Ha verdadera",E681="No rechazar H0"),"Error tipo II","Decisión correcta"))</f>
        <v>Decisión correcta</v>
      </c>
    </row>
    <row r="682" customFormat="false" ht="15" hidden="false" customHeight="false" outlineLevel="0" collapsed="false">
      <c r="A682" s="0" t="n">
        <v>661</v>
      </c>
      <c r="B682" s="0" t="s">
        <v>86</v>
      </c>
      <c r="C682" s="17" t="n">
        <v>-0.29886420534577</v>
      </c>
      <c r="D682" s="17" t="n">
        <f aca="false">(C682-$B$4)/($B$6/SQRT($B$7))</f>
        <v>-1.49432102672885</v>
      </c>
      <c r="E682" s="0" t="str">
        <f aca="false">IF(OR(AND($B$9="superior",D682&gt;$B$10),AND($B$9="inferior",D682&lt;-$B$10)),"Rechazar H0","No rechazar H0")</f>
        <v>No rechazar H0</v>
      </c>
      <c r="F682" s="0" t="str">
        <f aca="false">IF(AND(B682="H0 verdadera",E682="Rechazar H0"),"Error tipo I",IF(AND(B682="Ha verdadera",E682="No rechazar H0"),"Error tipo II","Decisión correcta"))</f>
        <v>Error tipo II</v>
      </c>
    </row>
    <row r="683" customFormat="false" ht="15" hidden="false" customHeight="false" outlineLevel="0" collapsed="false">
      <c r="A683" s="0" t="n">
        <v>662</v>
      </c>
      <c r="B683" s="0" t="s">
        <v>86</v>
      </c>
      <c r="C683" s="17" t="n">
        <v>-0.440645142425268</v>
      </c>
      <c r="D683" s="17" t="n">
        <f aca="false">(C683-$B$4)/($B$6/SQRT($B$7))</f>
        <v>-2.20322571212634</v>
      </c>
      <c r="E683" s="0" t="str">
        <f aca="false">IF(OR(AND($B$9="superior",D683&gt;$B$10),AND($B$9="inferior",D683&lt;-$B$10)),"Rechazar H0","No rechazar H0")</f>
        <v>Rechazar H0</v>
      </c>
      <c r="F683" s="0" t="str">
        <f aca="false">IF(AND(B683="H0 verdadera",E683="Rechazar H0"),"Error tipo I",IF(AND(B683="Ha verdadera",E683="No rechazar H0"),"Error tipo II","Decisión correcta"))</f>
        <v>Decisión correcta</v>
      </c>
    </row>
    <row r="684" customFormat="false" ht="15" hidden="false" customHeight="false" outlineLevel="0" collapsed="false">
      <c r="A684" s="0" t="n">
        <v>663</v>
      </c>
      <c r="B684" s="0" t="s">
        <v>86</v>
      </c>
      <c r="C684" s="17" t="n">
        <v>-0.264584530554729</v>
      </c>
      <c r="D684" s="17" t="n">
        <f aca="false">(C684-$B$4)/($B$6/SQRT($B$7))</f>
        <v>-1.32292265277365</v>
      </c>
      <c r="E684" s="0" t="str">
        <f aca="false">IF(OR(AND($B$9="superior",D684&gt;$B$10),AND($B$9="inferior",D684&lt;-$B$10)),"Rechazar H0","No rechazar H0")</f>
        <v>No rechazar H0</v>
      </c>
      <c r="F684" s="0" t="str">
        <f aca="false">IF(AND(B684="H0 verdadera",E684="Rechazar H0"),"Error tipo I",IF(AND(B684="Ha verdadera",E684="No rechazar H0"),"Error tipo II","Decisión correcta"))</f>
        <v>Error tipo II</v>
      </c>
    </row>
    <row r="685" customFormat="false" ht="15" hidden="false" customHeight="false" outlineLevel="0" collapsed="false">
      <c r="A685" s="0" t="n">
        <v>664</v>
      </c>
      <c r="B685" s="0" t="s">
        <v>85</v>
      </c>
      <c r="C685" s="17" t="n">
        <v>0.236965222869848</v>
      </c>
      <c r="D685" s="17" t="n">
        <f aca="false">(C685-$B$4)/($B$6/SQRT($B$7))</f>
        <v>1.18482611434924</v>
      </c>
      <c r="E685" s="0" t="str">
        <f aca="false">IF(OR(AND($B$9="superior",D685&gt;$B$10),AND($B$9="inferior",D685&lt;-$B$10)),"Rechazar H0","No rechazar H0")</f>
        <v>No rechazar H0</v>
      </c>
      <c r="F685" s="0" t="str">
        <f aca="false">IF(AND(B685="H0 verdadera",E685="Rechazar H0"),"Error tipo I",IF(AND(B685="Ha verdadera",E685="No rechazar H0"),"Error tipo II","Decisión correcta"))</f>
        <v>Decisión correcta</v>
      </c>
    </row>
    <row r="686" customFormat="false" ht="15" hidden="false" customHeight="false" outlineLevel="0" collapsed="false">
      <c r="A686" s="0" t="n">
        <v>665</v>
      </c>
      <c r="B686" s="0" t="s">
        <v>86</v>
      </c>
      <c r="C686" s="17" t="n">
        <v>-0.473228858373931</v>
      </c>
      <c r="D686" s="17" t="n">
        <f aca="false">(C686-$B$4)/($B$6/SQRT($B$7))</f>
        <v>-2.36614429186965</v>
      </c>
      <c r="E686" s="0" t="str">
        <f aca="false">IF(OR(AND($B$9="superior",D686&gt;$B$10),AND($B$9="inferior",D686&lt;-$B$10)),"Rechazar H0","No rechazar H0")</f>
        <v>Rechazar H0</v>
      </c>
      <c r="F686" s="0" t="str">
        <f aca="false">IF(AND(B686="H0 verdadera",E686="Rechazar H0"),"Error tipo I",IF(AND(B686="Ha verdadera",E686="No rechazar H0"),"Error tipo II","Decisión correcta"))</f>
        <v>Decisión correcta</v>
      </c>
    </row>
    <row r="687" customFormat="false" ht="15" hidden="false" customHeight="false" outlineLevel="0" collapsed="false">
      <c r="A687" s="0" t="n">
        <v>666</v>
      </c>
      <c r="B687" s="0" t="s">
        <v>85</v>
      </c>
      <c r="C687" s="17" t="n">
        <v>0.325308703255483</v>
      </c>
      <c r="D687" s="17" t="n">
        <f aca="false">(C687-$B$4)/($B$6/SQRT($B$7))</f>
        <v>1.62654351627741</v>
      </c>
      <c r="E687" s="0" t="str">
        <f aca="false">IF(OR(AND($B$9="superior",D687&gt;$B$10),AND($B$9="inferior",D687&lt;-$B$10)),"Rechazar H0","No rechazar H0")</f>
        <v>No rechazar H0</v>
      </c>
      <c r="F687" s="0" t="str">
        <f aca="false">IF(AND(B687="H0 verdadera",E687="Rechazar H0"),"Error tipo I",IF(AND(B687="Ha verdadera",E687="No rechazar H0"),"Error tipo II","Decisión correcta"))</f>
        <v>Decisión correcta</v>
      </c>
    </row>
    <row r="688" customFormat="false" ht="15" hidden="false" customHeight="false" outlineLevel="0" collapsed="false">
      <c r="A688" s="0" t="n">
        <v>667</v>
      </c>
      <c r="B688" s="0" t="s">
        <v>85</v>
      </c>
      <c r="C688" s="17" t="n">
        <v>-0.0181544897985235</v>
      </c>
      <c r="D688" s="17" t="n">
        <f aca="false">(C688-$B$4)/($B$6/SQRT($B$7))</f>
        <v>-0.0907724489926176</v>
      </c>
      <c r="E688" s="0" t="str">
        <f aca="false">IF(OR(AND($B$9="superior",D688&gt;$B$10),AND($B$9="inferior",D688&lt;-$B$10)),"Rechazar H0","No rechazar H0")</f>
        <v>No rechazar H0</v>
      </c>
      <c r="F688" s="0" t="str">
        <f aca="false">IF(AND(B688="H0 verdadera",E688="Rechazar H0"),"Error tipo I",IF(AND(B688="Ha verdadera",E688="No rechazar H0"),"Error tipo II","Decisión correcta"))</f>
        <v>Decisión correcta</v>
      </c>
    </row>
    <row r="689" customFormat="false" ht="15" hidden="false" customHeight="false" outlineLevel="0" collapsed="false">
      <c r="A689" s="0" t="n">
        <v>668</v>
      </c>
      <c r="B689" s="0" t="s">
        <v>86</v>
      </c>
      <c r="C689" s="17" t="n">
        <v>-0.757127213621868</v>
      </c>
      <c r="D689" s="17" t="n">
        <f aca="false">(C689-$B$4)/($B$6/SQRT($B$7))</f>
        <v>-3.78563606810934</v>
      </c>
      <c r="E689" s="0" t="str">
        <f aca="false">IF(OR(AND($B$9="superior",D689&gt;$B$10),AND($B$9="inferior",D689&lt;-$B$10)),"Rechazar H0","No rechazar H0")</f>
        <v>Rechazar H0</v>
      </c>
      <c r="F689" s="0" t="str">
        <f aca="false">IF(AND(B689="H0 verdadera",E689="Rechazar H0"),"Error tipo I",IF(AND(B689="Ha verdadera",E689="No rechazar H0"),"Error tipo II","Decisión correcta"))</f>
        <v>Decisión correcta</v>
      </c>
    </row>
    <row r="690" customFormat="false" ht="15" hidden="false" customHeight="false" outlineLevel="0" collapsed="false">
      <c r="A690" s="0" t="n">
        <v>669</v>
      </c>
      <c r="B690" s="0" t="s">
        <v>86</v>
      </c>
      <c r="C690" s="17" t="n">
        <v>-0.778247408755725</v>
      </c>
      <c r="D690" s="17" t="n">
        <f aca="false">(C690-$B$4)/($B$6/SQRT($B$7))</f>
        <v>-3.89123704377863</v>
      </c>
      <c r="E690" s="0" t="str">
        <f aca="false">IF(OR(AND($B$9="superior",D690&gt;$B$10),AND($B$9="inferior",D690&lt;-$B$10)),"Rechazar H0","No rechazar H0")</f>
        <v>Rechazar H0</v>
      </c>
      <c r="F690" s="0" t="str">
        <f aca="false">IF(AND(B690="H0 verdadera",E690="Rechazar H0"),"Error tipo I",IF(AND(B690="Ha verdadera",E690="No rechazar H0"),"Error tipo II","Decisión correcta"))</f>
        <v>Decisión correcta</v>
      </c>
    </row>
    <row r="691" customFormat="false" ht="15" hidden="false" customHeight="false" outlineLevel="0" collapsed="false">
      <c r="A691" s="0" t="n">
        <v>670</v>
      </c>
      <c r="B691" s="0" t="s">
        <v>85</v>
      </c>
      <c r="C691" s="17" t="n">
        <v>0.00846455395668133</v>
      </c>
      <c r="D691" s="17" t="n">
        <f aca="false">(C691-$B$4)/($B$6/SQRT($B$7))</f>
        <v>0.0423227697834066</v>
      </c>
      <c r="E691" s="0" t="str">
        <f aca="false">IF(OR(AND($B$9="superior",D691&gt;$B$10),AND($B$9="inferior",D691&lt;-$B$10)),"Rechazar H0","No rechazar H0")</f>
        <v>No rechazar H0</v>
      </c>
      <c r="F691" s="0" t="str">
        <f aca="false">IF(AND(B691="H0 verdadera",E691="Rechazar H0"),"Error tipo I",IF(AND(B691="Ha verdadera",E691="No rechazar H0"),"Error tipo II","Decisión correcta"))</f>
        <v>Decisión correcta</v>
      </c>
    </row>
    <row r="692" customFormat="false" ht="15" hidden="false" customHeight="false" outlineLevel="0" collapsed="false">
      <c r="A692" s="0" t="n">
        <v>671</v>
      </c>
      <c r="B692" s="0" t="s">
        <v>86</v>
      </c>
      <c r="C692" s="17" t="n">
        <v>-0.459821211847588</v>
      </c>
      <c r="D692" s="17" t="n">
        <f aca="false">(C692-$B$4)/($B$6/SQRT($B$7))</f>
        <v>-2.29910605923794</v>
      </c>
      <c r="E692" s="0" t="str">
        <f aca="false">IF(OR(AND($B$9="superior",D692&gt;$B$10),AND($B$9="inferior",D692&lt;-$B$10)),"Rechazar H0","No rechazar H0")</f>
        <v>Rechazar H0</v>
      </c>
      <c r="F692" s="0" t="str">
        <f aca="false">IF(AND(B692="H0 verdadera",E692="Rechazar H0"),"Error tipo I",IF(AND(B692="Ha verdadera",E692="No rechazar H0"),"Error tipo II","Decisión correcta"))</f>
        <v>Decisión correcta</v>
      </c>
    </row>
    <row r="693" customFormat="false" ht="15" hidden="false" customHeight="false" outlineLevel="0" collapsed="false">
      <c r="A693" s="0" t="n">
        <v>672</v>
      </c>
      <c r="B693" s="0" t="s">
        <v>86</v>
      </c>
      <c r="C693" s="17" t="n">
        <v>-0.442697724718822</v>
      </c>
      <c r="D693" s="17" t="n">
        <f aca="false">(C693-$B$4)/($B$6/SQRT($B$7))</f>
        <v>-2.21348862359411</v>
      </c>
      <c r="E693" s="0" t="str">
        <f aca="false">IF(OR(AND($B$9="superior",D693&gt;$B$10),AND($B$9="inferior",D693&lt;-$B$10)),"Rechazar H0","No rechazar H0")</f>
        <v>Rechazar H0</v>
      </c>
      <c r="F693" s="0" t="str">
        <f aca="false">IF(AND(B693="H0 verdadera",E693="Rechazar H0"),"Error tipo I",IF(AND(B693="Ha verdadera",E693="No rechazar H0"),"Error tipo II","Decisión correcta"))</f>
        <v>Decisión correcta</v>
      </c>
    </row>
    <row r="694" customFormat="false" ht="15" hidden="false" customHeight="false" outlineLevel="0" collapsed="false">
      <c r="A694" s="0" t="n">
        <v>673</v>
      </c>
      <c r="B694" s="0" t="s">
        <v>86</v>
      </c>
      <c r="C694" s="17" t="n">
        <v>-0.754878714201974</v>
      </c>
      <c r="D694" s="17" t="n">
        <f aca="false">(C694-$B$4)/($B$6/SQRT($B$7))</f>
        <v>-3.77439357100987</v>
      </c>
      <c r="E694" s="0" t="str">
        <f aca="false">IF(OR(AND($B$9="superior",D694&gt;$B$10),AND($B$9="inferior",D694&lt;-$B$10)),"Rechazar H0","No rechazar H0")</f>
        <v>Rechazar H0</v>
      </c>
      <c r="F694" s="0" t="str">
        <f aca="false">IF(AND(B694="H0 verdadera",E694="Rechazar H0"),"Error tipo I",IF(AND(B694="Ha verdadera",E694="No rechazar H0"),"Error tipo II","Decisión correcta"))</f>
        <v>Decisión correcta</v>
      </c>
    </row>
    <row r="695" customFormat="false" ht="15" hidden="false" customHeight="false" outlineLevel="0" collapsed="false">
      <c r="A695" s="0" t="n">
        <v>674</v>
      </c>
      <c r="B695" s="0" t="s">
        <v>86</v>
      </c>
      <c r="C695" s="17" t="n">
        <v>-0.279325086001135</v>
      </c>
      <c r="D695" s="17" t="n">
        <f aca="false">(C695-$B$4)/($B$6/SQRT($B$7))</f>
        <v>-1.39662543000568</v>
      </c>
      <c r="E695" s="0" t="str">
        <f aca="false">IF(OR(AND($B$9="superior",D695&gt;$B$10),AND($B$9="inferior",D695&lt;-$B$10)),"Rechazar H0","No rechazar H0")</f>
        <v>No rechazar H0</v>
      </c>
      <c r="F695" s="0" t="str">
        <f aca="false">IF(AND(B695="H0 verdadera",E695="Rechazar H0"),"Error tipo I",IF(AND(B695="Ha verdadera",E695="No rechazar H0"),"Error tipo II","Decisión correcta"))</f>
        <v>Error tipo II</v>
      </c>
    </row>
    <row r="696" customFormat="false" ht="15" hidden="false" customHeight="false" outlineLevel="0" collapsed="false">
      <c r="A696" s="0" t="n">
        <v>675</v>
      </c>
      <c r="B696" s="0" t="s">
        <v>85</v>
      </c>
      <c r="C696" s="17" t="n">
        <v>-0.0283532517500541</v>
      </c>
      <c r="D696" s="17" t="n">
        <f aca="false">(C696-$B$4)/($B$6/SQRT($B$7))</f>
        <v>-0.14176625875027</v>
      </c>
      <c r="E696" s="0" t="str">
        <f aca="false">IF(OR(AND($B$9="superior",D696&gt;$B$10),AND($B$9="inferior",D696&lt;-$B$10)),"Rechazar H0","No rechazar H0")</f>
        <v>No rechazar H0</v>
      </c>
      <c r="F696" s="0" t="str">
        <f aca="false">IF(AND(B696="H0 verdadera",E696="Rechazar H0"),"Error tipo I",IF(AND(B696="Ha verdadera",E696="No rechazar H0"),"Error tipo II","Decisión correcta"))</f>
        <v>Decisión correcta</v>
      </c>
    </row>
    <row r="697" customFormat="false" ht="15" hidden="false" customHeight="false" outlineLevel="0" collapsed="false">
      <c r="A697" s="0" t="n">
        <v>676</v>
      </c>
      <c r="B697" s="0" t="s">
        <v>85</v>
      </c>
      <c r="C697" s="17" t="n">
        <v>0.243200834485208</v>
      </c>
      <c r="D697" s="17" t="n">
        <f aca="false">(C697-$B$4)/($B$6/SQRT($B$7))</f>
        <v>1.21600417242604</v>
      </c>
      <c r="E697" s="0" t="str">
        <f aca="false">IF(OR(AND($B$9="superior",D697&gt;$B$10),AND($B$9="inferior",D697&lt;-$B$10)),"Rechazar H0","No rechazar H0")</f>
        <v>No rechazar H0</v>
      </c>
      <c r="F697" s="0" t="str">
        <f aca="false">IF(AND(B697="H0 verdadera",E697="Rechazar H0"),"Error tipo I",IF(AND(B697="Ha verdadera",E697="No rechazar H0"),"Error tipo II","Decisión correcta"))</f>
        <v>Decisión correcta</v>
      </c>
    </row>
    <row r="698" customFormat="false" ht="15" hidden="false" customHeight="false" outlineLevel="0" collapsed="false">
      <c r="A698" s="0" t="n">
        <v>677</v>
      </c>
      <c r="B698" s="0" t="s">
        <v>85</v>
      </c>
      <c r="C698" s="17" t="n">
        <v>-0.121999563262969</v>
      </c>
      <c r="D698" s="17" t="n">
        <f aca="false">(C698-$B$4)/($B$6/SQRT($B$7))</f>
        <v>-0.609997816314846</v>
      </c>
      <c r="E698" s="0" t="str">
        <f aca="false">IF(OR(AND($B$9="superior",D698&gt;$B$10),AND($B$9="inferior",D698&lt;-$B$10)),"Rechazar H0","No rechazar H0")</f>
        <v>No rechazar H0</v>
      </c>
      <c r="F698" s="0" t="str">
        <f aca="false">IF(AND(B698="H0 verdadera",E698="Rechazar H0"),"Error tipo I",IF(AND(B698="Ha verdadera",E698="No rechazar H0"),"Error tipo II","Decisión correcta"))</f>
        <v>Decisión correcta</v>
      </c>
    </row>
    <row r="699" customFormat="false" ht="15" hidden="false" customHeight="false" outlineLevel="0" collapsed="false">
      <c r="A699" s="0" t="n">
        <v>678</v>
      </c>
      <c r="B699" s="0" t="s">
        <v>85</v>
      </c>
      <c r="C699" s="17" t="n">
        <v>0.323079136400974</v>
      </c>
      <c r="D699" s="17" t="n">
        <f aca="false">(C699-$B$4)/($B$6/SQRT($B$7))</f>
        <v>1.61539568200487</v>
      </c>
      <c r="E699" s="0" t="str">
        <f aca="false">IF(OR(AND($B$9="superior",D699&gt;$B$10),AND($B$9="inferior",D699&lt;-$B$10)),"Rechazar H0","No rechazar H0")</f>
        <v>No rechazar H0</v>
      </c>
      <c r="F699" s="0" t="str">
        <f aca="false">IF(AND(B699="H0 verdadera",E699="Rechazar H0"),"Error tipo I",IF(AND(B699="Ha verdadera",E699="No rechazar H0"),"Error tipo II","Decisión correcta"))</f>
        <v>Decisión correcta</v>
      </c>
    </row>
    <row r="700" customFormat="false" ht="15" hidden="false" customHeight="false" outlineLevel="0" collapsed="false">
      <c r="A700" s="0" t="n">
        <v>679</v>
      </c>
      <c r="B700" s="0" t="s">
        <v>85</v>
      </c>
      <c r="C700" s="17" t="n">
        <v>-0.165851983392099</v>
      </c>
      <c r="D700" s="17" t="n">
        <f aca="false">(C700-$B$4)/($B$6/SQRT($B$7))</f>
        <v>-0.829259916960493</v>
      </c>
      <c r="E700" s="0" t="str">
        <f aca="false">IF(OR(AND($B$9="superior",D700&gt;$B$10),AND($B$9="inferior",D700&lt;-$B$10)),"Rechazar H0","No rechazar H0")</f>
        <v>No rechazar H0</v>
      </c>
      <c r="F700" s="0" t="str">
        <f aca="false">IF(AND(B700="H0 verdadera",E700="Rechazar H0"),"Error tipo I",IF(AND(B700="Ha verdadera",E700="No rechazar H0"),"Error tipo II","Decisión correcta"))</f>
        <v>Decisión correcta</v>
      </c>
    </row>
    <row r="701" customFormat="false" ht="15" hidden="false" customHeight="false" outlineLevel="0" collapsed="false">
      <c r="A701" s="0" t="n">
        <v>680</v>
      </c>
      <c r="B701" s="0" t="s">
        <v>85</v>
      </c>
      <c r="C701" s="17" t="n">
        <v>0.214355399351715</v>
      </c>
      <c r="D701" s="17" t="n">
        <f aca="false">(C701-$B$4)/($B$6/SQRT($B$7))</f>
        <v>1.07177699675857</v>
      </c>
      <c r="E701" s="0" t="str">
        <f aca="false">IF(OR(AND($B$9="superior",D701&gt;$B$10),AND($B$9="inferior",D701&lt;-$B$10)),"Rechazar H0","No rechazar H0")</f>
        <v>No rechazar H0</v>
      </c>
      <c r="F701" s="0" t="str">
        <f aca="false">IF(AND(B701="H0 verdadera",E701="Rechazar H0"),"Error tipo I",IF(AND(B701="Ha verdadera",E701="No rechazar H0"),"Error tipo II","Decisión correcta"))</f>
        <v>Decisión correcta</v>
      </c>
    </row>
    <row r="702" customFormat="false" ht="15" hidden="false" customHeight="false" outlineLevel="0" collapsed="false">
      <c r="A702" s="0" t="n">
        <v>681</v>
      </c>
      <c r="B702" s="0" t="s">
        <v>85</v>
      </c>
      <c r="C702" s="17" t="n">
        <v>0.221171937979289</v>
      </c>
      <c r="D702" s="17" t="n">
        <f aca="false">(C702-$B$4)/($B$6/SQRT($B$7))</f>
        <v>1.10585968989644</v>
      </c>
      <c r="E702" s="0" t="str">
        <f aca="false">IF(OR(AND($B$9="superior",D702&gt;$B$10),AND($B$9="inferior",D702&lt;-$B$10)),"Rechazar H0","No rechazar H0")</f>
        <v>No rechazar H0</v>
      </c>
      <c r="F702" s="0" t="str">
        <f aca="false">IF(AND(B702="H0 verdadera",E702="Rechazar H0"),"Error tipo I",IF(AND(B702="Ha verdadera",E702="No rechazar H0"),"Error tipo II","Decisión correcta"))</f>
        <v>Decisión correcta</v>
      </c>
    </row>
    <row r="703" customFormat="false" ht="15" hidden="false" customHeight="false" outlineLevel="0" collapsed="false">
      <c r="A703" s="0" t="n">
        <v>682</v>
      </c>
      <c r="B703" s="0" t="s">
        <v>85</v>
      </c>
      <c r="C703" s="17" t="n">
        <v>0.128338453482796</v>
      </c>
      <c r="D703" s="17" t="n">
        <f aca="false">(C703-$B$4)/($B$6/SQRT($B$7))</f>
        <v>0.641692267413978</v>
      </c>
      <c r="E703" s="0" t="str">
        <f aca="false">IF(OR(AND($B$9="superior",D703&gt;$B$10),AND($B$9="inferior",D703&lt;-$B$10)),"Rechazar H0","No rechazar H0")</f>
        <v>No rechazar H0</v>
      </c>
      <c r="F703" s="0" t="str">
        <f aca="false">IF(AND(B703="H0 verdadera",E703="Rechazar H0"),"Error tipo I",IF(AND(B703="Ha verdadera",E703="No rechazar H0"),"Error tipo II","Decisión correcta"))</f>
        <v>Decisión correcta</v>
      </c>
    </row>
    <row r="704" customFormat="false" ht="15" hidden="false" customHeight="false" outlineLevel="0" collapsed="false">
      <c r="A704" s="0" t="n">
        <v>683</v>
      </c>
      <c r="B704" s="0" t="s">
        <v>86</v>
      </c>
      <c r="C704" s="17" t="n">
        <v>-0.831562690165997</v>
      </c>
      <c r="D704" s="17" t="n">
        <f aca="false">(C704-$B$4)/($B$6/SQRT($B$7))</f>
        <v>-4.15781345082998</v>
      </c>
      <c r="E704" s="0" t="str">
        <f aca="false">IF(OR(AND($B$9="superior",D704&gt;$B$10),AND($B$9="inferior",D704&lt;-$B$10)),"Rechazar H0","No rechazar H0")</f>
        <v>Rechazar H0</v>
      </c>
      <c r="F704" s="0" t="str">
        <f aca="false">IF(AND(B704="H0 verdadera",E704="Rechazar H0"),"Error tipo I",IF(AND(B704="Ha verdadera",E704="No rechazar H0"),"Error tipo II","Decisión correcta"))</f>
        <v>Decisión correcta</v>
      </c>
    </row>
    <row r="705" customFormat="false" ht="15" hidden="false" customHeight="false" outlineLevel="0" collapsed="false">
      <c r="A705" s="0" t="n">
        <v>684</v>
      </c>
      <c r="B705" s="0" t="s">
        <v>86</v>
      </c>
      <c r="C705" s="17" t="n">
        <v>-0.655965998490413</v>
      </c>
      <c r="D705" s="17" t="n">
        <f aca="false">(C705-$B$4)/($B$6/SQRT($B$7))</f>
        <v>-3.27982999245206</v>
      </c>
      <c r="E705" s="0" t="str">
        <f aca="false">IF(OR(AND($B$9="superior",D705&gt;$B$10),AND($B$9="inferior",D705&lt;-$B$10)),"Rechazar H0","No rechazar H0")</f>
        <v>Rechazar H0</v>
      </c>
      <c r="F705" s="0" t="str">
        <f aca="false">IF(AND(B705="H0 verdadera",E705="Rechazar H0"),"Error tipo I",IF(AND(B705="Ha verdadera",E705="No rechazar H0"),"Error tipo II","Decisión correcta"))</f>
        <v>Decisión correcta</v>
      </c>
    </row>
    <row r="706" customFormat="false" ht="15" hidden="false" customHeight="false" outlineLevel="0" collapsed="false">
      <c r="A706" s="0" t="n">
        <v>685</v>
      </c>
      <c r="B706" s="0" t="s">
        <v>86</v>
      </c>
      <c r="C706" s="17" t="n">
        <v>-0.319513084245903</v>
      </c>
      <c r="D706" s="17" t="n">
        <f aca="false">(C706-$B$4)/($B$6/SQRT($B$7))</f>
        <v>-1.59756542122952</v>
      </c>
      <c r="E706" s="0" t="str">
        <f aca="false">IF(OR(AND($B$9="superior",D706&gt;$B$10),AND($B$9="inferior",D706&lt;-$B$10)),"Rechazar H0","No rechazar H0")</f>
        <v>No rechazar H0</v>
      </c>
      <c r="F706" s="0" t="str">
        <f aca="false">IF(AND(B706="H0 verdadera",E706="Rechazar H0"),"Error tipo I",IF(AND(B706="Ha verdadera",E706="No rechazar H0"),"Error tipo II","Decisión correcta"))</f>
        <v>Error tipo II</v>
      </c>
    </row>
    <row r="707" customFormat="false" ht="15" hidden="false" customHeight="false" outlineLevel="0" collapsed="false">
      <c r="A707" s="0" t="n">
        <v>686</v>
      </c>
      <c r="B707" s="0" t="s">
        <v>86</v>
      </c>
      <c r="C707" s="17" t="n">
        <v>-0.263294391950352</v>
      </c>
      <c r="D707" s="17" t="n">
        <f aca="false">(C707-$B$4)/($B$6/SQRT($B$7))</f>
        <v>-1.31647195975176</v>
      </c>
      <c r="E707" s="0" t="str">
        <f aca="false">IF(OR(AND($B$9="superior",D707&gt;$B$10),AND($B$9="inferior",D707&lt;-$B$10)),"Rechazar H0","No rechazar H0")</f>
        <v>No rechazar H0</v>
      </c>
      <c r="F707" s="0" t="str">
        <f aca="false">IF(AND(B707="H0 verdadera",E707="Rechazar H0"),"Error tipo I",IF(AND(B707="Ha verdadera",E707="No rechazar H0"),"Error tipo II","Decisión correcta"))</f>
        <v>Error tipo II</v>
      </c>
    </row>
    <row r="708" customFormat="false" ht="15" hidden="false" customHeight="false" outlineLevel="0" collapsed="false">
      <c r="A708" s="0" t="n">
        <v>687</v>
      </c>
      <c r="B708" s="0" t="s">
        <v>86</v>
      </c>
      <c r="C708" s="17" t="n">
        <v>-0.417518490249324</v>
      </c>
      <c r="D708" s="17" t="n">
        <f aca="false">(C708-$B$4)/($B$6/SQRT($B$7))</f>
        <v>-2.08759245124662</v>
      </c>
      <c r="E708" s="0" t="str">
        <f aca="false">IF(OR(AND($B$9="superior",D708&gt;$B$10),AND($B$9="inferior",D708&lt;-$B$10)),"Rechazar H0","No rechazar H0")</f>
        <v>Rechazar H0</v>
      </c>
      <c r="F708" s="0" t="str">
        <f aca="false">IF(AND(B708="H0 verdadera",E708="Rechazar H0"),"Error tipo I",IF(AND(B708="Ha verdadera",E708="No rechazar H0"),"Error tipo II","Decisión correcta"))</f>
        <v>Decisión correcta</v>
      </c>
    </row>
    <row r="709" customFormat="false" ht="15" hidden="false" customHeight="false" outlineLevel="0" collapsed="false">
      <c r="A709" s="0" t="n">
        <v>688</v>
      </c>
      <c r="B709" s="0" t="s">
        <v>85</v>
      </c>
      <c r="C709" s="17" t="n">
        <v>-0.0492613799934486</v>
      </c>
      <c r="D709" s="17" t="n">
        <f aca="false">(C709-$B$4)/($B$6/SQRT($B$7))</f>
        <v>-0.246306899967243</v>
      </c>
      <c r="E709" s="0" t="str">
        <f aca="false">IF(OR(AND($B$9="superior",D709&gt;$B$10),AND($B$9="inferior",D709&lt;-$B$10)),"Rechazar H0","No rechazar H0")</f>
        <v>No rechazar H0</v>
      </c>
      <c r="F709" s="0" t="str">
        <f aca="false">IF(AND(B709="H0 verdadera",E709="Rechazar H0"),"Error tipo I",IF(AND(B709="Ha verdadera",E709="No rechazar H0"),"Error tipo II","Decisión correcta"))</f>
        <v>Decisión correcta</v>
      </c>
    </row>
    <row r="710" customFormat="false" ht="15" hidden="false" customHeight="false" outlineLevel="0" collapsed="false">
      <c r="A710" s="0" t="n">
        <v>689</v>
      </c>
      <c r="B710" s="0" t="s">
        <v>86</v>
      </c>
      <c r="C710" s="17" t="n">
        <v>-0.625732851112742</v>
      </c>
      <c r="D710" s="17" t="n">
        <f aca="false">(C710-$B$4)/($B$6/SQRT($B$7))</f>
        <v>-3.12866425556371</v>
      </c>
      <c r="E710" s="0" t="str">
        <f aca="false">IF(OR(AND($B$9="superior",D710&gt;$B$10),AND($B$9="inferior",D710&lt;-$B$10)),"Rechazar H0","No rechazar H0")</f>
        <v>Rechazar H0</v>
      </c>
      <c r="F710" s="0" t="str">
        <f aca="false">IF(AND(B710="H0 verdadera",E710="Rechazar H0"),"Error tipo I",IF(AND(B710="Ha verdadera",E710="No rechazar H0"),"Error tipo II","Decisión correcta"))</f>
        <v>Decisión correcta</v>
      </c>
    </row>
    <row r="711" customFormat="false" ht="15" hidden="false" customHeight="false" outlineLevel="0" collapsed="false">
      <c r="A711" s="0" t="n">
        <v>690</v>
      </c>
      <c r="B711" s="0" t="s">
        <v>86</v>
      </c>
      <c r="C711" s="17" t="n">
        <v>-0.0448621297706658</v>
      </c>
      <c r="D711" s="17" t="n">
        <f aca="false">(C711-$B$4)/($B$6/SQRT($B$7))</f>
        <v>-0.224310648853329</v>
      </c>
      <c r="E711" s="0" t="str">
        <f aca="false">IF(OR(AND($B$9="superior",D711&gt;$B$10),AND($B$9="inferior",D711&lt;-$B$10)),"Rechazar H0","No rechazar H0")</f>
        <v>No rechazar H0</v>
      </c>
      <c r="F711" s="0" t="str">
        <f aca="false">IF(AND(B711="H0 verdadera",E711="Rechazar H0"),"Error tipo I",IF(AND(B711="Ha verdadera",E711="No rechazar H0"),"Error tipo II","Decisión correcta"))</f>
        <v>Error tipo II</v>
      </c>
    </row>
    <row r="712" customFormat="false" ht="15" hidden="false" customHeight="false" outlineLevel="0" collapsed="false">
      <c r="A712" s="0" t="n">
        <v>691</v>
      </c>
      <c r="B712" s="0" t="s">
        <v>85</v>
      </c>
      <c r="C712" s="17" t="n">
        <v>0.158885778992031</v>
      </c>
      <c r="D712" s="17" t="n">
        <f aca="false">(C712-$B$4)/($B$6/SQRT($B$7))</f>
        <v>0.794428894960155</v>
      </c>
      <c r="E712" s="0" t="str">
        <f aca="false">IF(OR(AND($B$9="superior",D712&gt;$B$10),AND($B$9="inferior",D712&lt;-$B$10)),"Rechazar H0","No rechazar H0")</f>
        <v>No rechazar H0</v>
      </c>
      <c r="F712" s="0" t="str">
        <f aca="false">IF(AND(B712="H0 verdadera",E712="Rechazar H0"),"Error tipo I",IF(AND(B712="Ha verdadera",E712="No rechazar H0"),"Error tipo II","Decisión correcta"))</f>
        <v>Decisión correcta</v>
      </c>
    </row>
    <row r="713" customFormat="false" ht="15" hidden="false" customHeight="false" outlineLevel="0" collapsed="false">
      <c r="A713" s="0" t="n">
        <v>692</v>
      </c>
      <c r="B713" s="0" t="s">
        <v>86</v>
      </c>
      <c r="C713" s="17" t="n">
        <v>-0.464629041595006</v>
      </c>
      <c r="D713" s="17" t="n">
        <f aca="false">(C713-$B$4)/($B$6/SQRT($B$7))</f>
        <v>-2.32314520797503</v>
      </c>
      <c r="E713" s="0" t="str">
        <f aca="false">IF(OR(AND($B$9="superior",D713&gt;$B$10),AND($B$9="inferior",D713&lt;-$B$10)),"Rechazar H0","No rechazar H0")</f>
        <v>Rechazar H0</v>
      </c>
      <c r="F713" s="0" t="str">
        <f aca="false">IF(AND(B713="H0 verdadera",E713="Rechazar H0"),"Error tipo I",IF(AND(B713="Ha verdadera",E713="No rechazar H0"),"Error tipo II","Decisión correcta"))</f>
        <v>Decisión correcta</v>
      </c>
    </row>
    <row r="714" customFormat="false" ht="15" hidden="false" customHeight="false" outlineLevel="0" collapsed="false">
      <c r="A714" s="0" t="n">
        <v>693</v>
      </c>
      <c r="B714" s="0" t="s">
        <v>86</v>
      </c>
      <c r="C714" s="17" t="n">
        <v>-0.171779222926279</v>
      </c>
      <c r="D714" s="17" t="n">
        <f aca="false">(C714-$B$4)/($B$6/SQRT($B$7))</f>
        <v>-0.858896114631397</v>
      </c>
      <c r="E714" s="0" t="str">
        <f aca="false">IF(OR(AND($B$9="superior",D714&gt;$B$10),AND($B$9="inferior",D714&lt;-$B$10)),"Rechazar H0","No rechazar H0")</f>
        <v>No rechazar H0</v>
      </c>
      <c r="F714" s="0" t="str">
        <f aca="false">IF(AND(B714="H0 verdadera",E714="Rechazar H0"),"Error tipo I",IF(AND(B714="Ha verdadera",E714="No rechazar H0"),"Error tipo II","Decisión correcta"))</f>
        <v>Error tipo II</v>
      </c>
    </row>
    <row r="715" customFormat="false" ht="15" hidden="false" customHeight="false" outlineLevel="0" collapsed="false">
      <c r="A715" s="0" t="n">
        <v>694</v>
      </c>
      <c r="B715" s="0" t="s">
        <v>85</v>
      </c>
      <c r="C715" s="17" t="n">
        <v>0.0462982923033589</v>
      </c>
      <c r="D715" s="17" t="n">
        <f aca="false">(C715-$B$4)/($B$6/SQRT($B$7))</f>
        <v>0.231491461516794</v>
      </c>
      <c r="E715" s="0" t="str">
        <f aca="false">IF(OR(AND($B$9="superior",D715&gt;$B$10),AND($B$9="inferior",D715&lt;-$B$10)),"Rechazar H0","No rechazar H0")</f>
        <v>No rechazar H0</v>
      </c>
      <c r="F715" s="0" t="str">
        <f aca="false">IF(AND(B715="H0 verdadera",E715="Rechazar H0"),"Error tipo I",IF(AND(B715="Ha verdadera",E715="No rechazar H0"),"Error tipo II","Decisión correcta"))</f>
        <v>Decisión correcta</v>
      </c>
    </row>
    <row r="716" customFormat="false" ht="15" hidden="false" customHeight="false" outlineLevel="0" collapsed="false">
      <c r="A716" s="0" t="n">
        <v>695</v>
      </c>
      <c r="B716" s="0" t="s">
        <v>86</v>
      </c>
      <c r="C716" s="17" t="n">
        <v>-0.556167823555134</v>
      </c>
      <c r="D716" s="17" t="n">
        <f aca="false">(C716-$B$4)/($B$6/SQRT($B$7))</f>
        <v>-2.78083911777567</v>
      </c>
      <c r="E716" s="0" t="str">
        <f aca="false">IF(OR(AND($B$9="superior",D716&gt;$B$10),AND($B$9="inferior",D716&lt;-$B$10)),"Rechazar H0","No rechazar H0")</f>
        <v>Rechazar H0</v>
      </c>
      <c r="F716" s="0" t="str">
        <f aca="false">IF(AND(B716="H0 verdadera",E716="Rechazar H0"),"Error tipo I",IF(AND(B716="Ha verdadera",E716="No rechazar H0"),"Error tipo II","Decisión correcta"))</f>
        <v>Decisión correcta</v>
      </c>
    </row>
    <row r="717" customFormat="false" ht="15" hidden="false" customHeight="false" outlineLevel="0" collapsed="false">
      <c r="A717" s="0" t="n">
        <v>696</v>
      </c>
      <c r="B717" s="0" t="s">
        <v>86</v>
      </c>
      <c r="C717" s="17" t="n">
        <v>-0.265071807114822</v>
      </c>
      <c r="D717" s="17" t="n">
        <f aca="false">(C717-$B$4)/($B$6/SQRT($B$7))</f>
        <v>-1.32535903557411</v>
      </c>
      <c r="E717" s="0" t="str">
        <f aca="false">IF(OR(AND($B$9="superior",D717&gt;$B$10),AND($B$9="inferior",D717&lt;-$B$10)),"Rechazar H0","No rechazar H0")</f>
        <v>No rechazar H0</v>
      </c>
      <c r="F717" s="0" t="str">
        <f aca="false">IF(AND(B717="H0 verdadera",E717="Rechazar H0"),"Error tipo I",IF(AND(B717="Ha verdadera",E717="No rechazar H0"),"Error tipo II","Decisión correcta"))</f>
        <v>Error tipo II</v>
      </c>
    </row>
    <row r="718" customFormat="false" ht="15" hidden="false" customHeight="false" outlineLevel="0" collapsed="false">
      <c r="A718" s="0" t="n">
        <v>697</v>
      </c>
      <c r="B718" s="0" t="s">
        <v>86</v>
      </c>
      <c r="C718" s="17" t="n">
        <v>-0.302581490565265</v>
      </c>
      <c r="D718" s="17" t="n">
        <f aca="false">(C718-$B$4)/($B$6/SQRT($B$7))</f>
        <v>-1.51290745282632</v>
      </c>
      <c r="E718" s="0" t="str">
        <f aca="false">IF(OR(AND($B$9="superior",D718&gt;$B$10),AND($B$9="inferior",D718&lt;-$B$10)),"Rechazar H0","No rechazar H0")</f>
        <v>No rechazar H0</v>
      </c>
      <c r="F718" s="0" t="str">
        <f aca="false">IF(AND(B718="H0 verdadera",E718="Rechazar H0"),"Error tipo I",IF(AND(B718="Ha verdadera",E718="No rechazar H0"),"Error tipo II","Decisión correcta"))</f>
        <v>Error tipo II</v>
      </c>
    </row>
    <row r="719" customFormat="false" ht="15" hidden="false" customHeight="false" outlineLevel="0" collapsed="false">
      <c r="A719" s="0" t="n">
        <v>698</v>
      </c>
      <c r="B719" s="0" t="s">
        <v>86</v>
      </c>
      <c r="C719" s="17" t="n">
        <v>-0.131709649136752</v>
      </c>
      <c r="D719" s="17" t="n">
        <f aca="false">(C719-$B$4)/($B$6/SQRT($B$7))</f>
        <v>-0.65854824568376</v>
      </c>
      <c r="E719" s="0" t="str">
        <f aca="false">IF(OR(AND($B$9="superior",D719&gt;$B$10),AND($B$9="inferior",D719&lt;-$B$10)),"Rechazar H0","No rechazar H0")</f>
        <v>No rechazar H0</v>
      </c>
      <c r="F719" s="0" t="str">
        <f aca="false">IF(AND(B719="H0 verdadera",E719="Rechazar H0"),"Error tipo I",IF(AND(B719="Ha verdadera",E719="No rechazar H0"),"Error tipo II","Decisión correcta"))</f>
        <v>Error tipo II</v>
      </c>
    </row>
    <row r="720" customFormat="false" ht="15" hidden="false" customHeight="false" outlineLevel="0" collapsed="false">
      <c r="A720" s="0" t="n">
        <v>699</v>
      </c>
      <c r="B720" s="0" t="s">
        <v>86</v>
      </c>
      <c r="C720" s="17" t="n">
        <v>-0.32705133882682</v>
      </c>
      <c r="D720" s="17" t="n">
        <f aca="false">(C720-$B$4)/($B$6/SQRT($B$7))</f>
        <v>-1.6352566941341</v>
      </c>
      <c r="E720" s="0" t="str">
        <f aca="false">IF(OR(AND($B$9="superior",D720&gt;$B$10),AND($B$9="inferior",D720&lt;-$B$10)),"Rechazar H0","No rechazar H0")</f>
        <v>No rechazar H0</v>
      </c>
      <c r="F720" s="0" t="str">
        <f aca="false">IF(AND(B720="H0 verdadera",E720="Rechazar H0"),"Error tipo I",IF(AND(B720="Ha verdadera",E720="No rechazar H0"),"Error tipo II","Decisión correcta"))</f>
        <v>Error tipo II</v>
      </c>
    </row>
    <row r="721" customFormat="false" ht="15" hidden="false" customHeight="false" outlineLevel="0" collapsed="false">
      <c r="A721" s="0" t="n">
        <v>700</v>
      </c>
      <c r="B721" s="0" t="s">
        <v>86</v>
      </c>
      <c r="C721" s="17" t="n">
        <v>-0.132487225515818</v>
      </c>
      <c r="D721" s="17" t="n">
        <f aca="false">(C721-$B$4)/($B$6/SQRT($B$7))</f>
        <v>-0.662436127579089</v>
      </c>
      <c r="E721" s="0" t="str">
        <f aca="false">IF(OR(AND($B$9="superior",D721&gt;$B$10),AND($B$9="inferior",D721&lt;-$B$10)),"Rechazar H0","No rechazar H0")</f>
        <v>No rechazar H0</v>
      </c>
      <c r="F721" s="0" t="str">
        <f aca="false">IF(AND(B721="H0 verdadera",E721="Rechazar H0"),"Error tipo I",IF(AND(B721="Ha verdadera",E721="No rechazar H0"),"Error tipo II","Decisión correcta"))</f>
        <v>Error tipo II</v>
      </c>
    </row>
    <row r="722" customFormat="false" ht="15" hidden="false" customHeight="false" outlineLevel="0" collapsed="false">
      <c r="A722" s="0" t="n">
        <v>701</v>
      </c>
      <c r="B722" s="0" t="s">
        <v>85</v>
      </c>
      <c r="C722" s="17" t="n">
        <v>-0.0885685905825889</v>
      </c>
      <c r="D722" s="17" t="n">
        <f aca="false">(C722-$B$4)/($B$6/SQRT($B$7))</f>
        <v>-0.442842952912945</v>
      </c>
      <c r="E722" s="0" t="str">
        <f aca="false">IF(OR(AND($B$9="superior",D722&gt;$B$10),AND($B$9="inferior",D722&lt;-$B$10)),"Rechazar H0","No rechazar H0")</f>
        <v>No rechazar H0</v>
      </c>
      <c r="F722" s="0" t="str">
        <f aca="false">IF(AND(B722="H0 verdadera",E722="Rechazar H0"),"Error tipo I",IF(AND(B722="Ha verdadera",E722="No rechazar H0"),"Error tipo II","Decisión correcta"))</f>
        <v>Decisión correcta</v>
      </c>
    </row>
    <row r="723" customFormat="false" ht="15" hidden="false" customHeight="false" outlineLevel="0" collapsed="false">
      <c r="A723" s="0" t="n">
        <v>702</v>
      </c>
      <c r="B723" s="0" t="s">
        <v>85</v>
      </c>
      <c r="C723" s="17" t="n">
        <v>-0.259663659149779</v>
      </c>
      <c r="D723" s="17" t="n">
        <f aca="false">(C723-$B$4)/($B$6/SQRT($B$7))</f>
        <v>-1.2983182957489</v>
      </c>
      <c r="E723" s="0" t="str">
        <f aca="false">IF(OR(AND($B$9="superior",D723&gt;$B$10),AND($B$9="inferior",D723&lt;-$B$10)),"Rechazar H0","No rechazar H0")</f>
        <v>No rechazar H0</v>
      </c>
      <c r="F723" s="0" t="str">
        <f aca="false">IF(AND(B723="H0 verdadera",E723="Rechazar H0"),"Error tipo I",IF(AND(B723="Ha verdadera",E723="No rechazar H0"),"Error tipo II","Decisión correcta"))</f>
        <v>Decisión correcta</v>
      </c>
    </row>
    <row r="724" customFormat="false" ht="15" hidden="false" customHeight="false" outlineLevel="0" collapsed="false">
      <c r="A724" s="0" t="n">
        <v>703</v>
      </c>
      <c r="B724" s="0" t="s">
        <v>86</v>
      </c>
      <c r="C724" s="17" t="n">
        <v>-0.128270110774918</v>
      </c>
      <c r="D724" s="17" t="n">
        <f aca="false">(C724-$B$4)/($B$6/SQRT($B$7))</f>
        <v>-0.641350553874592</v>
      </c>
      <c r="E724" s="0" t="str">
        <f aca="false">IF(OR(AND($B$9="superior",D724&gt;$B$10),AND($B$9="inferior",D724&lt;-$B$10)),"Rechazar H0","No rechazar H0")</f>
        <v>No rechazar H0</v>
      </c>
      <c r="F724" s="0" t="str">
        <f aca="false">IF(AND(B724="H0 verdadera",E724="Rechazar H0"),"Error tipo I",IF(AND(B724="Ha verdadera",E724="No rechazar H0"),"Error tipo II","Decisión correcta"))</f>
        <v>Error tipo II</v>
      </c>
    </row>
    <row r="725" customFormat="false" ht="15" hidden="false" customHeight="false" outlineLevel="0" collapsed="false">
      <c r="A725" s="0" t="n">
        <v>704</v>
      </c>
      <c r="B725" s="0" t="s">
        <v>85</v>
      </c>
      <c r="C725" s="17" t="n">
        <v>0.015486350950221</v>
      </c>
      <c r="D725" s="17" t="n">
        <f aca="false">(C725-$B$4)/($B$6/SQRT($B$7))</f>
        <v>0.0774317547511051</v>
      </c>
      <c r="E725" s="0" t="str">
        <f aca="false">IF(OR(AND($B$9="superior",D725&gt;$B$10),AND($B$9="inferior",D725&lt;-$B$10)),"Rechazar H0","No rechazar H0")</f>
        <v>No rechazar H0</v>
      </c>
      <c r="F725" s="0" t="str">
        <f aca="false">IF(AND(B725="H0 verdadera",E725="Rechazar H0"),"Error tipo I",IF(AND(B725="Ha verdadera",E725="No rechazar H0"),"Error tipo II","Decisión correcta"))</f>
        <v>Decisión correcta</v>
      </c>
    </row>
    <row r="726" customFormat="false" ht="15" hidden="false" customHeight="false" outlineLevel="0" collapsed="false">
      <c r="A726" s="0" t="n">
        <v>705</v>
      </c>
      <c r="B726" s="0" t="s">
        <v>85</v>
      </c>
      <c r="C726" s="17" t="n">
        <v>-0.143837651876256</v>
      </c>
      <c r="D726" s="17" t="n">
        <f aca="false">(C726-$B$4)/($B$6/SQRT($B$7))</f>
        <v>-0.719188259381278</v>
      </c>
      <c r="E726" s="0" t="str">
        <f aca="false">IF(OR(AND($B$9="superior",D726&gt;$B$10),AND($B$9="inferior",D726&lt;-$B$10)),"Rechazar H0","No rechazar H0")</f>
        <v>No rechazar H0</v>
      </c>
      <c r="F726" s="0" t="str">
        <f aca="false">IF(AND(B726="H0 verdadera",E726="Rechazar H0"),"Error tipo I",IF(AND(B726="Ha verdadera",E726="No rechazar H0"),"Error tipo II","Decisión correcta"))</f>
        <v>Decisión correcta</v>
      </c>
    </row>
    <row r="727" customFormat="false" ht="15" hidden="false" customHeight="false" outlineLevel="0" collapsed="false">
      <c r="A727" s="0" t="n">
        <v>706</v>
      </c>
      <c r="B727" s="0" t="s">
        <v>85</v>
      </c>
      <c r="C727" s="17" t="n">
        <v>-0.340120344181696</v>
      </c>
      <c r="D727" s="17" t="n">
        <f aca="false">(C727-$B$4)/($B$6/SQRT($B$7))</f>
        <v>-1.70060172090848</v>
      </c>
      <c r="E727" s="0" t="str">
        <f aca="false">IF(OR(AND($B$9="superior",D727&gt;$B$10),AND($B$9="inferior",D727&lt;-$B$10)),"Rechazar H0","No rechazar H0")</f>
        <v>Rechazar H0</v>
      </c>
      <c r="F727" s="0" t="str">
        <f aca="false">IF(AND(B727="H0 verdadera",E727="Rechazar H0"),"Error tipo I",IF(AND(B727="Ha verdadera",E727="No rechazar H0"),"Error tipo II","Decisión correcta"))</f>
        <v>Error tipo I</v>
      </c>
    </row>
    <row r="728" customFormat="false" ht="15" hidden="false" customHeight="false" outlineLevel="0" collapsed="false">
      <c r="A728" s="0" t="n">
        <v>707</v>
      </c>
      <c r="B728" s="0" t="s">
        <v>85</v>
      </c>
      <c r="C728" s="17" t="n">
        <v>0.0598578962909966</v>
      </c>
      <c r="D728" s="17" t="n">
        <f aca="false">(C728-$B$4)/($B$6/SQRT($B$7))</f>
        <v>0.299289481454983</v>
      </c>
      <c r="E728" s="0" t="str">
        <f aca="false">IF(OR(AND($B$9="superior",D728&gt;$B$10),AND($B$9="inferior",D728&lt;-$B$10)),"Rechazar H0","No rechazar H0")</f>
        <v>No rechazar H0</v>
      </c>
      <c r="F728" s="0" t="str">
        <f aca="false">IF(AND(B728="H0 verdadera",E728="Rechazar H0"),"Error tipo I",IF(AND(B728="Ha verdadera",E728="No rechazar H0"),"Error tipo II","Decisión correcta"))</f>
        <v>Decisión correcta</v>
      </c>
    </row>
    <row r="729" customFormat="false" ht="15" hidden="false" customHeight="false" outlineLevel="0" collapsed="false">
      <c r="A729" s="0" t="n">
        <v>708</v>
      </c>
      <c r="B729" s="0" t="s">
        <v>86</v>
      </c>
      <c r="C729" s="17" t="n">
        <v>-0.295794345611833</v>
      </c>
      <c r="D729" s="17" t="n">
        <f aca="false">(C729-$B$4)/($B$6/SQRT($B$7))</f>
        <v>-1.47897172805916</v>
      </c>
      <c r="E729" s="0" t="str">
        <f aca="false">IF(OR(AND($B$9="superior",D729&gt;$B$10),AND($B$9="inferior",D729&lt;-$B$10)),"Rechazar H0","No rechazar H0")</f>
        <v>No rechazar H0</v>
      </c>
      <c r="F729" s="0" t="str">
        <f aca="false">IF(AND(B729="H0 verdadera",E729="Rechazar H0"),"Error tipo I",IF(AND(B729="Ha verdadera",E729="No rechazar H0"),"Error tipo II","Decisión correcta"))</f>
        <v>Error tipo II</v>
      </c>
    </row>
    <row r="730" customFormat="false" ht="15" hidden="false" customHeight="false" outlineLevel="0" collapsed="false">
      <c r="A730" s="0" t="n">
        <v>709</v>
      </c>
      <c r="B730" s="0" t="s">
        <v>86</v>
      </c>
      <c r="C730" s="17" t="n">
        <v>-0.460339274309869</v>
      </c>
      <c r="D730" s="17" t="n">
        <f aca="false">(C730-$B$4)/($B$6/SQRT($B$7))</f>
        <v>-2.30169637154934</v>
      </c>
      <c r="E730" s="0" t="str">
        <f aca="false">IF(OR(AND($B$9="superior",D730&gt;$B$10),AND($B$9="inferior",D730&lt;-$B$10)),"Rechazar H0","No rechazar H0")</f>
        <v>Rechazar H0</v>
      </c>
      <c r="F730" s="0" t="str">
        <f aca="false">IF(AND(B730="H0 verdadera",E730="Rechazar H0"),"Error tipo I",IF(AND(B730="Ha verdadera",E730="No rechazar H0"),"Error tipo II","Decisión correcta"))</f>
        <v>Decisión correcta</v>
      </c>
    </row>
    <row r="731" customFormat="false" ht="15" hidden="false" customHeight="false" outlineLevel="0" collapsed="false">
      <c r="A731" s="0" t="n">
        <v>710</v>
      </c>
      <c r="B731" s="0" t="s">
        <v>85</v>
      </c>
      <c r="C731" s="17" t="n">
        <v>-0.360970677509301</v>
      </c>
      <c r="D731" s="17" t="n">
        <f aca="false">(C731-$B$4)/($B$6/SQRT($B$7))</f>
        <v>-1.80485338754651</v>
      </c>
      <c r="E731" s="0" t="str">
        <f aca="false">IF(OR(AND($B$9="superior",D731&gt;$B$10),AND($B$9="inferior",D731&lt;-$B$10)),"Rechazar H0","No rechazar H0")</f>
        <v>Rechazar H0</v>
      </c>
      <c r="F731" s="0" t="str">
        <f aca="false">IF(AND(B731="H0 verdadera",E731="Rechazar H0"),"Error tipo I",IF(AND(B731="Ha verdadera",E731="No rechazar H0"),"Error tipo II","Decisión correcta"))</f>
        <v>Error tipo I</v>
      </c>
    </row>
    <row r="732" customFormat="false" ht="15" hidden="false" customHeight="false" outlineLevel="0" collapsed="false">
      <c r="A732" s="0" t="n">
        <v>711</v>
      </c>
      <c r="B732" s="0" t="s">
        <v>85</v>
      </c>
      <c r="C732" s="17" t="n">
        <v>0.0521701105120721</v>
      </c>
      <c r="D732" s="17" t="n">
        <f aca="false">(C732-$B$4)/($B$6/SQRT($B$7))</f>
        <v>0.26085055256036</v>
      </c>
      <c r="E732" s="0" t="str">
        <f aca="false">IF(OR(AND($B$9="superior",D732&gt;$B$10),AND($B$9="inferior",D732&lt;-$B$10)),"Rechazar H0","No rechazar H0")</f>
        <v>No rechazar H0</v>
      </c>
      <c r="F732" s="0" t="str">
        <f aca="false">IF(AND(B732="H0 verdadera",E732="Rechazar H0"),"Error tipo I",IF(AND(B732="Ha verdadera",E732="No rechazar H0"),"Error tipo II","Decisión correcta"))</f>
        <v>Decisión correcta</v>
      </c>
    </row>
    <row r="733" customFormat="false" ht="15" hidden="false" customHeight="false" outlineLevel="0" collapsed="false">
      <c r="A733" s="0" t="n">
        <v>712</v>
      </c>
      <c r="B733" s="0" t="s">
        <v>86</v>
      </c>
      <c r="C733" s="17" t="n">
        <v>-0.502848899130107</v>
      </c>
      <c r="D733" s="17" t="n">
        <f aca="false">(C733-$B$4)/($B$6/SQRT($B$7))</f>
        <v>-2.51424449565054</v>
      </c>
      <c r="E733" s="0" t="str">
        <f aca="false">IF(OR(AND($B$9="superior",D733&gt;$B$10),AND($B$9="inferior",D733&lt;-$B$10)),"Rechazar H0","No rechazar H0")</f>
        <v>Rechazar H0</v>
      </c>
      <c r="F733" s="0" t="str">
        <f aca="false">IF(AND(B733="H0 verdadera",E733="Rechazar H0"),"Error tipo I",IF(AND(B733="Ha verdadera",E733="No rechazar H0"),"Error tipo II","Decisión correcta"))</f>
        <v>Decisión correcta</v>
      </c>
    </row>
    <row r="734" customFormat="false" ht="15" hidden="false" customHeight="false" outlineLevel="0" collapsed="false">
      <c r="A734" s="0" t="n">
        <v>713</v>
      </c>
      <c r="B734" s="0" t="s">
        <v>85</v>
      </c>
      <c r="C734" s="17" t="n">
        <v>0.0973742374824212</v>
      </c>
      <c r="D734" s="17" t="n">
        <f aca="false">(C734-$B$4)/($B$6/SQRT($B$7))</f>
        <v>0.486871187412106</v>
      </c>
      <c r="E734" s="0" t="str">
        <f aca="false">IF(OR(AND($B$9="superior",D734&gt;$B$10),AND($B$9="inferior",D734&lt;-$B$10)),"Rechazar H0","No rechazar H0")</f>
        <v>No rechazar H0</v>
      </c>
      <c r="F734" s="0" t="str">
        <f aca="false">IF(AND(B734="H0 verdadera",E734="Rechazar H0"),"Error tipo I",IF(AND(B734="Ha verdadera",E734="No rechazar H0"),"Error tipo II","Decisión correcta"))</f>
        <v>Decisión correcta</v>
      </c>
    </row>
    <row r="735" customFormat="false" ht="15" hidden="false" customHeight="false" outlineLevel="0" collapsed="false">
      <c r="A735" s="0" t="n">
        <v>714</v>
      </c>
      <c r="B735" s="0" t="s">
        <v>86</v>
      </c>
      <c r="C735" s="17" t="n">
        <v>-0.119332302932051</v>
      </c>
      <c r="D735" s="17" t="n">
        <f aca="false">(C735-$B$4)/($B$6/SQRT($B$7))</f>
        <v>-0.596661514660256</v>
      </c>
      <c r="E735" s="0" t="str">
        <f aca="false">IF(OR(AND($B$9="superior",D735&gt;$B$10),AND($B$9="inferior",D735&lt;-$B$10)),"Rechazar H0","No rechazar H0")</f>
        <v>No rechazar H0</v>
      </c>
      <c r="F735" s="0" t="str">
        <f aca="false">IF(AND(B735="H0 verdadera",E735="Rechazar H0"),"Error tipo I",IF(AND(B735="Ha verdadera",E735="No rechazar H0"),"Error tipo II","Decisión correcta"))</f>
        <v>Error tipo II</v>
      </c>
    </row>
    <row r="736" customFormat="false" ht="15" hidden="false" customHeight="false" outlineLevel="0" collapsed="false">
      <c r="A736" s="0" t="n">
        <v>715</v>
      </c>
      <c r="B736" s="0" t="s">
        <v>85</v>
      </c>
      <c r="C736" s="17" t="n">
        <v>0.197910746463975</v>
      </c>
      <c r="D736" s="17" t="n">
        <f aca="false">(C736-$B$4)/($B$6/SQRT($B$7))</f>
        <v>0.989553732319876</v>
      </c>
      <c r="E736" s="0" t="str">
        <f aca="false">IF(OR(AND($B$9="superior",D736&gt;$B$10),AND($B$9="inferior",D736&lt;-$B$10)),"Rechazar H0","No rechazar H0")</f>
        <v>No rechazar H0</v>
      </c>
      <c r="F736" s="0" t="str">
        <f aca="false">IF(AND(B736="H0 verdadera",E736="Rechazar H0"),"Error tipo I",IF(AND(B736="Ha verdadera",E736="No rechazar H0"),"Error tipo II","Decisión correcta"))</f>
        <v>Decisión correcta</v>
      </c>
    </row>
    <row r="737" customFormat="false" ht="15" hidden="false" customHeight="false" outlineLevel="0" collapsed="false">
      <c r="A737" s="0" t="n">
        <v>716</v>
      </c>
      <c r="B737" s="0" t="s">
        <v>86</v>
      </c>
      <c r="C737" s="17" t="n">
        <v>-0.710052146892946</v>
      </c>
      <c r="D737" s="17" t="n">
        <f aca="false">(C737-$B$4)/($B$6/SQRT($B$7))</f>
        <v>-3.55026073446473</v>
      </c>
      <c r="E737" s="0" t="str">
        <f aca="false">IF(OR(AND($B$9="superior",D737&gt;$B$10),AND($B$9="inferior",D737&lt;-$B$10)),"Rechazar H0","No rechazar H0")</f>
        <v>Rechazar H0</v>
      </c>
      <c r="F737" s="0" t="str">
        <f aca="false">IF(AND(B737="H0 verdadera",E737="Rechazar H0"),"Error tipo I",IF(AND(B737="Ha verdadera",E737="No rechazar H0"),"Error tipo II","Decisión correcta"))</f>
        <v>Decisión correcta</v>
      </c>
    </row>
    <row r="738" customFormat="false" ht="15" hidden="false" customHeight="false" outlineLevel="0" collapsed="false">
      <c r="A738" s="0" t="n">
        <v>717</v>
      </c>
      <c r="B738" s="0" t="s">
        <v>86</v>
      </c>
      <c r="C738" s="17" t="n">
        <v>-0.31711949831977</v>
      </c>
      <c r="D738" s="17" t="n">
        <f aca="false">(C738-$B$4)/($B$6/SQRT($B$7))</f>
        <v>-1.58559749159885</v>
      </c>
      <c r="E738" s="0" t="str">
        <f aca="false">IF(OR(AND($B$9="superior",D738&gt;$B$10),AND($B$9="inferior",D738&lt;-$B$10)),"Rechazar H0","No rechazar H0")</f>
        <v>No rechazar H0</v>
      </c>
      <c r="F738" s="0" t="str">
        <f aca="false">IF(AND(B738="H0 verdadera",E738="Rechazar H0"),"Error tipo I",IF(AND(B738="Ha verdadera",E738="No rechazar H0"),"Error tipo II","Decisión correcta"))</f>
        <v>Error tipo II</v>
      </c>
    </row>
    <row r="739" customFormat="false" ht="15" hidden="false" customHeight="false" outlineLevel="0" collapsed="false">
      <c r="A739" s="0" t="n">
        <v>718</v>
      </c>
      <c r="B739" s="0" t="s">
        <v>86</v>
      </c>
      <c r="C739" s="17" t="n">
        <v>-0.543591660281374</v>
      </c>
      <c r="D739" s="17" t="n">
        <f aca="false">(C739-$B$4)/($B$6/SQRT($B$7))</f>
        <v>-2.71795830140687</v>
      </c>
      <c r="E739" s="0" t="str">
        <f aca="false">IF(OR(AND($B$9="superior",D739&gt;$B$10),AND($B$9="inferior",D739&lt;-$B$10)),"Rechazar H0","No rechazar H0")</f>
        <v>Rechazar H0</v>
      </c>
      <c r="F739" s="0" t="str">
        <f aca="false">IF(AND(B739="H0 verdadera",E739="Rechazar H0"),"Error tipo I",IF(AND(B739="Ha verdadera",E739="No rechazar H0"),"Error tipo II","Decisión correcta"))</f>
        <v>Decisión correcta</v>
      </c>
    </row>
    <row r="740" customFormat="false" ht="15" hidden="false" customHeight="false" outlineLevel="0" collapsed="false">
      <c r="A740" s="0" t="n">
        <v>719</v>
      </c>
      <c r="B740" s="0" t="s">
        <v>86</v>
      </c>
      <c r="C740" s="17" t="n">
        <v>-0.365420203031147</v>
      </c>
      <c r="D740" s="17" t="n">
        <f aca="false">(C740-$B$4)/($B$6/SQRT($B$7))</f>
        <v>-1.82710101515573</v>
      </c>
      <c r="E740" s="0" t="str">
        <f aca="false">IF(OR(AND($B$9="superior",D740&gt;$B$10),AND($B$9="inferior",D740&lt;-$B$10)),"Rechazar H0","No rechazar H0")</f>
        <v>Rechazar H0</v>
      </c>
      <c r="F740" s="0" t="str">
        <f aca="false">IF(AND(B740="H0 verdadera",E740="Rechazar H0"),"Error tipo I",IF(AND(B740="Ha verdadera",E740="No rechazar H0"),"Error tipo II","Decisión correcta"))</f>
        <v>Decisión correcta</v>
      </c>
    </row>
    <row r="741" customFormat="false" ht="15" hidden="false" customHeight="false" outlineLevel="0" collapsed="false">
      <c r="A741" s="0" t="n">
        <v>720</v>
      </c>
      <c r="B741" s="0" t="s">
        <v>85</v>
      </c>
      <c r="C741" s="17" t="n">
        <v>0.295401332706599</v>
      </c>
      <c r="D741" s="17" t="n">
        <f aca="false">(C741-$B$4)/($B$6/SQRT($B$7))</f>
        <v>1.47700666353299</v>
      </c>
      <c r="E741" s="0" t="str">
        <f aca="false">IF(OR(AND($B$9="superior",D741&gt;$B$10),AND($B$9="inferior",D741&lt;-$B$10)),"Rechazar H0","No rechazar H0")</f>
        <v>No rechazar H0</v>
      </c>
      <c r="F741" s="0" t="str">
        <f aca="false">IF(AND(B741="H0 verdadera",E741="Rechazar H0"),"Error tipo I",IF(AND(B741="Ha verdadera",E741="No rechazar H0"),"Error tipo II","Decisión correcta"))</f>
        <v>Decisión correcta</v>
      </c>
    </row>
    <row r="742" customFormat="false" ht="15" hidden="false" customHeight="false" outlineLevel="0" collapsed="false">
      <c r="A742" s="0" t="n">
        <v>721</v>
      </c>
      <c r="B742" s="0" t="s">
        <v>86</v>
      </c>
      <c r="C742" s="17" t="n">
        <v>-0.136877056155931</v>
      </c>
      <c r="D742" s="17" t="n">
        <f aca="false">(C742-$B$4)/($B$6/SQRT($B$7))</f>
        <v>-0.684385280779655</v>
      </c>
      <c r="E742" s="0" t="str">
        <f aca="false">IF(OR(AND($B$9="superior",D742&gt;$B$10),AND($B$9="inferior",D742&lt;-$B$10)),"Rechazar H0","No rechazar H0")</f>
        <v>No rechazar H0</v>
      </c>
      <c r="F742" s="0" t="str">
        <f aca="false">IF(AND(B742="H0 verdadera",E742="Rechazar H0"),"Error tipo I",IF(AND(B742="Ha verdadera",E742="No rechazar H0"),"Error tipo II","Decisión correcta"))</f>
        <v>Error tipo II</v>
      </c>
    </row>
    <row r="743" customFormat="false" ht="15" hidden="false" customHeight="false" outlineLevel="0" collapsed="false">
      <c r="A743" s="0" t="n">
        <v>722</v>
      </c>
      <c r="B743" s="0" t="s">
        <v>86</v>
      </c>
      <c r="C743" s="17" t="n">
        <v>-0.537373190339231</v>
      </c>
      <c r="D743" s="17" t="n">
        <f aca="false">(C743-$B$4)/($B$6/SQRT($B$7))</f>
        <v>-2.68686595169615</v>
      </c>
      <c r="E743" s="0" t="str">
        <f aca="false">IF(OR(AND($B$9="superior",D743&gt;$B$10),AND($B$9="inferior",D743&lt;-$B$10)),"Rechazar H0","No rechazar H0")</f>
        <v>Rechazar H0</v>
      </c>
      <c r="F743" s="0" t="str">
        <f aca="false">IF(AND(B743="H0 verdadera",E743="Rechazar H0"),"Error tipo I",IF(AND(B743="Ha verdadera",E743="No rechazar H0"),"Error tipo II","Decisión correcta"))</f>
        <v>Decisión correcta</v>
      </c>
    </row>
    <row r="744" customFormat="false" ht="15" hidden="false" customHeight="false" outlineLevel="0" collapsed="false">
      <c r="A744" s="0" t="n">
        <v>723</v>
      </c>
      <c r="B744" s="0" t="s">
        <v>86</v>
      </c>
      <c r="C744" s="17" t="n">
        <v>-0.473116156642498</v>
      </c>
      <c r="D744" s="17" t="n">
        <f aca="false">(C744-$B$4)/($B$6/SQRT($B$7))</f>
        <v>-2.36558078321249</v>
      </c>
      <c r="E744" s="0" t="str">
        <f aca="false">IF(OR(AND($B$9="superior",D744&gt;$B$10),AND($B$9="inferior",D744&lt;-$B$10)),"Rechazar H0","No rechazar H0")</f>
        <v>Rechazar H0</v>
      </c>
      <c r="F744" s="0" t="str">
        <f aca="false">IF(AND(B744="H0 verdadera",E744="Rechazar H0"),"Error tipo I",IF(AND(B744="Ha verdadera",E744="No rechazar H0"),"Error tipo II","Decisión correcta"))</f>
        <v>Decisión correcta</v>
      </c>
    </row>
    <row r="745" customFormat="false" ht="15" hidden="false" customHeight="false" outlineLevel="0" collapsed="false">
      <c r="A745" s="0" t="n">
        <v>724</v>
      </c>
      <c r="B745" s="0" t="s">
        <v>86</v>
      </c>
      <c r="C745" s="17" t="n">
        <v>-0.560846009728065</v>
      </c>
      <c r="D745" s="17" t="n">
        <f aca="false">(C745-$B$4)/($B$6/SQRT($B$7))</f>
        <v>-2.80423004864032</v>
      </c>
      <c r="E745" s="0" t="str">
        <f aca="false">IF(OR(AND($B$9="superior",D745&gt;$B$10),AND($B$9="inferior",D745&lt;-$B$10)),"Rechazar H0","No rechazar H0")</f>
        <v>Rechazar H0</v>
      </c>
      <c r="F745" s="0" t="str">
        <f aca="false">IF(AND(B745="H0 verdadera",E745="Rechazar H0"),"Error tipo I",IF(AND(B745="Ha verdadera",E745="No rechazar H0"),"Error tipo II","Decisión correcta"))</f>
        <v>Decisión correcta</v>
      </c>
    </row>
    <row r="746" customFormat="false" ht="15" hidden="false" customHeight="false" outlineLevel="0" collapsed="false">
      <c r="A746" s="0" t="n">
        <v>725</v>
      </c>
      <c r="B746" s="0" t="s">
        <v>86</v>
      </c>
      <c r="C746" s="17" t="n">
        <v>-0.301817358323803</v>
      </c>
      <c r="D746" s="17" t="n">
        <f aca="false">(C746-$B$4)/($B$6/SQRT($B$7))</f>
        <v>-1.50908679161902</v>
      </c>
      <c r="E746" s="0" t="str">
        <f aca="false">IF(OR(AND($B$9="superior",D746&gt;$B$10),AND($B$9="inferior",D746&lt;-$B$10)),"Rechazar H0","No rechazar H0")</f>
        <v>No rechazar H0</v>
      </c>
      <c r="F746" s="0" t="str">
        <f aca="false">IF(AND(B746="H0 verdadera",E746="Rechazar H0"),"Error tipo I",IF(AND(B746="Ha verdadera",E746="No rechazar H0"),"Error tipo II","Decisión correcta"))</f>
        <v>Error tipo II</v>
      </c>
    </row>
    <row r="747" customFormat="false" ht="15" hidden="false" customHeight="false" outlineLevel="0" collapsed="false">
      <c r="A747" s="0" t="n">
        <v>726</v>
      </c>
      <c r="B747" s="0" t="s">
        <v>86</v>
      </c>
      <c r="C747" s="17" t="n">
        <v>-0.149830810768029</v>
      </c>
      <c r="D747" s="17" t="n">
        <f aca="false">(C747-$B$4)/($B$6/SQRT($B$7))</f>
        <v>-0.749154053840144</v>
      </c>
      <c r="E747" s="0" t="str">
        <f aca="false">IF(OR(AND($B$9="superior",D747&gt;$B$10),AND($B$9="inferior",D747&lt;-$B$10)),"Rechazar H0","No rechazar H0")</f>
        <v>No rechazar H0</v>
      </c>
      <c r="F747" s="0" t="str">
        <f aca="false">IF(AND(B747="H0 verdadera",E747="Rechazar H0"),"Error tipo I",IF(AND(B747="Ha verdadera",E747="No rechazar H0"),"Error tipo II","Decisión correcta"))</f>
        <v>Error tipo II</v>
      </c>
    </row>
    <row r="748" customFormat="false" ht="15" hidden="false" customHeight="false" outlineLevel="0" collapsed="false">
      <c r="A748" s="0" t="n">
        <v>727</v>
      </c>
      <c r="B748" s="0" t="s">
        <v>86</v>
      </c>
      <c r="C748" s="17" t="n">
        <v>-0.155653893788977</v>
      </c>
      <c r="D748" s="17" t="n">
        <f aca="false">(C748-$B$4)/($B$6/SQRT($B$7))</f>
        <v>-0.778269468944885</v>
      </c>
      <c r="E748" s="0" t="str">
        <f aca="false">IF(OR(AND($B$9="superior",D748&gt;$B$10),AND($B$9="inferior",D748&lt;-$B$10)),"Rechazar H0","No rechazar H0")</f>
        <v>No rechazar H0</v>
      </c>
      <c r="F748" s="0" t="str">
        <f aca="false">IF(AND(B748="H0 verdadera",E748="Rechazar H0"),"Error tipo I",IF(AND(B748="Ha verdadera",E748="No rechazar H0"),"Error tipo II","Decisión correcta"))</f>
        <v>Error tipo II</v>
      </c>
    </row>
    <row r="749" customFormat="false" ht="15" hidden="false" customHeight="false" outlineLevel="0" collapsed="false">
      <c r="A749" s="0" t="n">
        <v>728</v>
      </c>
      <c r="B749" s="0" t="s">
        <v>86</v>
      </c>
      <c r="C749" s="17" t="n">
        <v>-0.255326947068209</v>
      </c>
      <c r="D749" s="17" t="n">
        <f aca="false">(C749-$B$4)/($B$6/SQRT($B$7))</f>
        <v>-1.27663473534105</v>
      </c>
      <c r="E749" s="0" t="str">
        <f aca="false">IF(OR(AND($B$9="superior",D749&gt;$B$10),AND($B$9="inferior",D749&lt;-$B$10)),"Rechazar H0","No rechazar H0")</f>
        <v>No rechazar H0</v>
      </c>
      <c r="F749" s="0" t="str">
        <f aca="false">IF(AND(B749="H0 verdadera",E749="Rechazar H0"),"Error tipo I",IF(AND(B749="Ha verdadera",E749="No rechazar H0"),"Error tipo II","Decisión correcta"))</f>
        <v>Error tipo II</v>
      </c>
    </row>
    <row r="750" customFormat="false" ht="15" hidden="false" customHeight="false" outlineLevel="0" collapsed="false">
      <c r="A750" s="0" t="n">
        <v>729</v>
      </c>
      <c r="B750" s="0" t="s">
        <v>86</v>
      </c>
      <c r="C750" s="17" t="n">
        <v>-0.582733059914836</v>
      </c>
      <c r="D750" s="17" t="n">
        <f aca="false">(C750-$B$4)/($B$6/SQRT($B$7))</f>
        <v>-2.91366529957418</v>
      </c>
      <c r="E750" s="0" t="str">
        <f aca="false">IF(OR(AND($B$9="superior",D750&gt;$B$10),AND($B$9="inferior",D750&lt;-$B$10)),"Rechazar H0","No rechazar H0")</f>
        <v>Rechazar H0</v>
      </c>
      <c r="F750" s="0" t="str">
        <f aca="false">IF(AND(B750="H0 verdadera",E750="Rechazar H0"),"Error tipo I",IF(AND(B750="Ha verdadera",E750="No rechazar H0"),"Error tipo II","Decisión correcta"))</f>
        <v>Decisión correcta</v>
      </c>
    </row>
    <row r="751" customFormat="false" ht="15" hidden="false" customHeight="false" outlineLevel="0" collapsed="false">
      <c r="A751" s="0" t="n">
        <v>730</v>
      </c>
      <c r="B751" s="0" t="s">
        <v>86</v>
      </c>
      <c r="C751" s="17" t="n">
        <v>-0.138481527462668</v>
      </c>
      <c r="D751" s="17" t="n">
        <f aca="false">(C751-$B$4)/($B$6/SQRT($B$7))</f>
        <v>-0.692407637313338</v>
      </c>
      <c r="E751" s="0" t="str">
        <f aca="false">IF(OR(AND($B$9="superior",D751&gt;$B$10),AND($B$9="inferior",D751&lt;-$B$10)),"Rechazar H0","No rechazar H0")</f>
        <v>No rechazar H0</v>
      </c>
      <c r="F751" s="0" t="str">
        <f aca="false">IF(AND(B751="H0 verdadera",E751="Rechazar H0"),"Error tipo I",IF(AND(B751="Ha verdadera",E751="No rechazar H0"),"Error tipo II","Decisión correcta"))</f>
        <v>Error tipo II</v>
      </c>
    </row>
    <row r="752" customFormat="false" ht="15" hidden="false" customHeight="false" outlineLevel="0" collapsed="false">
      <c r="A752" s="0" t="n">
        <v>731</v>
      </c>
      <c r="B752" s="0" t="s">
        <v>86</v>
      </c>
      <c r="C752" s="17" t="n">
        <v>-0.540943487917487</v>
      </c>
      <c r="D752" s="17" t="n">
        <f aca="false">(C752-$B$4)/($B$6/SQRT($B$7))</f>
        <v>-2.70471743958743</v>
      </c>
      <c r="E752" s="0" t="str">
        <f aca="false">IF(OR(AND($B$9="superior",D752&gt;$B$10),AND($B$9="inferior",D752&lt;-$B$10)),"Rechazar H0","No rechazar H0")</f>
        <v>Rechazar H0</v>
      </c>
      <c r="F752" s="0" t="str">
        <f aca="false">IF(AND(B752="H0 verdadera",E752="Rechazar H0"),"Error tipo I",IF(AND(B752="Ha verdadera",E752="No rechazar H0"),"Error tipo II","Decisión correcta"))</f>
        <v>Decisión correcta</v>
      </c>
    </row>
    <row r="753" customFormat="false" ht="15" hidden="false" customHeight="false" outlineLevel="0" collapsed="false">
      <c r="A753" s="0" t="n">
        <v>732</v>
      </c>
      <c r="B753" s="0" t="s">
        <v>86</v>
      </c>
      <c r="C753" s="17" t="n">
        <v>-0.508139793777304</v>
      </c>
      <c r="D753" s="17" t="n">
        <f aca="false">(C753-$B$4)/($B$6/SQRT($B$7))</f>
        <v>-2.54069896888652</v>
      </c>
      <c r="E753" s="0" t="str">
        <f aca="false">IF(OR(AND($B$9="superior",D753&gt;$B$10),AND($B$9="inferior",D753&lt;-$B$10)),"Rechazar H0","No rechazar H0")</f>
        <v>Rechazar H0</v>
      </c>
      <c r="F753" s="0" t="str">
        <f aca="false">IF(AND(B753="H0 verdadera",E753="Rechazar H0"),"Error tipo I",IF(AND(B753="Ha verdadera",E753="No rechazar H0"),"Error tipo II","Decisión correcta"))</f>
        <v>Decisión correcta</v>
      </c>
    </row>
    <row r="754" customFormat="false" ht="15" hidden="false" customHeight="false" outlineLevel="0" collapsed="false">
      <c r="A754" s="0" t="n">
        <v>733</v>
      </c>
      <c r="B754" s="0" t="s">
        <v>86</v>
      </c>
      <c r="C754" s="17" t="n">
        <v>-0.490451823679265</v>
      </c>
      <c r="D754" s="17" t="n">
        <f aca="false">(C754-$B$4)/($B$6/SQRT($B$7))</f>
        <v>-2.45225911839632</v>
      </c>
      <c r="E754" s="0" t="str">
        <f aca="false">IF(OR(AND($B$9="superior",D754&gt;$B$10),AND($B$9="inferior",D754&lt;-$B$10)),"Rechazar H0","No rechazar H0")</f>
        <v>Rechazar H0</v>
      </c>
      <c r="F754" s="0" t="str">
        <f aca="false">IF(AND(B754="H0 verdadera",E754="Rechazar H0"),"Error tipo I",IF(AND(B754="Ha verdadera",E754="No rechazar H0"),"Error tipo II","Decisión correcta"))</f>
        <v>Decisión correcta</v>
      </c>
    </row>
    <row r="755" customFormat="false" ht="15" hidden="false" customHeight="false" outlineLevel="0" collapsed="false">
      <c r="A755" s="0" t="n">
        <v>734</v>
      </c>
      <c r="B755" s="0" t="s">
        <v>85</v>
      </c>
      <c r="C755" s="17" t="n">
        <v>0.125929505494559</v>
      </c>
      <c r="D755" s="17" t="n">
        <f aca="false">(C755-$B$4)/($B$6/SQRT($B$7))</f>
        <v>0.629647527472793</v>
      </c>
      <c r="E755" s="0" t="str">
        <f aca="false">IF(OR(AND($B$9="superior",D755&gt;$B$10),AND($B$9="inferior",D755&lt;-$B$10)),"Rechazar H0","No rechazar H0")</f>
        <v>No rechazar H0</v>
      </c>
      <c r="F755" s="0" t="str">
        <f aca="false">IF(AND(B755="H0 verdadera",E755="Rechazar H0"),"Error tipo I",IF(AND(B755="Ha verdadera",E755="No rechazar H0"),"Error tipo II","Decisión correcta"))</f>
        <v>Decisión correcta</v>
      </c>
    </row>
    <row r="756" customFormat="false" ht="15" hidden="false" customHeight="false" outlineLevel="0" collapsed="false">
      <c r="A756" s="0" t="n">
        <v>735</v>
      </c>
      <c r="B756" s="0" t="s">
        <v>85</v>
      </c>
      <c r="C756" s="17" t="n">
        <v>0.161474593814355</v>
      </c>
      <c r="D756" s="17" t="n">
        <f aca="false">(C756-$B$4)/($B$6/SQRT($B$7))</f>
        <v>0.807372969071773</v>
      </c>
      <c r="E756" s="0" t="str">
        <f aca="false">IF(OR(AND($B$9="superior",D756&gt;$B$10),AND($B$9="inferior",D756&lt;-$B$10)),"Rechazar H0","No rechazar H0")</f>
        <v>No rechazar H0</v>
      </c>
      <c r="F756" s="0" t="str">
        <f aca="false">IF(AND(B756="H0 verdadera",E756="Rechazar H0"),"Error tipo I",IF(AND(B756="Ha verdadera",E756="No rechazar H0"),"Error tipo II","Decisión correcta"))</f>
        <v>Decisión correcta</v>
      </c>
    </row>
    <row r="757" customFormat="false" ht="15" hidden="false" customHeight="false" outlineLevel="0" collapsed="false">
      <c r="A757" s="0" t="n">
        <v>736</v>
      </c>
      <c r="B757" s="0" t="s">
        <v>85</v>
      </c>
      <c r="C757" s="17" t="n">
        <v>-0.236994109335653</v>
      </c>
      <c r="D757" s="17" t="n">
        <f aca="false">(C757-$B$4)/($B$6/SQRT($B$7))</f>
        <v>-1.18497054667826</v>
      </c>
      <c r="E757" s="0" t="str">
        <f aca="false">IF(OR(AND($B$9="superior",D757&gt;$B$10),AND($B$9="inferior",D757&lt;-$B$10)),"Rechazar H0","No rechazar H0")</f>
        <v>No rechazar H0</v>
      </c>
      <c r="F757" s="0" t="str">
        <f aca="false">IF(AND(B757="H0 verdadera",E757="Rechazar H0"),"Error tipo I",IF(AND(B757="Ha verdadera",E757="No rechazar H0"),"Error tipo II","Decisión correcta"))</f>
        <v>Decisión correcta</v>
      </c>
    </row>
    <row r="758" customFormat="false" ht="15" hidden="false" customHeight="false" outlineLevel="0" collapsed="false">
      <c r="A758" s="0" t="n">
        <v>737</v>
      </c>
      <c r="B758" s="0" t="s">
        <v>85</v>
      </c>
      <c r="C758" s="17" t="n">
        <v>0.00170849499604468</v>
      </c>
      <c r="D758" s="17" t="n">
        <f aca="false">(C758-$B$4)/($B$6/SQRT($B$7))</f>
        <v>0.00854247498022338</v>
      </c>
      <c r="E758" s="0" t="str">
        <f aca="false">IF(OR(AND($B$9="superior",D758&gt;$B$10),AND($B$9="inferior",D758&lt;-$B$10)),"Rechazar H0","No rechazar H0")</f>
        <v>No rechazar H0</v>
      </c>
      <c r="F758" s="0" t="str">
        <f aca="false">IF(AND(B758="H0 verdadera",E758="Rechazar H0"),"Error tipo I",IF(AND(B758="Ha verdadera",E758="No rechazar H0"),"Error tipo II","Decisión correcta"))</f>
        <v>Decisión correcta</v>
      </c>
    </row>
    <row r="759" customFormat="false" ht="15" hidden="false" customHeight="false" outlineLevel="0" collapsed="false">
      <c r="A759" s="0" t="n">
        <v>738</v>
      </c>
      <c r="B759" s="0" t="s">
        <v>86</v>
      </c>
      <c r="C759" s="17" t="n">
        <v>-0.645835655383789</v>
      </c>
      <c r="D759" s="17" t="n">
        <f aca="false">(C759-$B$4)/($B$6/SQRT($B$7))</f>
        <v>-3.22917827691895</v>
      </c>
      <c r="E759" s="0" t="str">
        <f aca="false">IF(OR(AND($B$9="superior",D759&gt;$B$10),AND($B$9="inferior",D759&lt;-$B$10)),"Rechazar H0","No rechazar H0")</f>
        <v>Rechazar H0</v>
      </c>
      <c r="F759" s="0" t="str">
        <f aca="false">IF(AND(B759="H0 verdadera",E759="Rechazar H0"),"Error tipo I",IF(AND(B759="Ha verdadera",E759="No rechazar H0"),"Error tipo II","Decisión correcta"))</f>
        <v>Decisión correcta</v>
      </c>
    </row>
    <row r="760" customFormat="false" ht="15" hidden="false" customHeight="false" outlineLevel="0" collapsed="false">
      <c r="A760" s="0" t="n">
        <v>739</v>
      </c>
      <c r="B760" s="0" t="s">
        <v>86</v>
      </c>
      <c r="C760" s="17" t="n">
        <v>-0.567470348941097</v>
      </c>
      <c r="D760" s="17" t="n">
        <f aca="false">(C760-$B$4)/($B$6/SQRT($B$7))</f>
        <v>-2.83735174470549</v>
      </c>
      <c r="E760" s="0" t="str">
        <f aca="false">IF(OR(AND($B$9="superior",D760&gt;$B$10),AND($B$9="inferior",D760&lt;-$B$10)),"Rechazar H0","No rechazar H0")</f>
        <v>Rechazar H0</v>
      </c>
      <c r="F760" s="0" t="str">
        <f aca="false">IF(AND(B760="H0 verdadera",E760="Rechazar H0"),"Error tipo I",IF(AND(B760="Ha verdadera",E760="No rechazar H0"),"Error tipo II","Decisión correcta"))</f>
        <v>Decisión correcta</v>
      </c>
    </row>
    <row r="761" customFormat="false" ht="15" hidden="false" customHeight="false" outlineLevel="0" collapsed="false">
      <c r="A761" s="0" t="n">
        <v>740</v>
      </c>
      <c r="B761" s="0" t="s">
        <v>85</v>
      </c>
      <c r="C761" s="17" t="n">
        <v>0.0475876854423808</v>
      </c>
      <c r="D761" s="17" t="n">
        <f aca="false">(C761-$B$4)/($B$6/SQRT($B$7))</f>
        <v>0.237938427211904</v>
      </c>
      <c r="E761" s="0" t="str">
        <f aca="false">IF(OR(AND($B$9="superior",D761&gt;$B$10),AND($B$9="inferior",D761&lt;-$B$10)),"Rechazar H0","No rechazar H0")</f>
        <v>No rechazar H0</v>
      </c>
      <c r="F761" s="0" t="str">
        <f aca="false">IF(AND(B761="H0 verdadera",E761="Rechazar H0"),"Error tipo I",IF(AND(B761="Ha verdadera",E761="No rechazar H0"),"Error tipo II","Decisión correcta"))</f>
        <v>Decisión correcta</v>
      </c>
    </row>
    <row r="762" customFormat="false" ht="15" hidden="false" customHeight="false" outlineLevel="0" collapsed="false">
      <c r="A762" s="0" t="n">
        <v>741</v>
      </c>
      <c r="B762" s="0" t="s">
        <v>86</v>
      </c>
      <c r="C762" s="17" t="n">
        <v>-0.362922838550346</v>
      </c>
      <c r="D762" s="17" t="n">
        <f aca="false">(C762-$B$4)/($B$6/SQRT($B$7))</f>
        <v>-1.81461419275173</v>
      </c>
      <c r="E762" s="0" t="str">
        <f aca="false">IF(OR(AND($B$9="superior",D762&gt;$B$10),AND($B$9="inferior",D762&lt;-$B$10)),"Rechazar H0","No rechazar H0")</f>
        <v>Rechazar H0</v>
      </c>
      <c r="F762" s="0" t="str">
        <f aca="false">IF(AND(B762="H0 verdadera",E762="Rechazar H0"),"Error tipo I",IF(AND(B762="Ha verdadera",E762="No rechazar H0"),"Error tipo II","Decisión correcta"))</f>
        <v>Decisión correcta</v>
      </c>
    </row>
    <row r="763" customFormat="false" ht="15" hidden="false" customHeight="false" outlineLevel="0" collapsed="false">
      <c r="A763" s="0" t="n">
        <v>742</v>
      </c>
      <c r="B763" s="0" t="s">
        <v>85</v>
      </c>
      <c r="C763" s="17" t="n">
        <v>0.077439129569252</v>
      </c>
      <c r="D763" s="17" t="n">
        <f aca="false">(C763-$B$4)/($B$6/SQRT($B$7))</f>
        <v>0.38719564784626</v>
      </c>
      <c r="E763" s="0" t="str">
        <f aca="false">IF(OR(AND($B$9="superior",D763&gt;$B$10),AND($B$9="inferior",D763&lt;-$B$10)),"Rechazar H0","No rechazar H0")</f>
        <v>No rechazar H0</v>
      </c>
      <c r="F763" s="0" t="str">
        <f aca="false">IF(AND(B763="H0 verdadera",E763="Rechazar H0"),"Error tipo I",IF(AND(B763="Ha verdadera",E763="No rechazar H0"),"Error tipo II","Decisión correcta"))</f>
        <v>Decisión correcta</v>
      </c>
    </row>
    <row r="764" customFormat="false" ht="15" hidden="false" customHeight="false" outlineLevel="0" collapsed="false">
      <c r="A764" s="0" t="n">
        <v>743</v>
      </c>
      <c r="B764" s="0" t="s">
        <v>86</v>
      </c>
      <c r="C764" s="17" t="n">
        <v>-0.207713976193524</v>
      </c>
      <c r="D764" s="17" t="n">
        <f aca="false">(C764-$B$4)/($B$6/SQRT($B$7))</f>
        <v>-1.03856988096762</v>
      </c>
      <c r="E764" s="0" t="str">
        <f aca="false">IF(OR(AND($B$9="superior",D764&gt;$B$10),AND($B$9="inferior",D764&lt;-$B$10)),"Rechazar H0","No rechazar H0")</f>
        <v>No rechazar H0</v>
      </c>
      <c r="F764" s="0" t="str">
        <f aca="false">IF(AND(B764="H0 verdadera",E764="Rechazar H0"),"Error tipo I",IF(AND(B764="Ha verdadera",E764="No rechazar H0"),"Error tipo II","Decisión correcta"))</f>
        <v>Error tipo II</v>
      </c>
    </row>
    <row r="765" customFormat="false" ht="15" hidden="false" customHeight="false" outlineLevel="0" collapsed="false">
      <c r="A765" s="0" t="n">
        <v>744</v>
      </c>
      <c r="B765" s="0" t="s">
        <v>85</v>
      </c>
      <c r="C765" s="17" t="n">
        <v>-0.00871547219110319</v>
      </c>
      <c r="D765" s="17" t="n">
        <f aca="false">(C765-$B$4)/($B$6/SQRT($B$7))</f>
        <v>-0.0435773609555159</v>
      </c>
      <c r="E765" s="0" t="str">
        <f aca="false">IF(OR(AND($B$9="superior",D765&gt;$B$10),AND($B$9="inferior",D765&lt;-$B$10)),"Rechazar H0","No rechazar H0")</f>
        <v>No rechazar H0</v>
      </c>
      <c r="F765" s="0" t="str">
        <f aca="false">IF(AND(B765="H0 verdadera",E765="Rechazar H0"),"Error tipo I",IF(AND(B765="Ha verdadera",E765="No rechazar H0"),"Error tipo II","Decisión correcta"))</f>
        <v>Decisión correcta</v>
      </c>
    </row>
    <row r="766" customFormat="false" ht="15" hidden="false" customHeight="false" outlineLevel="0" collapsed="false">
      <c r="A766" s="0" t="n">
        <v>745</v>
      </c>
      <c r="B766" s="0" t="s">
        <v>86</v>
      </c>
      <c r="C766" s="17" t="n">
        <v>-0.34326695728639</v>
      </c>
      <c r="D766" s="17" t="n">
        <f aca="false">(C766-$B$4)/($B$6/SQRT($B$7))</f>
        <v>-1.71633478643195</v>
      </c>
      <c r="E766" s="0" t="str">
        <f aca="false">IF(OR(AND($B$9="superior",D766&gt;$B$10),AND($B$9="inferior",D766&lt;-$B$10)),"Rechazar H0","No rechazar H0")</f>
        <v>Rechazar H0</v>
      </c>
      <c r="F766" s="0" t="str">
        <f aca="false">IF(AND(B766="H0 verdadera",E766="Rechazar H0"),"Error tipo I",IF(AND(B766="Ha verdadera",E766="No rechazar H0"),"Error tipo II","Decisión correcta"))</f>
        <v>Decisión correcta</v>
      </c>
    </row>
    <row r="767" customFormat="false" ht="15" hidden="false" customHeight="false" outlineLevel="0" collapsed="false">
      <c r="A767" s="0" t="n">
        <v>746</v>
      </c>
      <c r="B767" s="0" t="s">
        <v>86</v>
      </c>
      <c r="C767" s="17" t="n">
        <v>-0.237677666847251</v>
      </c>
      <c r="D767" s="17" t="n">
        <f aca="false">(C767-$B$4)/($B$6/SQRT($B$7))</f>
        <v>-1.18838833423625</v>
      </c>
      <c r="E767" s="0" t="str">
        <f aca="false">IF(OR(AND($B$9="superior",D767&gt;$B$10),AND($B$9="inferior",D767&lt;-$B$10)),"Rechazar H0","No rechazar H0")</f>
        <v>No rechazar H0</v>
      </c>
      <c r="F767" s="0" t="str">
        <f aca="false">IF(AND(B767="H0 verdadera",E767="Rechazar H0"),"Error tipo I",IF(AND(B767="Ha verdadera",E767="No rechazar H0"),"Error tipo II","Decisión correcta"))</f>
        <v>Error tipo II</v>
      </c>
    </row>
    <row r="768" customFormat="false" ht="15" hidden="false" customHeight="false" outlineLevel="0" collapsed="false">
      <c r="A768" s="0" t="n">
        <v>747</v>
      </c>
      <c r="B768" s="0" t="s">
        <v>86</v>
      </c>
      <c r="C768" s="17" t="n">
        <v>-0.288760217198409</v>
      </c>
      <c r="D768" s="17" t="n">
        <f aca="false">(C768-$B$4)/($B$6/SQRT($B$7))</f>
        <v>-1.44380108599205</v>
      </c>
      <c r="E768" s="0" t="str">
        <f aca="false">IF(OR(AND($B$9="superior",D768&gt;$B$10),AND($B$9="inferior",D768&lt;-$B$10)),"Rechazar H0","No rechazar H0")</f>
        <v>No rechazar H0</v>
      </c>
      <c r="F768" s="0" t="str">
        <f aca="false">IF(AND(B768="H0 verdadera",E768="Rechazar H0"),"Error tipo I",IF(AND(B768="Ha verdadera",E768="No rechazar H0"),"Error tipo II","Decisión correcta"))</f>
        <v>Error tipo II</v>
      </c>
    </row>
    <row r="769" customFormat="false" ht="15" hidden="false" customHeight="false" outlineLevel="0" collapsed="false">
      <c r="A769" s="0" t="n">
        <v>748</v>
      </c>
      <c r="B769" s="0" t="s">
        <v>85</v>
      </c>
      <c r="C769" s="17" t="n">
        <v>-0.131505132242175</v>
      </c>
      <c r="D769" s="17" t="n">
        <f aca="false">(C769-$B$4)/($B$6/SQRT($B$7))</f>
        <v>-0.657525661210877</v>
      </c>
      <c r="E769" s="0" t="str">
        <f aca="false">IF(OR(AND($B$9="superior",D769&gt;$B$10),AND($B$9="inferior",D769&lt;-$B$10)),"Rechazar H0","No rechazar H0")</f>
        <v>No rechazar H0</v>
      </c>
      <c r="F769" s="0" t="str">
        <f aca="false">IF(AND(B769="H0 verdadera",E769="Rechazar H0"),"Error tipo I",IF(AND(B769="Ha verdadera",E769="No rechazar H0"),"Error tipo II","Decisión correcta"))</f>
        <v>Decisión correcta</v>
      </c>
    </row>
    <row r="770" customFormat="false" ht="15" hidden="false" customHeight="false" outlineLevel="0" collapsed="false">
      <c r="A770" s="0" t="n">
        <v>749</v>
      </c>
      <c r="B770" s="0" t="s">
        <v>86</v>
      </c>
      <c r="C770" s="17" t="n">
        <v>-0.603884054830991</v>
      </c>
      <c r="D770" s="17" t="n">
        <f aca="false">(C770-$B$4)/($B$6/SQRT($B$7))</f>
        <v>-3.01942027415495</v>
      </c>
      <c r="E770" s="0" t="str">
        <f aca="false">IF(OR(AND($B$9="superior",D770&gt;$B$10),AND($B$9="inferior",D770&lt;-$B$10)),"Rechazar H0","No rechazar H0")</f>
        <v>Rechazar H0</v>
      </c>
      <c r="F770" s="0" t="str">
        <f aca="false">IF(AND(B770="H0 verdadera",E770="Rechazar H0"),"Error tipo I",IF(AND(B770="Ha verdadera",E770="No rechazar H0"),"Error tipo II","Decisión correcta"))</f>
        <v>Decisión correcta</v>
      </c>
    </row>
    <row r="771" customFormat="false" ht="15" hidden="false" customHeight="false" outlineLevel="0" collapsed="false">
      <c r="A771" s="0" t="n">
        <v>750</v>
      </c>
      <c r="B771" s="0" t="s">
        <v>86</v>
      </c>
      <c r="C771" s="17" t="n">
        <v>-0.180093254301604</v>
      </c>
      <c r="D771" s="17" t="n">
        <f aca="false">(C771-$B$4)/($B$6/SQRT($B$7))</f>
        <v>-0.90046627150802</v>
      </c>
      <c r="E771" s="0" t="str">
        <f aca="false">IF(OR(AND($B$9="superior",D771&gt;$B$10),AND($B$9="inferior",D771&lt;-$B$10)),"Rechazar H0","No rechazar H0")</f>
        <v>No rechazar H0</v>
      </c>
      <c r="F771" s="0" t="str">
        <f aca="false">IF(AND(B771="H0 verdadera",E771="Rechazar H0"),"Error tipo I",IF(AND(B771="Ha verdadera",E771="No rechazar H0"),"Error tipo II","Decisión correcta"))</f>
        <v>Error tipo II</v>
      </c>
    </row>
    <row r="772" customFormat="false" ht="15" hidden="false" customHeight="false" outlineLevel="0" collapsed="false">
      <c r="A772" s="0" t="n">
        <v>751</v>
      </c>
      <c r="B772" s="0" t="s">
        <v>86</v>
      </c>
      <c r="C772" s="17" t="n">
        <v>-0.102185504473107</v>
      </c>
      <c r="D772" s="17" t="n">
        <f aca="false">(C772-$B$4)/($B$6/SQRT($B$7))</f>
        <v>-0.510927522365537</v>
      </c>
      <c r="E772" s="0" t="str">
        <f aca="false">IF(OR(AND($B$9="superior",D772&gt;$B$10),AND($B$9="inferior",D772&lt;-$B$10)),"Rechazar H0","No rechazar H0")</f>
        <v>No rechazar H0</v>
      </c>
      <c r="F772" s="0" t="str">
        <f aca="false">IF(AND(B772="H0 verdadera",E772="Rechazar H0"),"Error tipo I",IF(AND(B772="Ha verdadera",E772="No rechazar H0"),"Error tipo II","Decisión correcta"))</f>
        <v>Error tipo II</v>
      </c>
    </row>
    <row r="773" customFormat="false" ht="15" hidden="false" customHeight="false" outlineLevel="0" collapsed="false">
      <c r="A773" s="0" t="n">
        <v>752</v>
      </c>
      <c r="B773" s="0" t="s">
        <v>85</v>
      </c>
      <c r="C773" s="17" t="n">
        <v>0.0613322322665043</v>
      </c>
      <c r="D773" s="17" t="n">
        <f aca="false">(C773-$B$4)/($B$6/SQRT($B$7))</f>
        <v>0.306661161332522</v>
      </c>
      <c r="E773" s="0" t="str">
        <f aca="false">IF(OR(AND($B$9="superior",D773&gt;$B$10),AND($B$9="inferior",D773&lt;-$B$10)),"Rechazar H0","No rechazar H0")</f>
        <v>No rechazar H0</v>
      </c>
      <c r="F773" s="0" t="str">
        <f aca="false">IF(AND(B773="H0 verdadera",E773="Rechazar H0"),"Error tipo I",IF(AND(B773="Ha verdadera",E773="No rechazar H0"),"Error tipo II","Decisión correcta"))</f>
        <v>Decisión correcta</v>
      </c>
    </row>
    <row r="774" customFormat="false" ht="15" hidden="false" customHeight="false" outlineLevel="0" collapsed="false">
      <c r="A774" s="0" t="n">
        <v>753</v>
      </c>
      <c r="B774" s="0" t="s">
        <v>86</v>
      </c>
      <c r="C774" s="17" t="n">
        <v>-0.624995916950922</v>
      </c>
      <c r="D774" s="17" t="n">
        <f aca="false">(C774-$B$4)/($B$6/SQRT($B$7))</f>
        <v>-3.12497958475461</v>
      </c>
      <c r="E774" s="0" t="str">
        <f aca="false">IF(OR(AND($B$9="superior",D774&gt;$B$10),AND($B$9="inferior",D774&lt;-$B$10)),"Rechazar H0","No rechazar H0")</f>
        <v>Rechazar H0</v>
      </c>
      <c r="F774" s="0" t="str">
        <f aca="false">IF(AND(B774="H0 verdadera",E774="Rechazar H0"),"Error tipo I",IF(AND(B774="Ha verdadera",E774="No rechazar H0"),"Error tipo II","Decisión correcta"))</f>
        <v>Decisión correcta</v>
      </c>
    </row>
    <row r="775" customFormat="false" ht="15" hidden="false" customHeight="false" outlineLevel="0" collapsed="false">
      <c r="A775" s="0" t="n">
        <v>754</v>
      </c>
      <c r="B775" s="0" t="s">
        <v>85</v>
      </c>
      <c r="C775" s="17" t="n">
        <v>-0.144336381692531</v>
      </c>
      <c r="D775" s="17" t="n">
        <f aca="false">(C775-$B$4)/($B$6/SQRT($B$7))</f>
        <v>-0.721681908462653</v>
      </c>
      <c r="E775" s="0" t="str">
        <f aca="false">IF(OR(AND($B$9="superior",D775&gt;$B$10),AND($B$9="inferior",D775&lt;-$B$10)),"Rechazar H0","No rechazar H0")</f>
        <v>No rechazar H0</v>
      </c>
      <c r="F775" s="0" t="str">
        <f aca="false">IF(AND(B775="H0 verdadera",E775="Rechazar H0"),"Error tipo I",IF(AND(B775="Ha verdadera",E775="No rechazar H0"),"Error tipo II","Decisión correcta"))</f>
        <v>Decisión correcta</v>
      </c>
    </row>
    <row r="776" customFormat="false" ht="15" hidden="false" customHeight="false" outlineLevel="0" collapsed="false">
      <c r="A776" s="0" t="n">
        <v>755</v>
      </c>
      <c r="B776" s="0" t="s">
        <v>85</v>
      </c>
      <c r="C776" s="17" t="n">
        <v>-0.145269231528149</v>
      </c>
      <c r="D776" s="17" t="n">
        <f aca="false">(C776-$B$4)/($B$6/SQRT($B$7))</f>
        <v>-0.726346157640746</v>
      </c>
      <c r="E776" s="0" t="str">
        <f aca="false">IF(OR(AND($B$9="superior",D776&gt;$B$10),AND($B$9="inferior",D776&lt;-$B$10)),"Rechazar H0","No rechazar H0")</f>
        <v>No rechazar H0</v>
      </c>
      <c r="F776" s="0" t="str">
        <f aca="false">IF(AND(B776="H0 verdadera",E776="Rechazar H0"),"Error tipo I",IF(AND(B776="Ha verdadera",E776="No rechazar H0"),"Error tipo II","Decisión correcta"))</f>
        <v>Decisión correcta</v>
      </c>
    </row>
    <row r="777" customFormat="false" ht="15" hidden="false" customHeight="false" outlineLevel="0" collapsed="false">
      <c r="A777" s="0" t="n">
        <v>756</v>
      </c>
      <c r="B777" s="0" t="s">
        <v>85</v>
      </c>
      <c r="C777" s="17" t="n">
        <v>0.0355957808003142</v>
      </c>
      <c r="D777" s="17" t="n">
        <f aca="false">(C777-$B$4)/($B$6/SQRT($B$7))</f>
        <v>0.177978904001571</v>
      </c>
      <c r="E777" s="0" t="str">
        <f aca="false">IF(OR(AND($B$9="superior",D777&gt;$B$10),AND($B$9="inferior",D777&lt;-$B$10)),"Rechazar H0","No rechazar H0")</f>
        <v>No rechazar H0</v>
      </c>
      <c r="F777" s="0" t="str">
        <f aca="false">IF(AND(B777="H0 verdadera",E777="Rechazar H0"),"Error tipo I",IF(AND(B777="Ha verdadera",E777="No rechazar H0"),"Error tipo II","Decisión correcta"))</f>
        <v>Decisión correcta</v>
      </c>
    </row>
    <row r="778" customFormat="false" ht="15" hidden="false" customHeight="false" outlineLevel="0" collapsed="false">
      <c r="A778" s="0" t="n">
        <v>757</v>
      </c>
      <c r="B778" s="0" t="s">
        <v>86</v>
      </c>
      <c r="C778" s="17" t="n">
        <v>-0.684102129699023</v>
      </c>
      <c r="D778" s="17" t="n">
        <f aca="false">(C778-$B$4)/($B$6/SQRT($B$7))</f>
        <v>-3.42051064849512</v>
      </c>
      <c r="E778" s="0" t="str">
        <f aca="false">IF(OR(AND($B$9="superior",D778&gt;$B$10),AND($B$9="inferior",D778&lt;-$B$10)),"Rechazar H0","No rechazar H0")</f>
        <v>Rechazar H0</v>
      </c>
      <c r="F778" s="0" t="str">
        <f aca="false">IF(AND(B778="H0 verdadera",E778="Rechazar H0"),"Error tipo I",IF(AND(B778="Ha verdadera",E778="No rechazar H0"),"Error tipo II","Decisión correcta"))</f>
        <v>Decisión correcta</v>
      </c>
    </row>
    <row r="779" customFormat="false" ht="15" hidden="false" customHeight="false" outlineLevel="0" collapsed="false">
      <c r="A779" s="0" t="n">
        <v>758</v>
      </c>
      <c r="B779" s="0" t="s">
        <v>86</v>
      </c>
      <c r="C779" s="17" t="n">
        <v>-0.343050768117769</v>
      </c>
      <c r="D779" s="17" t="n">
        <f aca="false">(C779-$B$4)/($B$6/SQRT($B$7))</f>
        <v>-1.71525384058885</v>
      </c>
      <c r="E779" s="0" t="str">
        <f aca="false">IF(OR(AND($B$9="superior",D779&gt;$B$10),AND($B$9="inferior",D779&lt;-$B$10)),"Rechazar H0","No rechazar H0")</f>
        <v>Rechazar H0</v>
      </c>
      <c r="F779" s="0" t="str">
        <f aca="false">IF(AND(B779="H0 verdadera",E779="Rechazar H0"),"Error tipo I",IF(AND(B779="Ha verdadera",E779="No rechazar H0"),"Error tipo II","Decisión correcta"))</f>
        <v>Decisión correcta</v>
      </c>
    </row>
    <row r="780" customFormat="false" ht="15" hidden="false" customHeight="false" outlineLevel="0" collapsed="false">
      <c r="A780" s="0" t="n">
        <v>759</v>
      </c>
      <c r="B780" s="0" t="s">
        <v>86</v>
      </c>
      <c r="C780" s="17" t="n">
        <v>-0.218510397341519</v>
      </c>
      <c r="D780" s="17" t="n">
        <f aca="false">(C780-$B$4)/($B$6/SQRT($B$7))</f>
        <v>-1.0925519867076</v>
      </c>
      <c r="E780" s="0" t="str">
        <f aca="false">IF(OR(AND($B$9="superior",D780&gt;$B$10),AND($B$9="inferior",D780&lt;-$B$10)),"Rechazar H0","No rechazar H0")</f>
        <v>No rechazar H0</v>
      </c>
      <c r="F780" s="0" t="str">
        <f aca="false">IF(AND(B780="H0 verdadera",E780="Rechazar H0"),"Error tipo I",IF(AND(B780="Ha verdadera",E780="No rechazar H0"),"Error tipo II","Decisión correcta"))</f>
        <v>Error tipo II</v>
      </c>
    </row>
    <row r="781" customFormat="false" ht="15" hidden="false" customHeight="false" outlineLevel="0" collapsed="false">
      <c r="A781" s="0" t="n">
        <v>760</v>
      </c>
      <c r="B781" s="0" t="s">
        <v>86</v>
      </c>
      <c r="C781" s="17" t="n">
        <v>-0.210283617539926</v>
      </c>
      <c r="D781" s="17" t="n">
        <f aca="false">(C781-$B$4)/($B$6/SQRT($B$7))</f>
        <v>-1.05141808769963</v>
      </c>
      <c r="E781" s="0" t="str">
        <f aca="false">IF(OR(AND($B$9="superior",D781&gt;$B$10),AND($B$9="inferior",D781&lt;-$B$10)),"Rechazar H0","No rechazar H0")</f>
        <v>No rechazar H0</v>
      </c>
      <c r="F781" s="0" t="str">
        <f aca="false">IF(AND(B781="H0 verdadera",E781="Rechazar H0"),"Error tipo I",IF(AND(B781="Ha verdadera",E781="No rechazar H0"),"Error tipo II","Decisión correcta"))</f>
        <v>Error tipo II</v>
      </c>
    </row>
    <row r="782" customFormat="false" ht="15" hidden="false" customHeight="false" outlineLevel="0" collapsed="false">
      <c r="A782" s="0" t="n">
        <v>761</v>
      </c>
      <c r="B782" s="0" t="s">
        <v>86</v>
      </c>
      <c r="C782" s="17" t="n">
        <v>-0.508394433062136</v>
      </c>
      <c r="D782" s="17" t="n">
        <f aca="false">(C782-$B$4)/($B$6/SQRT($B$7))</f>
        <v>-2.54197216531068</v>
      </c>
      <c r="E782" s="0" t="str">
        <f aca="false">IF(OR(AND($B$9="superior",D782&gt;$B$10),AND($B$9="inferior",D782&lt;-$B$10)),"Rechazar H0","No rechazar H0")</f>
        <v>Rechazar H0</v>
      </c>
      <c r="F782" s="0" t="str">
        <f aca="false">IF(AND(B782="H0 verdadera",E782="Rechazar H0"),"Error tipo I",IF(AND(B782="Ha verdadera",E782="No rechazar H0"),"Error tipo II","Decisión correcta"))</f>
        <v>Decisión correcta</v>
      </c>
    </row>
    <row r="783" customFormat="false" ht="15" hidden="false" customHeight="false" outlineLevel="0" collapsed="false">
      <c r="A783" s="0" t="n">
        <v>762</v>
      </c>
      <c r="B783" s="0" t="s">
        <v>86</v>
      </c>
      <c r="C783" s="17" t="n">
        <v>-0.70235450270435</v>
      </c>
      <c r="D783" s="17" t="n">
        <f aca="false">(C783-$B$4)/($B$6/SQRT($B$7))</f>
        <v>-3.51177251352175</v>
      </c>
      <c r="E783" s="0" t="str">
        <f aca="false">IF(OR(AND($B$9="superior",D783&gt;$B$10),AND($B$9="inferior",D783&lt;-$B$10)),"Rechazar H0","No rechazar H0")</f>
        <v>Rechazar H0</v>
      </c>
      <c r="F783" s="0" t="str">
        <f aca="false">IF(AND(B783="H0 verdadera",E783="Rechazar H0"),"Error tipo I",IF(AND(B783="Ha verdadera",E783="No rechazar H0"),"Error tipo II","Decisión correcta"))</f>
        <v>Decisión correcta</v>
      </c>
    </row>
    <row r="784" customFormat="false" ht="15" hidden="false" customHeight="false" outlineLevel="0" collapsed="false">
      <c r="A784" s="0" t="n">
        <v>763</v>
      </c>
      <c r="B784" s="0" t="s">
        <v>86</v>
      </c>
      <c r="C784" s="17" t="n">
        <v>-0.309997468540722</v>
      </c>
      <c r="D784" s="17" t="n">
        <f aca="false">(C784-$B$4)/($B$6/SQRT($B$7))</f>
        <v>-1.54998734270361</v>
      </c>
      <c r="E784" s="0" t="str">
        <f aca="false">IF(OR(AND($B$9="superior",D784&gt;$B$10),AND($B$9="inferior",D784&lt;-$B$10)),"Rechazar H0","No rechazar H0")</f>
        <v>No rechazar H0</v>
      </c>
      <c r="F784" s="0" t="str">
        <f aca="false">IF(AND(B784="H0 verdadera",E784="Rechazar H0"),"Error tipo I",IF(AND(B784="Ha verdadera",E784="No rechazar H0"),"Error tipo II","Decisión correcta"))</f>
        <v>Error tipo II</v>
      </c>
    </row>
    <row r="785" customFormat="false" ht="15" hidden="false" customHeight="false" outlineLevel="0" collapsed="false">
      <c r="A785" s="0" t="n">
        <v>764</v>
      </c>
      <c r="B785" s="0" t="s">
        <v>86</v>
      </c>
      <c r="C785" s="17" t="n">
        <v>-0.349103575232308</v>
      </c>
      <c r="D785" s="17" t="n">
        <f aca="false">(C785-$B$4)/($B$6/SQRT($B$7))</f>
        <v>-1.74551787616154</v>
      </c>
      <c r="E785" s="0" t="str">
        <f aca="false">IF(OR(AND($B$9="superior",D785&gt;$B$10),AND($B$9="inferior",D785&lt;-$B$10)),"Rechazar H0","No rechazar H0")</f>
        <v>Rechazar H0</v>
      </c>
      <c r="F785" s="0" t="str">
        <f aca="false">IF(AND(B785="H0 verdadera",E785="Rechazar H0"),"Error tipo I",IF(AND(B785="Ha verdadera",E785="No rechazar H0"),"Error tipo II","Decisión correcta"))</f>
        <v>Decisión correcta</v>
      </c>
    </row>
    <row r="786" customFormat="false" ht="15" hidden="false" customHeight="false" outlineLevel="0" collapsed="false">
      <c r="A786" s="0" t="n">
        <v>765</v>
      </c>
      <c r="B786" s="0" t="s">
        <v>86</v>
      </c>
      <c r="C786" s="17" t="n">
        <v>-0.32703736646264</v>
      </c>
      <c r="D786" s="17" t="n">
        <f aca="false">(C786-$B$4)/($B$6/SQRT($B$7))</f>
        <v>-1.6351868323132</v>
      </c>
      <c r="E786" s="0" t="str">
        <f aca="false">IF(OR(AND($B$9="superior",D786&gt;$B$10),AND($B$9="inferior",D786&lt;-$B$10)),"Rechazar H0","No rechazar H0")</f>
        <v>No rechazar H0</v>
      </c>
      <c r="F786" s="0" t="str">
        <f aca="false">IF(AND(B786="H0 verdadera",E786="Rechazar H0"),"Error tipo I",IF(AND(B786="Ha verdadera",E786="No rechazar H0"),"Error tipo II","Decisión correcta"))</f>
        <v>Error tipo II</v>
      </c>
    </row>
    <row r="787" customFormat="false" ht="15" hidden="false" customHeight="false" outlineLevel="0" collapsed="false">
      <c r="A787" s="0" t="n">
        <v>766</v>
      </c>
      <c r="B787" s="0" t="s">
        <v>86</v>
      </c>
      <c r="C787" s="17" t="n">
        <v>-0.113137969293185</v>
      </c>
      <c r="D787" s="17" t="n">
        <f aca="false">(C787-$B$4)/($B$6/SQRT($B$7))</f>
        <v>-0.565689846465927</v>
      </c>
      <c r="E787" s="0" t="str">
        <f aca="false">IF(OR(AND($B$9="superior",D787&gt;$B$10),AND($B$9="inferior",D787&lt;-$B$10)),"Rechazar H0","No rechazar H0")</f>
        <v>No rechazar H0</v>
      </c>
      <c r="F787" s="0" t="str">
        <f aca="false">IF(AND(B787="H0 verdadera",E787="Rechazar H0"),"Error tipo I",IF(AND(B787="Ha verdadera",E787="No rechazar H0"),"Error tipo II","Decisión correcta"))</f>
        <v>Error tipo II</v>
      </c>
    </row>
    <row r="788" customFormat="false" ht="15" hidden="false" customHeight="false" outlineLevel="0" collapsed="false">
      <c r="A788" s="0" t="n">
        <v>767</v>
      </c>
      <c r="B788" s="0" t="s">
        <v>85</v>
      </c>
      <c r="C788" s="17" t="n">
        <v>-0.0673902623489724</v>
      </c>
      <c r="D788" s="17" t="n">
        <f aca="false">(C788-$B$4)/($B$6/SQRT($B$7))</f>
        <v>-0.336951311744862</v>
      </c>
      <c r="E788" s="0" t="str">
        <f aca="false">IF(OR(AND($B$9="superior",D788&gt;$B$10),AND($B$9="inferior",D788&lt;-$B$10)),"Rechazar H0","No rechazar H0")</f>
        <v>No rechazar H0</v>
      </c>
      <c r="F788" s="0" t="str">
        <f aca="false">IF(AND(B788="H0 verdadera",E788="Rechazar H0"),"Error tipo I",IF(AND(B788="Ha verdadera",E788="No rechazar H0"),"Error tipo II","Decisión correcta"))</f>
        <v>Decisión correcta</v>
      </c>
    </row>
    <row r="789" customFormat="false" ht="15" hidden="false" customHeight="false" outlineLevel="0" collapsed="false">
      <c r="A789" s="0" t="n">
        <v>768</v>
      </c>
      <c r="B789" s="0" t="s">
        <v>86</v>
      </c>
      <c r="C789" s="17" t="n">
        <v>-0.194352089758432</v>
      </c>
      <c r="D789" s="17" t="n">
        <f aca="false">(C789-$B$4)/($B$6/SQRT($B$7))</f>
        <v>-0.971760448792157</v>
      </c>
      <c r="E789" s="0" t="str">
        <f aca="false">IF(OR(AND($B$9="superior",D789&gt;$B$10),AND($B$9="inferior",D789&lt;-$B$10)),"Rechazar H0","No rechazar H0")</f>
        <v>No rechazar H0</v>
      </c>
      <c r="F789" s="0" t="str">
        <f aca="false">IF(AND(B789="H0 verdadera",E789="Rechazar H0"),"Error tipo I",IF(AND(B789="Ha verdadera",E789="No rechazar H0"),"Error tipo II","Decisión correcta"))</f>
        <v>Error tipo II</v>
      </c>
    </row>
    <row r="790" customFormat="false" ht="15" hidden="false" customHeight="false" outlineLevel="0" collapsed="false">
      <c r="A790" s="0" t="n">
        <v>769</v>
      </c>
      <c r="B790" s="0" t="s">
        <v>85</v>
      </c>
      <c r="C790" s="17" t="n">
        <v>-0.232232541436239</v>
      </c>
      <c r="D790" s="17" t="n">
        <f aca="false">(C790-$B$4)/($B$6/SQRT($B$7))</f>
        <v>-1.16116270718119</v>
      </c>
      <c r="E790" s="0" t="str">
        <f aca="false">IF(OR(AND($B$9="superior",D790&gt;$B$10),AND($B$9="inferior",D790&lt;-$B$10)),"Rechazar H0","No rechazar H0")</f>
        <v>No rechazar H0</v>
      </c>
      <c r="F790" s="0" t="str">
        <f aca="false">IF(AND(B790="H0 verdadera",E790="Rechazar H0"),"Error tipo I",IF(AND(B790="Ha verdadera",E790="No rechazar H0"),"Error tipo II","Decisión correcta"))</f>
        <v>Decisión correcta</v>
      </c>
    </row>
    <row r="791" customFormat="false" ht="15" hidden="false" customHeight="false" outlineLevel="0" collapsed="false">
      <c r="A791" s="0" t="n">
        <v>770</v>
      </c>
      <c r="B791" s="0" t="s">
        <v>86</v>
      </c>
      <c r="C791" s="17" t="n">
        <v>-0.26554400899499</v>
      </c>
      <c r="D791" s="17" t="n">
        <f aca="false">(C791-$B$4)/($B$6/SQRT($B$7))</f>
        <v>-1.32772004497495</v>
      </c>
      <c r="E791" s="0" t="str">
        <f aca="false">IF(OR(AND($B$9="superior",D791&gt;$B$10),AND($B$9="inferior",D791&lt;-$B$10)),"Rechazar H0","No rechazar H0")</f>
        <v>No rechazar H0</v>
      </c>
      <c r="F791" s="0" t="str">
        <f aca="false">IF(AND(B791="H0 verdadera",E791="Rechazar H0"),"Error tipo I",IF(AND(B791="Ha verdadera",E791="No rechazar H0"),"Error tipo II","Decisión correcta"))</f>
        <v>Error tipo II</v>
      </c>
    </row>
    <row r="792" customFormat="false" ht="15" hidden="false" customHeight="false" outlineLevel="0" collapsed="false">
      <c r="A792" s="0" t="n">
        <v>771</v>
      </c>
      <c r="B792" s="0" t="s">
        <v>86</v>
      </c>
      <c r="C792" s="17" t="n">
        <v>-0.0820652585926378</v>
      </c>
      <c r="D792" s="17" t="n">
        <f aca="false">(C792-$B$4)/($B$6/SQRT($B$7))</f>
        <v>-0.410326292963189</v>
      </c>
      <c r="E792" s="0" t="str">
        <f aca="false">IF(OR(AND($B$9="superior",D792&gt;$B$10),AND($B$9="inferior",D792&lt;-$B$10)),"Rechazar H0","No rechazar H0")</f>
        <v>No rechazar H0</v>
      </c>
      <c r="F792" s="0" t="str">
        <f aca="false">IF(AND(B792="H0 verdadera",E792="Rechazar H0"),"Error tipo I",IF(AND(B792="Ha verdadera",E792="No rechazar H0"),"Error tipo II","Decisión correcta"))</f>
        <v>Error tipo II</v>
      </c>
    </row>
    <row r="793" customFormat="false" ht="15" hidden="false" customHeight="false" outlineLevel="0" collapsed="false">
      <c r="A793" s="0" t="n">
        <v>772</v>
      </c>
      <c r="B793" s="0" t="s">
        <v>86</v>
      </c>
      <c r="C793" s="17" t="n">
        <v>-0.396185853482909</v>
      </c>
      <c r="D793" s="17" t="n">
        <f aca="false">(C793-$B$4)/($B$6/SQRT($B$7))</f>
        <v>-1.98092926741454</v>
      </c>
      <c r="E793" s="0" t="str">
        <f aca="false">IF(OR(AND($B$9="superior",D793&gt;$B$10),AND($B$9="inferior",D793&lt;-$B$10)),"Rechazar H0","No rechazar H0")</f>
        <v>Rechazar H0</v>
      </c>
      <c r="F793" s="0" t="str">
        <f aca="false">IF(AND(B793="H0 verdadera",E793="Rechazar H0"),"Error tipo I",IF(AND(B793="Ha verdadera",E793="No rechazar H0"),"Error tipo II","Decisión correcta"))</f>
        <v>Decisión correcta</v>
      </c>
    </row>
    <row r="794" customFormat="false" ht="15" hidden="false" customHeight="false" outlineLevel="0" collapsed="false">
      <c r="A794" s="0" t="n">
        <v>773</v>
      </c>
      <c r="B794" s="0" t="s">
        <v>86</v>
      </c>
      <c r="C794" s="17" t="n">
        <v>-0.411536899483963</v>
      </c>
      <c r="D794" s="17" t="n">
        <f aca="false">(C794-$B$4)/($B$6/SQRT($B$7))</f>
        <v>-2.05768449741982</v>
      </c>
      <c r="E794" s="0" t="str">
        <f aca="false">IF(OR(AND($B$9="superior",D794&gt;$B$10),AND($B$9="inferior",D794&lt;-$B$10)),"Rechazar H0","No rechazar H0")</f>
        <v>Rechazar H0</v>
      </c>
      <c r="F794" s="0" t="str">
        <f aca="false">IF(AND(B794="H0 verdadera",E794="Rechazar H0"),"Error tipo I",IF(AND(B794="Ha verdadera",E794="No rechazar H0"),"Error tipo II","Decisión correcta"))</f>
        <v>Decisión correcta</v>
      </c>
    </row>
    <row r="795" customFormat="false" ht="15" hidden="false" customHeight="false" outlineLevel="0" collapsed="false">
      <c r="A795" s="0" t="n">
        <v>774</v>
      </c>
      <c r="B795" s="0" t="s">
        <v>85</v>
      </c>
      <c r="C795" s="17" t="n">
        <v>0.0236518919862784</v>
      </c>
      <c r="D795" s="17" t="n">
        <f aca="false">(C795-$B$4)/($B$6/SQRT($B$7))</f>
        <v>0.118259459931392</v>
      </c>
      <c r="E795" s="0" t="str">
        <f aca="false">IF(OR(AND($B$9="superior",D795&gt;$B$10),AND($B$9="inferior",D795&lt;-$B$10)),"Rechazar H0","No rechazar H0")</f>
        <v>No rechazar H0</v>
      </c>
      <c r="F795" s="0" t="str">
        <f aca="false">IF(AND(B795="H0 verdadera",E795="Rechazar H0"),"Error tipo I",IF(AND(B795="Ha verdadera",E795="No rechazar H0"),"Error tipo II","Decisión correcta"))</f>
        <v>Decisión correcta</v>
      </c>
    </row>
    <row r="796" customFormat="false" ht="15" hidden="false" customHeight="false" outlineLevel="0" collapsed="false">
      <c r="A796" s="0" t="n">
        <v>775</v>
      </c>
      <c r="B796" s="0" t="s">
        <v>85</v>
      </c>
      <c r="C796" s="17" t="n">
        <v>-0.0140735592084409</v>
      </c>
      <c r="D796" s="17" t="n">
        <f aca="false">(C796-$B$4)/($B$6/SQRT($B$7))</f>
        <v>-0.0703677960422045</v>
      </c>
      <c r="E796" s="0" t="str">
        <f aca="false">IF(OR(AND($B$9="superior",D796&gt;$B$10),AND($B$9="inferior",D796&lt;-$B$10)),"Rechazar H0","No rechazar H0")</f>
        <v>No rechazar H0</v>
      </c>
      <c r="F796" s="0" t="str">
        <f aca="false">IF(AND(B796="H0 verdadera",E796="Rechazar H0"),"Error tipo I",IF(AND(B796="Ha verdadera",E796="No rechazar H0"),"Error tipo II","Decisión correcta"))</f>
        <v>Decisión correcta</v>
      </c>
    </row>
    <row r="797" customFormat="false" ht="15" hidden="false" customHeight="false" outlineLevel="0" collapsed="false">
      <c r="A797" s="0" t="n">
        <v>776</v>
      </c>
      <c r="B797" s="0" t="s">
        <v>86</v>
      </c>
      <c r="C797" s="17" t="n">
        <v>-0.782995617306163</v>
      </c>
      <c r="D797" s="17" t="n">
        <f aca="false">(C797-$B$4)/($B$6/SQRT($B$7))</f>
        <v>-3.91497808653081</v>
      </c>
      <c r="E797" s="0" t="str">
        <f aca="false">IF(OR(AND($B$9="superior",D797&gt;$B$10),AND($B$9="inferior",D797&lt;-$B$10)),"Rechazar H0","No rechazar H0")</f>
        <v>Rechazar H0</v>
      </c>
      <c r="F797" s="0" t="str">
        <f aca="false">IF(AND(B797="H0 verdadera",E797="Rechazar H0"),"Error tipo I",IF(AND(B797="Ha verdadera",E797="No rechazar H0"),"Error tipo II","Decisión correcta"))</f>
        <v>Decisión correcta</v>
      </c>
    </row>
    <row r="798" customFormat="false" ht="15" hidden="false" customHeight="false" outlineLevel="0" collapsed="false">
      <c r="A798" s="0" t="n">
        <v>777</v>
      </c>
      <c r="B798" s="0" t="s">
        <v>86</v>
      </c>
      <c r="C798" s="17" t="n">
        <v>-0.240718124343655</v>
      </c>
      <c r="D798" s="17" t="n">
        <f aca="false">(C798-$B$4)/($B$6/SQRT($B$7))</f>
        <v>-1.20359062171828</v>
      </c>
      <c r="E798" s="0" t="str">
        <f aca="false">IF(OR(AND($B$9="superior",D798&gt;$B$10),AND($B$9="inferior",D798&lt;-$B$10)),"Rechazar H0","No rechazar H0")</f>
        <v>No rechazar H0</v>
      </c>
      <c r="F798" s="0" t="str">
        <f aca="false">IF(AND(B798="H0 verdadera",E798="Rechazar H0"),"Error tipo I",IF(AND(B798="Ha verdadera",E798="No rechazar H0"),"Error tipo II","Decisión correcta"))</f>
        <v>Error tipo II</v>
      </c>
    </row>
    <row r="799" customFormat="false" ht="15" hidden="false" customHeight="false" outlineLevel="0" collapsed="false">
      <c r="A799" s="0" t="n">
        <v>778</v>
      </c>
      <c r="B799" s="0" t="s">
        <v>86</v>
      </c>
      <c r="C799" s="17" t="n">
        <v>-0.358154934797411</v>
      </c>
      <c r="D799" s="17" t="n">
        <f aca="false">(C799-$B$4)/($B$6/SQRT($B$7))</f>
        <v>-1.79077467398706</v>
      </c>
      <c r="E799" s="0" t="str">
        <f aca="false">IF(OR(AND($B$9="superior",D799&gt;$B$10),AND($B$9="inferior",D799&lt;-$B$10)),"Rechazar H0","No rechazar H0")</f>
        <v>Rechazar H0</v>
      </c>
      <c r="F799" s="0" t="str">
        <f aca="false">IF(AND(B799="H0 verdadera",E799="Rechazar H0"),"Error tipo I",IF(AND(B799="Ha verdadera",E799="No rechazar H0"),"Error tipo II","Decisión correcta"))</f>
        <v>Decisión correcta</v>
      </c>
    </row>
    <row r="800" customFormat="false" ht="15" hidden="false" customHeight="false" outlineLevel="0" collapsed="false">
      <c r="A800" s="0" t="n">
        <v>779</v>
      </c>
      <c r="B800" s="0" t="s">
        <v>86</v>
      </c>
      <c r="C800" s="17" t="n">
        <v>-0.46740706279147</v>
      </c>
      <c r="D800" s="17" t="n">
        <f aca="false">(C800-$B$4)/($B$6/SQRT($B$7))</f>
        <v>-2.33703531395735</v>
      </c>
      <c r="E800" s="0" t="str">
        <f aca="false">IF(OR(AND($B$9="superior",D800&gt;$B$10),AND($B$9="inferior",D800&lt;-$B$10)),"Rechazar H0","No rechazar H0")</f>
        <v>Rechazar H0</v>
      </c>
      <c r="F800" s="0" t="str">
        <f aca="false">IF(AND(B800="H0 verdadera",E800="Rechazar H0"),"Error tipo I",IF(AND(B800="Ha verdadera",E800="No rechazar H0"),"Error tipo II","Decisión correcta"))</f>
        <v>Decisión correcta</v>
      </c>
    </row>
    <row r="801" customFormat="false" ht="15" hidden="false" customHeight="false" outlineLevel="0" collapsed="false">
      <c r="A801" s="0" t="n">
        <v>780</v>
      </c>
      <c r="B801" s="0" t="s">
        <v>86</v>
      </c>
      <c r="C801" s="17" t="n">
        <v>-0.321277778447228</v>
      </c>
      <c r="D801" s="17" t="n">
        <f aca="false">(C801-$B$4)/($B$6/SQRT($B$7))</f>
        <v>-1.60638889223614</v>
      </c>
      <c r="E801" s="0" t="str">
        <f aca="false">IF(OR(AND($B$9="superior",D801&gt;$B$10),AND($B$9="inferior",D801&lt;-$B$10)),"Rechazar H0","No rechazar H0")</f>
        <v>No rechazar H0</v>
      </c>
      <c r="F801" s="0" t="str">
        <f aca="false">IF(AND(B801="H0 verdadera",E801="Rechazar H0"),"Error tipo I",IF(AND(B801="Ha verdadera",E801="No rechazar H0"),"Error tipo II","Decisión correcta"))</f>
        <v>Error tipo II</v>
      </c>
    </row>
    <row r="802" customFormat="false" ht="15" hidden="false" customHeight="false" outlineLevel="0" collapsed="false">
      <c r="A802" s="0" t="n">
        <v>781</v>
      </c>
      <c r="B802" s="0" t="s">
        <v>86</v>
      </c>
      <c r="C802" s="17" t="n">
        <v>-0.36089719046483</v>
      </c>
      <c r="D802" s="17" t="n">
        <f aca="false">(C802-$B$4)/($B$6/SQRT($B$7))</f>
        <v>-1.80448595232415</v>
      </c>
      <c r="E802" s="0" t="str">
        <f aca="false">IF(OR(AND($B$9="superior",D802&gt;$B$10),AND($B$9="inferior",D802&lt;-$B$10)),"Rechazar H0","No rechazar H0")</f>
        <v>Rechazar H0</v>
      </c>
      <c r="F802" s="0" t="str">
        <f aca="false">IF(AND(B802="H0 verdadera",E802="Rechazar H0"),"Error tipo I",IF(AND(B802="Ha verdadera",E802="No rechazar H0"),"Error tipo II","Decisión correcta"))</f>
        <v>Decisión correcta</v>
      </c>
    </row>
    <row r="803" customFormat="false" ht="15" hidden="false" customHeight="false" outlineLevel="0" collapsed="false">
      <c r="A803" s="0" t="n">
        <v>782</v>
      </c>
      <c r="B803" s="0" t="s">
        <v>86</v>
      </c>
      <c r="C803" s="17" t="n">
        <v>-0.270201774113959</v>
      </c>
      <c r="D803" s="17" t="n">
        <f aca="false">(C803-$B$4)/($B$6/SQRT($B$7))</f>
        <v>-1.3510088705698</v>
      </c>
      <c r="E803" s="0" t="str">
        <f aca="false">IF(OR(AND($B$9="superior",D803&gt;$B$10),AND($B$9="inferior",D803&lt;-$B$10)),"Rechazar H0","No rechazar H0")</f>
        <v>No rechazar H0</v>
      </c>
      <c r="F803" s="0" t="str">
        <f aca="false">IF(AND(B803="H0 verdadera",E803="Rechazar H0"),"Error tipo I",IF(AND(B803="Ha verdadera",E803="No rechazar H0"),"Error tipo II","Decisión correcta"))</f>
        <v>Error tipo II</v>
      </c>
    </row>
    <row r="804" customFormat="false" ht="15" hidden="false" customHeight="false" outlineLevel="0" collapsed="false">
      <c r="A804" s="0" t="n">
        <v>783</v>
      </c>
      <c r="B804" s="0" t="s">
        <v>86</v>
      </c>
      <c r="C804" s="17" t="n">
        <v>-0.523111611975473</v>
      </c>
      <c r="D804" s="17" t="n">
        <f aca="false">(C804-$B$4)/($B$6/SQRT($B$7))</f>
        <v>-2.61555805987736</v>
      </c>
      <c r="E804" s="0" t="str">
        <f aca="false">IF(OR(AND($B$9="superior",D804&gt;$B$10),AND($B$9="inferior",D804&lt;-$B$10)),"Rechazar H0","No rechazar H0")</f>
        <v>Rechazar H0</v>
      </c>
      <c r="F804" s="0" t="str">
        <f aca="false">IF(AND(B804="H0 verdadera",E804="Rechazar H0"),"Error tipo I",IF(AND(B804="Ha verdadera",E804="No rechazar H0"),"Error tipo II","Decisión correcta"))</f>
        <v>Decisión correcta</v>
      </c>
    </row>
    <row r="805" customFormat="false" ht="15" hidden="false" customHeight="false" outlineLevel="0" collapsed="false">
      <c r="A805" s="0" t="n">
        <v>784</v>
      </c>
      <c r="B805" s="0" t="s">
        <v>86</v>
      </c>
      <c r="C805" s="17" t="n">
        <v>-0.513198908269014</v>
      </c>
      <c r="D805" s="17" t="n">
        <f aca="false">(C805-$B$4)/($B$6/SQRT($B$7))</f>
        <v>-2.56599454134507</v>
      </c>
      <c r="E805" s="0" t="str">
        <f aca="false">IF(OR(AND($B$9="superior",D805&gt;$B$10),AND($B$9="inferior",D805&lt;-$B$10)),"Rechazar H0","No rechazar H0")</f>
        <v>Rechazar H0</v>
      </c>
      <c r="F805" s="0" t="str">
        <f aca="false">IF(AND(B805="H0 verdadera",E805="Rechazar H0"),"Error tipo I",IF(AND(B805="Ha verdadera",E805="No rechazar H0"),"Error tipo II","Decisión correcta"))</f>
        <v>Decisión correcta</v>
      </c>
    </row>
    <row r="806" customFormat="false" ht="15" hidden="false" customHeight="false" outlineLevel="0" collapsed="false">
      <c r="A806" s="0" t="n">
        <v>785</v>
      </c>
      <c r="B806" s="0" t="s">
        <v>85</v>
      </c>
      <c r="C806" s="17" t="n">
        <v>0.0546635444250616</v>
      </c>
      <c r="D806" s="17" t="n">
        <f aca="false">(C806-$B$4)/($B$6/SQRT($B$7))</f>
        <v>0.273317722125308</v>
      </c>
      <c r="E806" s="0" t="str">
        <f aca="false">IF(OR(AND($B$9="superior",D806&gt;$B$10),AND($B$9="inferior",D806&lt;-$B$10)),"Rechazar H0","No rechazar H0")</f>
        <v>No rechazar H0</v>
      </c>
      <c r="F806" s="0" t="str">
        <f aca="false">IF(AND(B806="H0 verdadera",E806="Rechazar H0"),"Error tipo I",IF(AND(B806="Ha verdadera",E806="No rechazar H0"),"Error tipo II","Decisión correcta"))</f>
        <v>Decisión correcta</v>
      </c>
    </row>
    <row r="807" customFormat="false" ht="15" hidden="false" customHeight="false" outlineLevel="0" collapsed="false">
      <c r="A807" s="0" t="n">
        <v>786</v>
      </c>
      <c r="B807" s="0" t="s">
        <v>86</v>
      </c>
      <c r="C807" s="17" t="n">
        <v>-0.553679496922588</v>
      </c>
      <c r="D807" s="17" t="n">
        <f aca="false">(C807-$B$4)/($B$6/SQRT($B$7))</f>
        <v>-2.76839748461294</v>
      </c>
      <c r="E807" s="0" t="str">
        <f aca="false">IF(OR(AND($B$9="superior",D807&gt;$B$10),AND($B$9="inferior",D807&lt;-$B$10)),"Rechazar H0","No rechazar H0")</f>
        <v>Rechazar H0</v>
      </c>
      <c r="F807" s="0" t="str">
        <f aca="false">IF(AND(B807="H0 verdadera",E807="Rechazar H0"),"Error tipo I",IF(AND(B807="Ha verdadera",E807="No rechazar H0"),"Error tipo II","Decisión correcta"))</f>
        <v>Decisión correcta</v>
      </c>
    </row>
    <row r="808" customFormat="false" ht="15" hidden="false" customHeight="false" outlineLevel="0" collapsed="false">
      <c r="A808" s="0" t="n">
        <v>787</v>
      </c>
      <c r="B808" s="0" t="s">
        <v>86</v>
      </c>
      <c r="C808" s="17" t="n">
        <v>-0.592112822045396</v>
      </c>
      <c r="D808" s="17" t="n">
        <f aca="false">(C808-$B$4)/($B$6/SQRT($B$7))</f>
        <v>-2.96056411022698</v>
      </c>
      <c r="E808" s="0" t="str">
        <f aca="false">IF(OR(AND($B$9="superior",D808&gt;$B$10),AND($B$9="inferior",D808&lt;-$B$10)),"Rechazar H0","No rechazar H0")</f>
        <v>Rechazar H0</v>
      </c>
      <c r="F808" s="0" t="str">
        <f aca="false">IF(AND(B808="H0 verdadera",E808="Rechazar H0"),"Error tipo I",IF(AND(B808="Ha verdadera",E808="No rechazar H0"),"Error tipo II","Decisión correcta"))</f>
        <v>Decisión correcta</v>
      </c>
    </row>
    <row r="809" customFormat="false" ht="15" hidden="false" customHeight="false" outlineLevel="0" collapsed="false">
      <c r="A809" s="0" t="n">
        <v>788</v>
      </c>
      <c r="B809" s="0" t="s">
        <v>86</v>
      </c>
      <c r="C809" s="17" t="n">
        <v>-0.0726825255908182</v>
      </c>
      <c r="D809" s="17" t="n">
        <f aca="false">(C809-$B$4)/($B$6/SQRT($B$7))</f>
        <v>-0.363412627954091</v>
      </c>
      <c r="E809" s="0" t="str">
        <f aca="false">IF(OR(AND($B$9="superior",D809&gt;$B$10),AND($B$9="inferior",D809&lt;-$B$10)),"Rechazar H0","No rechazar H0")</f>
        <v>No rechazar H0</v>
      </c>
      <c r="F809" s="0" t="str">
        <f aca="false">IF(AND(B809="H0 verdadera",E809="Rechazar H0"),"Error tipo I",IF(AND(B809="Ha verdadera",E809="No rechazar H0"),"Error tipo II","Decisión correcta"))</f>
        <v>Error tipo II</v>
      </c>
    </row>
    <row r="810" customFormat="false" ht="15" hidden="false" customHeight="false" outlineLevel="0" collapsed="false">
      <c r="A810" s="0" t="n">
        <v>789</v>
      </c>
      <c r="B810" s="0" t="s">
        <v>85</v>
      </c>
      <c r="C810" s="17" t="n">
        <v>0.270206970055751</v>
      </c>
      <c r="D810" s="17" t="n">
        <f aca="false">(C810-$B$4)/($B$6/SQRT($B$7))</f>
        <v>1.35103485027876</v>
      </c>
      <c r="E810" s="0" t="str">
        <f aca="false">IF(OR(AND($B$9="superior",D810&gt;$B$10),AND($B$9="inferior",D810&lt;-$B$10)),"Rechazar H0","No rechazar H0")</f>
        <v>No rechazar H0</v>
      </c>
      <c r="F810" s="0" t="str">
        <f aca="false">IF(AND(B810="H0 verdadera",E810="Rechazar H0"),"Error tipo I",IF(AND(B810="Ha verdadera",E810="No rechazar H0"),"Error tipo II","Decisión correcta"))</f>
        <v>Decisión correcta</v>
      </c>
    </row>
    <row r="811" customFormat="false" ht="15" hidden="false" customHeight="false" outlineLevel="0" collapsed="false">
      <c r="A811" s="0" t="n">
        <v>790</v>
      </c>
      <c r="B811" s="0" t="s">
        <v>86</v>
      </c>
      <c r="C811" s="17" t="n">
        <v>-0.808655474894791</v>
      </c>
      <c r="D811" s="17" t="n">
        <f aca="false">(C811-$B$4)/($B$6/SQRT($B$7))</f>
        <v>-4.04327737447395</v>
      </c>
      <c r="E811" s="0" t="str">
        <f aca="false">IF(OR(AND($B$9="superior",D811&gt;$B$10),AND($B$9="inferior",D811&lt;-$B$10)),"Rechazar H0","No rechazar H0")</f>
        <v>Rechazar H0</v>
      </c>
      <c r="F811" s="0" t="str">
        <f aca="false">IF(AND(B811="H0 verdadera",E811="Rechazar H0"),"Error tipo I",IF(AND(B811="Ha verdadera",E811="No rechazar H0"),"Error tipo II","Decisión correcta"))</f>
        <v>Decisión correcta</v>
      </c>
    </row>
    <row r="812" customFormat="false" ht="15" hidden="false" customHeight="false" outlineLevel="0" collapsed="false">
      <c r="A812" s="0" t="n">
        <v>791</v>
      </c>
      <c r="B812" s="0" t="s">
        <v>85</v>
      </c>
      <c r="C812" s="17" t="n">
        <v>-0.0621565657433221</v>
      </c>
      <c r="D812" s="17" t="n">
        <f aca="false">(C812-$B$4)/($B$6/SQRT($B$7))</f>
        <v>-0.31078282871661</v>
      </c>
      <c r="E812" s="0" t="str">
        <f aca="false">IF(OR(AND($B$9="superior",D812&gt;$B$10),AND($B$9="inferior",D812&lt;-$B$10)),"Rechazar H0","No rechazar H0")</f>
        <v>No rechazar H0</v>
      </c>
      <c r="F812" s="0" t="str">
        <f aca="false">IF(AND(B812="H0 verdadera",E812="Rechazar H0"),"Error tipo I",IF(AND(B812="Ha verdadera",E812="No rechazar H0"),"Error tipo II","Decisión correcta"))</f>
        <v>Decisión correcta</v>
      </c>
    </row>
    <row r="813" customFormat="false" ht="15" hidden="false" customHeight="false" outlineLevel="0" collapsed="false">
      <c r="A813" s="0" t="n">
        <v>792</v>
      </c>
      <c r="B813" s="0" t="s">
        <v>85</v>
      </c>
      <c r="C813" s="17" t="n">
        <v>0.232891179456428</v>
      </c>
      <c r="D813" s="17" t="n">
        <f aca="false">(C813-$B$4)/($B$6/SQRT($B$7))</f>
        <v>1.16445589728214</v>
      </c>
      <c r="E813" s="0" t="str">
        <f aca="false">IF(OR(AND($B$9="superior",D813&gt;$B$10),AND($B$9="inferior",D813&lt;-$B$10)),"Rechazar H0","No rechazar H0")</f>
        <v>No rechazar H0</v>
      </c>
      <c r="F813" s="0" t="str">
        <f aca="false">IF(AND(B813="H0 verdadera",E813="Rechazar H0"),"Error tipo I",IF(AND(B813="Ha verdadera",E813="No rechazar H0"),"Error tipo II","Decisión correcta"))</f>
        <v>Decisión correcta</v>
      </c>
    </row>
    <row r="814" customFormat="false" ht="15" hidden="false" customHeight="false" outlineLevel="0" collapsed="false">
      <c r="A814" s="0" t="n">
        <v>793</v>
      </c>
      <c r="B814" s="0" t="s">
        <v>85</v>
      </c>
      <c r="C814" s="17" t="n">
        <v>0.138380787634708</v>
      </c>
      <c r="D814" s="17" t="n">
        <f aca="false">(C814-$B$4)/($B$6/SQRT($B$7))</f>
        <v>0.691903938173542</v>
      </c>
      <c r="E814" s="0" t="str">
        <f aca="false">IF(OR(AND($B$9="superior",D814&gt;$B$10),AND($B$9="inferior",D814&lt;-$B$10)),"Rechazar H0","No rechazar H0")</f>
        <v>No rechazar H0</v>
      </c>
      <c r="F814" s="0" t="str">
        <f aca="false">IF(AND(B814="H0 verdadera",E814="Rechazar H0"),"Error tipo I",IF(AND(B814="Ha verdadera",E814="No rechazar H0"),"Error tipo II","Decisión correcta"))</f>
        <v>Decisión correcta</v>
      </c>
    </row>
    <row r="815" customFormat="false" ht="15" hidden="false" customHeight="false" outlineLevel="0" collapsed="false">
      <c r="A815" s="0" t="n">
        <v>794</v>
      </c>
      <c r="B815" s="0" t="s">
        <v>85</v>
      </c>
      <c r="C815" s="17" t="n">
        <v>-0.03824655978816</v>
      </c>
      <c r="D815" s="17" t="n">
        <f aca="false">(C815-$B$4)/($B$6/SQRT($B$7))</f>
        <v>-0.1912327989408</v>
      </c>
      <c r="E815" s="0" t="str">
        <f aca="false">IF(OR(AND($B$9="superior",D815&gt;$B$10),AND($B$9="inferior",D815&lt;-$B$10)),"Rechazar H0","No rechazar H0")</f>
        <v>No rechazar H0</v>
      </c>
      <c r="F815" s="0" t="str">
        <f aca="false">IF(AND(B815="H0 verdadera",E815="Rechazar H0"),"Error tipo I",IF(AND(B815="Ha verdadera",E815="No rechazar H0"),"Error tipo II","Decisión correcta"))</f>
        <v>Decisión correcta</v>
      </c>
    </row>
    <row r="816" customFormat="false" ht="15" hidden="false" customHeight="false" outlineLevel="0" collapsed="false">
      <c r="A816" s="0" t="n">
        <v>795</v>
      </c>
      <c r="B816" s="0" t="s">
        <v>86</v>
      </c>
      <c r="C816" s="17" t="n">
        <v>-0.54242077601581</v>
      </c>
      <c r="D816" s="17" t="n">
        <f aca="false">(C816-$B$4)/($B$6/SQRT($B$7))</f>
        <v>-2.71210388007905</v>
      </c>
      <c r="E816" s="0" t="str">
        <f aca="false">IF(OR(AND($B$9="superior",D816&gt;$B$10),AND($B$9="inferior",D816&lt;-$B$10)),"Rechazar H0","No rechazar H0")</f>
        <v>Rechazar H0</v>
      </c>
      <c r="F816" s="0" t="str">
        <f aca="false">IF(AND(B816="H0 verdadera",E816="Rechazar H0"),"Error tipo I",IF(AND(B816="Ha verdadera",E816="No rechazar H0"),"Error tipo II","Decisión correcta"))</f>
        <v>Decisión correcta</v>
      </c>
    </row>
    <row r="817" customFormat="false" ht="15" hidden="false" customHeight="false" outlineLevel="0" collapsed="false">
      <c r="A817" s="0" t="n">
        <v>796</v>
      </c>
      <c r="B817" s="0" t="s">
        <v>86</v>
      </c>
      <c r="C817" s="17" t="n">
        <v>-0.686898554278666</v>
      </c>
      <c r="D817" s="17" t="n">
        <f aca="false">(C817-$B$4)/($B$6/SQRT($B$7))</f>
        <v>-3.43449277139333</v>
      </c>
      <c r="E817" s="0" t="str">
        <f aca="false">IF(OR(AND($B$9="superior",D817&gt;$B$10),AND($B$9="inferior",D817&lt;-$B$10)),"Rechazar H0","No rechazar H0")</f>
        <v>Rechazar H0</v>
      </c>
      <c r="F817" s="0" t="str">
        <f aca="false">IF(AND(B817="H0 verdadera",E817="Rechazar H0"),"Error tipo I",IF(AND(B817="Ha verdadera",E817="No rechazar H0"),"Error tipo II","Decisión correcta"))</f>
        <v>Decisión correcta</v>
      </c>
    </row>
    <row r="818" customFormat="false" ht="15" hidden="false" customHeight="false" outlineLevel="0" collapsed="false">
      <c r="A818" s="0" t="n">
        <v>797</v>
      </c>
      <c r="B818" s="0" t="s">
        <v>85</v>
      </c>
      <c r="C818" s="17" t="n">
        <v>0.0672541838598657</v>
      </c>
      <c r="D818" s="17" t="n">
        <f aca="false">(C818-$B$4)/($B$6/SQRT($B$7))</f>
        <v>0.336270919299328</v>
      </c>
      <c r="E818" s="0" t="str">
        <f aca="false">IF(OR(AND($B$9="superior",D818&gt;$B$10),AND($B$9="inferior",D818&lt;-$B$10)),"Rechazar H0","No rechazar H0")</f>
        <v>No rechazar H0</v>
      </c>
      <c r="F818" s="0" t="str">
        <f aca="false">IF(AND(B818="H0 verdadera",E818="Rechazar H0"),"Error tipo I",IF(AND(B818="Ha verdadera",E818="No rechazar H0"),"Error tipo II","Decisión correcta"))</f>
        <v>Decisión correcta</v>
      </c>
    </row>
    <row r="819" customFormat="false" ht="15" hidden="false" customHeight="false" outlineLevel="0" collapsed="false">
      <c r="A819" s="0" t="n">
        <v>798</v>
      </c>
      <c r="B819" s="0" t="s">
        <v>86</v>
      </c>
      <c r="C819" s="17" t="n">
        <v>-0.416925011752607</v>
      </c>
      <c r="D819" s="17" t="n">
        <f aca="false">(C819-$B$4)/($B$6/SQRT($B$7))</f>
        <v>-2.08462505876304</v>
      </c>
      <c r="E819" s="0" t="str">
        <f aca="false">IF(OR(AND($B$9="superior",D819&gt;$B$10),AND($B$9="inferior",D819&lt;-$B$10)),"Rechazar H0","No rechazar H0")</f>
        <v>Rechazar H0</v>
      </c>
      <c r="F819" s="0" t="str">
        <f aca="false">IF(AND(B819="H0 verdadera",E819="Rechazar H0"),"Error tipo I",IF(AND(B819="Ha verdadera",E819="No rechazar H0"),"Error tipo II","Decisión correcta"))</f>
        <v>Decisión correcta</v>
      </c>
    </row>
    <row r="820" customFormat="false" ht="15" hidden="false" customHeight="false" outlineLevel="0" collapsed="false">
      <c r="A820" s="0" t="n">
        <v>799</v>
      </c>
      <c r="B820" s="0" t="s">
        <v>85</v>
      </c>
      <c r="C820" s="17" t="n">
        <v>0.100197271816713</v>
      </c>
      <c r="D820" s="17" t="n">
        <f aca="false">(C820-$B$4)/($B$6/SQRT($B$7))</f>
        <v>0.500986359083565</v>
      </c>
      <c r="E820" s="0" t="str">
        <f aca="false">IF(OR(AND($B$9="superior",D820&gt;$B$10),AND($B$9="inferior",D820&lt;-$B$10)),"Rechazar H0","No rechazar H0")</f>
        <v>No rechazar H0</v>
      </c>
      <c r="F820" s="0" t="str">
        <f aca="false">IF(AND(B820="H0 verdadera",E820="Rechazar H0"),"Error tipo I",IF(AND(B820="Ha verdadera",E820="No rechazar H0"),"Error tipo II","Decisión correcta"))</f>
        <v>Decisión correcta</v>
      </c>
    </row>
    <row r="821" customFormat="false" ht="15" hidden="false" customHeight="false" outlineLevel="0" collapsed="false">
      <c r="A821" s="0" t="n">
        <v>800</v>
      </c>
      <c r="B821" s="0" t="s">
        <v>85</v>
      </c>
      <c r="C821" s="17" t="n">
        <v>-0.031650610744193</v>
      </c>
      <c r="D821" s="17" t="n">
        <f aca="false">(C821-$B$4)/($B$6/SQRT($B$7))</f>
        <v>-0.158253053720965</v>
      </c>
      <c r="E821" s="0" t="str">
        <f aca="false">IF(OR(AND($B$9="superior",D821&gt;$B$10),AND($B$9="inferior",D821&lt;-$B$10)),"Rechazar H0","No rechazar H0")</f>
        <v>No rechazar H0</v>
      </c>
      <c r="F821" s="0" t="str">
        <f aca="false">IF(AND(B821="H0 verdadera",E821="Rechazar H0"),"Error tipo I",IF(AND(B821="Ha verdadera",E821="No rechazar H0"),"Error tipo II","Decisión correcta"))</f>
        <v>Decisión correcta</v>
      </c>
    </row>
    <row r="822" customFormat="false" ht="15" hidden="false" customHeight="false" outlineLevel="0" collapsed="false">
      <c r="A822" s="0" t="n">
        <v>801</v>
      </c>
      <c r="B822" s="0" t="s">
        <v>86</v>
      </c>
      <c r="C822" s="17" t="n">
        <v>-0.396137068538061</v>
      </c>
      <c r="D822" s="17" t="n">
        <f aca="false">(C822-$B$4)/($B$6/SQRT($B$7))</f>
        <v>-1.98068534269031</v>
      </c>
      <c r="E822" s="0" t="str">
        <f aca="false">IF(OR(AND($B$9="superior",D822&gt;$B$10),AND($B$9="inferior",D822&lt;-$B$10)),"Rechazar H0","No rechazar H0")</f>
        <v>Rechazar H0</v>
      </c>
      <c r="F822" s="0" t="str">
        <f aca="false">IF(AND(B822="H0 verdadera",E822="Rechazar H0"),"Error tipo I",IF(AND(B822="Ha verdadera",E822="No rechazar H0"),"Error tipo II","Decisión correcta"))</f>
        <v>Decisión correcta</v>
      </c>
    </row>
    <row r="823" customFormat="false" ht="15" hidden="false" customHeight="false" outlineLevel="0" collapsed="false">
      <c r="A823" s="0" t="n">
        <v>802</v>
      </c>
      <c r="B823" s="0" t="s">
        <v>86</v>
      </c>
      <c r="C823" s="17" t="n">
        <v>-0.061301985919608</v>
      </c>
      <c r="D823" s="17" t="n">
        <f aca="false">(C823-$B$4)/($B$6/SQRT($B$7))</f>
        <v>-0.30650992959804</v>
      </c>
      <c r="E823" s="0" t="str">
        <f aca="false">IF(OR(AND($B$9="superior",D823&gt;$B$10),AND($B$9="inferior",D823&lt;-$B$10)),"Rechazar H0","No rechazar H0")</f>
        <v>No rechazar H0</v>
      </c>
      <c r="F823" s="0" t="str">
        <f aca="false">IF(AND(B823="H0 verdadera",E823="Rechazar H0"),"Error tipo I",IF(AND(B823="Ha verdadera",E823="No rechazar H0"),"Error tipo II","Decisión correcta"))</f>
        <v>Error tipo II</v>
      </c>
    </row>
    <row r="824" customFormat="false" ht="15" hidden="false" customHeight="false" outlineLevel="0" collapsed="false">
      <c r="A824" s="0" t="n">
        <v>803</v>
      </c>
      <c r="B824" s="0" t="s">
        <v>86</v>
      </c>
      <c r="C824" s="17" t="n">
        <v>-0.759742462331151</v>
      </c>
      <c r="D824" s="17" t="n">
        <f aca="false">(C824-$B$4)/($B$6/SQRT($B$7))</f>
        <v>-3.79871231165576</v>
      </c>
      <c r="E824" s="0" t="str">
        <f aca="false">IF(OR(AND($B$9="superior",D824&gt;$B$10),AND($B$9="inferior",D824&lt;-$B$10)),"Rechazar H0","No rechazar H0")</f>
        <v>Rechazar H0</v>
      </c>
      <c r="F824" s="0" t="str">
        <f aca="false">IF(AND(B824="H0 verdadera",E824="Rechazar H0"),"Error tipo I",IF(AND(B824="Ha verdadera",E824="No rechazar H0"),"Error tipo II","Decisión correcta"))</f>
        <v>Decisión correcta</v>
      </c>
    </row>
    <row r="825" customFormat="false" ht="15" hidden="false" customHeight="false" outlineLevel="0" collapsed="false">
      <c r="A825" s="0" t="n">
        <v>804</v>
      </c>
      <c r="B825" s="0" t="s">
        <v>85</v>
      </c>
      <c r="C825" s="17" t="n">
        <v>0.0409356859291065</v>
      </c>
      <c r="D825" s="17" t="n">
        <f aca="false">(C825-$B$4)/($B$6/SQRT($B$7))</f>
        <v>0.204678429645533</v>
      </c>
      <c r="E825" s="0" t="str">
        <f aca="false">IF(OR(AND($B$9="superior",D825&gt;$B$10),AND($B$9="inferior",D825&lt;-$B$10)),"Rechazar H0","No rechazar H0")</f>
        <v>No rechazar H0</v>
      </c>
      <c r="F825" s="0" t="str">
        <f aca="false">IF(AND(B825="H0 verdadera",E825="Rechazar H0"),"Error tipo I",IF(AND(B825="Ha verdadera",E825="No rechazar H0"),"Error tipo II","Decisión correcta"))</f>
        <v>Decisión correcta</v>
      </c>
    </row>
    <row r="826" customFormat="false" ht="15" hidden="false" customHeight="false" outlineLevel="0" collapsed="false">
      <c r="A826" s="0" t="n">
        <v>805</v>
      </c>
      <c r="B826" s="0" t="s">
        <v>85</v>
      </c>
      <c r="C826" s="17" t="n">
        <v>-0.170837540911112</v>
      </c>
      <c r="D826" s="17" t="n">
        <f aca="false">(C826-$B$4)/($B$6/SQRT($B$7))</f>
        <v>-0.854187704555562</v>
      </c>
      <c r="E826" s="0" t="str">
        <f aca="false">IF(OR(AND($B$9="superior",D826&gt;$B$10),AND($B$9="inferior",D826&lt;-$B$10)),"Rechazar H0","No rechazar H0")</f>
        <v>No rechazar H0</v>
      </c>
      <c r="F826" s="0" t="str">
        <f aca="false">IF(AND(B826="H0 verdadera",E826="Rechazar H0"),"Error tipo I",IF(AND(B826="Ha verdadera",E826="No rechazar H0"),"Error tipo II","Decisión correcta"))</f>
        <v>Decisión correcta</v>
      </c>
    </row>
    <row r="827" customFormat="false" ht="15" hidden="false" customHeight="false" outlineLevel="0" collapsed="false">
      <c r="A827" s="0" t="n">
        <v>806</v>
      </c>
      <c r="B827" s="0" t="s">
        <v>85</v>
      </c>
      <c r="C827" s="17" t="n">
        <v>-0.0558586463438051</v>
      </c>
      <c r="D827" s="17" t="n">
        <f aca="false">(C827-$B$4)/($B$6/SQRT($B$7))</f>
        <v>-0.279293231719026</v>
      </c>
      <c r="E827" s="0" t="str">
        <f aca="false">IF(OR(AND($B$9="superior",D827&gt;$B$10),AND($B$9="inferior",D827&lt;-$B$10)),"Rechazar H0","No rechazar H0")</f>
        <v>No rechazar H0</v>
      </c>
      <c r="F827" s="0" t="str">
        <f aca="false">IF(AND(B827="H0 verdadera",E827="Rechazar H0"),"Error tipo I",IF(AND(B827="Ha verdadera",E827="No rechazar H0"),"Error tipo II","Decisión correcta"))</f>
        <v>Decisión correcta</v>
      </c>
    </row>
    <row r="828" customFormat="false" ht="15" hidden="false" customHeight="false" outlineLevel="0" collapsed="false">
      <c r="A828" s="0" t="n">
        <v>807</v>
      </c>
      <c r="B828" s="0" t="s">
        <v>86</v>
      </c>
      <c r="C828" s="17" t="n">
        <v>-0.0581176754109586</v>
      </c>
      <c r="D828" s="17" t="n">
        <f aca="false">(C828-$B$4)/($B$6/SQRT($B$7))</f>
        <v>-0.290588377054793</v>
      </c>
      <c r="E828" s="0" t="str">
        <f aca="false">IF(OR(AND($B$9="superior",D828&gt;$B$10),AND($B$9="inferior",D828&lt;-$B$10)),"Rechazar H0","No rechazar H0")</f>
        <v>No rechazar H0</v>
      </c>
      <c r="F828" s="0" t="str">
        <f aca="false">IF(AND(B828="H0 verdadera",E828="Rechazar H0"),"Error tipo I",IF(AND(B828="Ha verdadera",E828="No rechazar H0"),"Error tipo II","Decisión correcta"))</f>
        <v>Error tipo II</v>
      </c>
    </row>
    <row r="829" customFormat="false" ht="15" hidden="false" customHeight="false" outlineLevel="0" collapsed="false">
      <c r="A829" s="0" t="n">
        <v>808</v>
      </c>
      <c r="B829" s="0" t="s">
        <v>86</v>
      </c>
      <c r="C829" s="17" t="n">
        <v>-0.753532369907681</v>
      </c>
      <c r="D829" s="17" t="n">
        <f aca="false">(C829-$B$4)/($B$6/SQRT($B$7))</f>
        <v>-3.76766184953841</v>
      </c>
      <c r="E829" s="0" t="str">
        <f aca="false">IF(OR(AND($B$9="superior",D829&gt;$B$10),AND($B$9="inferior",D829&lt;-$B$10)),"Rechazar H0","No rechazar H0")</f>
        <v>Rechazar H0</v>
      </c>
      <c r="F829" s="0" t="str">
        <f aca="false">IF(AND(B829="H0 verdadera",E829="Rechazar H0"),"Error tipo I",IF(AND(B829="Ha verdadera",E829="No rechazar H0"),"Error tipo II","Decisión correcta"))</f>
        <v>Decisión correcta</v>
      </c>
    </row>
    <row r="830" customFormat="false" ht="15" hidden="false" customHeight="false" outlineLevel="0" collapsed="false">
      <c r="A830" s="0" t="n">
        <v>809</v>
      </c>
      <c r="B830" s="0" t="s">
        <v>86</v>
      </c>
      <c r="C830" s="17" t="n">
        <v>-0.709240986916443</v>
      </c>
      <c r="D830" s="17" t="n">
        <f aca="false">(C830-$B$4)/($B$6/SQRT($B$7))</f>
        <v>-3.54620493458221</v>
      </c>
      <c r="E830" s="0" t="str">
        <f aca="false">IF(OR(AND($B$9="superior",D830&gt;$B$10),AND($B$9="inferior",D830&lt;-$B$10)),"Rechazar H0","No rechazar H0")</f>
        <v>Rechazar H0</v>
      </c>
      <c r="F830" s="0" t="str">
        <f aca="false">IF(AND(B830="H0 verdadera",E830="Rechazar H0"),"Error tipo I",IF(AND(B830="Ha verdadera",E830="No rechazar H0"),"Error tipo II","Decisión correcta"))</f>
        <v>Decisión correcta</v>
      </c>
    </row>
    <row r="831" customFormat="false" ht="15" hidden="false" customHeight="false" outlineLevel="0" collapsed="false">
      <c r="A831" s="0" t="n">
        <v>810</v>
      </c>
      <c r="B831" s="0" t="s">
        <v>86</v>
      </c>
      <c r="C831" s="17" t="n">
        <v>-0.406277462779928</v>
      </c>
      <c r="D831" s="17" t="n">
        <f aca="false">(C831-$B$4)/($B$6/SQRT($B$7))</f>
        <v>-2.03138731389964</v>
      </c>
      <c r="E831" s="0" t="str">
        <f aca="false">IF(OR(AND($B$9="superior",D831&gt;$B$10),AND($B$9="inferior",D831&lt;-$B$10)),"Rechazar H0","No rechazar H0")</f>
        <v>Rechazar H0</v>
      </c>
      <c r="F831" s="0" t="str">
        <f aca="false">IF(AND(B831="H0 verdadera",E831="Rechazar H0"),"Error tipo I",IF(AND(B831="Ha verdadera",E831="No rechazar H0"),"Error tipo II","Decisión correcta"))</f>
        <v>Decisión correcta</v>
      </c>
    </row>
    <row r="832" customFormat="false" ht="15" hidden="false" customHeight="false" outlineLevel="0" collapsed="false">
      <c r="A832" s="0" t="n">
        <v>811</v>
      </c>
      <c r="B832" s="0" t="s">
        <v>85</v>
      </c>
      <c r="C832" s="17" t="n">
        <v>-0.166133568249981</v>
      </c>
      <c r="D832" s="17" t="n">
        <f aca="false">(C832-$B$4)/($B$6/SQRT($B$7))</f>
        <v>-0.830667841249906</v>
      </c>
      <c r="E832" s="0" t="str">
        <f aca="false">IF(OR(AND($B$9="superior",D832&gt;$B$10),AND($B$9="inferior",D832&lt;-$B$10)),"Rechazar H0","No rechazar H0")</f>
        <v>No rechazar H0</v>
      </c>
      <c r="F832" s="0" t="str">
        <f aca="false">IF(AND(B832="H0 verdadera",E832="Rechazar H0"),"Error tipo I",IF(AND(B832="Ha verdadera",E832="No rechazar H0"),"Error tipo II","Decisión correcta"))</f>
        <v>Decisión correcta</v>
      </c>
    </row>
    <row r="833" customFormat="false" ht="15" hidden="false" customHeight="false" outlineLevel="0" collapsed="false">
      <c r="A833" s="0" t="n">
        <v>812</v>
      </c>
      <c r="B833" s="0" t="s">
        <v>86</v>
      </c>
      <c r="C833" s="17" t="n">
        <v>-0.335067147404058</v>
      </c>
      <c r="D833" s="17" t="n">
        <f aca="false">(C833-$B$4)/($B$6/SQRT($B$7))</f>
        <v>-1.67533573702029</v>
      </c>
      <c r="E833" s="0" t="str">
        <f aca="false">IF(OR(AND($B$9="superior",D833&gt;$B$10),AND($B$9="inferior",D833&lt;-$B$10)),"Rechazar H0","No rechazar H0")</f>
        <v>Rechazar H0</v>
      </c>
      <c r="F833" s="0" t="str">
        <f aca="false">IF(AND(B833="H0 verdadera",E833="Rechazar H0"),"Error tipo I",IF(AND(B833="Ha verdadera",E833="No rechazar H0"),"Error tipo II","Decisión correcta"))</f>
        <v>Decisión correcta</v>
      </c>
    </row>
    <row r="834" customFormat="false" ht="15" hidden="false" customHeight="false" outlineLevel="0" collapsed="false">
      <c r="A834" s="0" t="n">
        <v>813</v>
      </c>
      <c r="B834" s="0" t="s">
        <v>86</v>
      </c>
      <c r="C834" s="17" t="n">
        <v>-0.455718400239745</v>
      </c>
      <c r="D834" s="17" t="n">
        <f aca="false">(C834-$B$4)/($B$6/SQRT($B$7))</f>
        <v>-2.27859200119872</v>
      </c>
      <c r="E834" s="0" t="str">
        <f aca="false">IF(OR(AND($B$9="superior",D834&gt;$B$10),AND($B$9="inferior",D834&lt;-$B$10)),"Rechazar H0","No rechazar H0")</f>
        <v>Rechazar H0</v>
      </c>
      <c r="F834" s="0" t="str">
        <f aca="false">IF(AND(B834="H0 verdadera",E834="Rechazar H0"),"Error tipo I",IF(AND(B834="Ha verdadera",E834="No rechazar H0"),"Error tipo II","Decisión correcta"))</f>
        <v>Decisión correcta</v>
      </c>
    </row>
    <row r="835" customFormat="false" ht="15" hidden="false" customHeight="false" outlineLevel="0" collapsed="false">
      <c r="A835" s="0" t="n">
        <v>814</v>
      </c>
      <c r="B835" s="0" t="s">
        <v>85</v>
      </c>
      <c r="C835" s="17" t="n">
        <v>0.0398773746257338</v>
      </c>
      <c r="D835" s="17" t="n">
        <f aca="false">(C835-$B$4)/($B$6/SQRT($B$7))</f>
        <v>0.199386873128669</v>
      </c>
      <c r="E835" s="0" t="str">
        <f aca="false">IF(OR(AND($B$9="superior",D835&gt;$B$10),AND($B$9="inferior",D835&lt;-$B$10)),"Rechazar H0","No rechazar H0")</f>
        <v>No rechazar H0</v>
      </c>
      <c r="F835" s="0" t="str">
        <f aca="false">IF(AND(B835="H0 verdadera",E835="Rechazar H0"),"Error tipo I",IF(AND(B835="Ha verdadera",E835="No rechazar H0"),"Error tipo II","Decisión correcta"))</f>
        <v>Decisión correcta</v>
      </c>
    </row>
    <row r="836" customFormat="false" ht="15" hidden="false" customHeight="false" outlineLevel="0" collapsed="false">
      <c r="A836" s="0" t="n">
        <v>815</v>
      </c>
      <c r="B836" s="0" t="s">
        <v>85</v>
      </c>
      <c r="C836" s="17" t="n">
        <v>0.0224503116993605</v>
      </c>
      <c r="D836" s="17" t="n">
        <f aca="false">(C836-$B$4)/($B$6/SQRT($B$7))</f>
        <v>0.112251558496803</v>
      </c>
      <c r="E836" s="0" t="str">
        <f aca="false">IF(OR(AND($B$9="superior",D836&gt;$B$10),AND($B$9="inferior",D836&lt;-$B$10)),"Rechazar H0","No rechazar H0")</f>
        <v>No rechazar H0</v>
      </c>
      <c r="F836" s="0" t="str">
        <f aca="false">IF(AND(B836="H0 verdadera",E836="Rechazar H0"),"Error tipo I",IF(AND(B836="Ha verdadera",E836="No rechazar H0"),"Error tipo II","Decisión correcta"))</f>
        <v>Decisión correcta</v>
      </c>
    </row>
    <row r="837" customFormat="false" ht="15" hidden="false" customHeight="false" outlineLevel="0" collapsed="false">
      <c r="A837" s="0" t="n">
        <v>816</v>
      </c>
      <c r="B837" s="0" t="s">
        <v>85</v>
      </c>
      <c r="C837" s="17" t="n">
        <v>0.0229235724172858</v>
      </c>
      <c r="D837" s="17" t="n">
        <f aca="false">(C837-$B$4)/($B$6/SQRT($B$7))</f>
        <v>0.114617862086429</v>
      </c>
      <c r="E837" s="0" t="str">
        <f aca="false">IF(OR(AND($B$9="superior",D837&gt;$B$10),AND($B$9="inferior",D837&lt;-$B$10)),"Rechazar H0","No rechazar H0")</f>
        <v>No rechazar H0</v>
      </c>
      <c r="F837" s="0" t="str">
        <f aca="false">IF(AND(B837="H0 verdadera",E837="Rechazar H0"),"Error tipo I",IF(AND(B837="Ha verdadera",E837="No rechazar H0"),"Error tipo II","Decisión correcta"))</f>
        <v>Decisión correcta</v>
      </c>
    </row>
    <row r="838" customFormat="false" ht="15" hidden="false" customHeight="false" outlineLevel="0" collapsed="false">
      <c r="A838" s="0" t="n">
        <v>817</v>
      </c>
      <c r="B838" s="0" t="s">
        <v>86</v>
      </c>
      <c r="C838" s="17" t="n">
        <v>-0.204581285604577</v>
      </c>
      <c r="D838" s="17" t="n">
        <f aca="false">(C838-$B$4)/($B$6/SQRT($B$7))</f>
        <v>-1.02290642802289</v>
      </c>
      <c r="E838" s="0" t="str">
        <f aca="false">IF(OR(AND($B$9="superior",D838&gt;$B$10),AND($B$9="inferior",D838&lt;-$B$10)),"Rechazar H0","No rechazar H0")</f>
        <v>No rechazar H0</v>
      </c>
      <c r="F838" s="0" t="str">
        <f aca="false">IF(AND(B838="H0 verdadera",E838="Rechazar H0"),"Error tipo I",IF(AND(B838="Ha verdadera",E838="No rechazar H0"),"Error tipo II","Decisión correcta"))</f>
        <v>Error tipo II</v>
      </c>
    </row>
    <row r="839" customFormat="false" ht="15" hidden="false" customHeight="false" outlineLevel="0" collapsed="false">
      <c r="A839" s="0" t="n">
        <v>818</v>
      </c>
      <c r="B839" s="0" t="s">
        <v>86</v>
      </c>
      <c r="C839" s="17" t="n">
        <v>-0.236996800368693</v>
      </c>
      <c r="D839" s="17" t="n">
        <f aca="false">(C839-$B$4)/($B$6/SQRT($B$7))</f>
        <v>-1.18498400184347</v>
      </c>
      <c r="E839" s="0" t="str">
        <f aca="false">IF(OR(AND($B$9="superior",D839&gt;$B$10),AND($B$9="inferior",D839&lt;-$B$10)),"Rechazar H0","No rechazar H0")</f>
        <v>No rechazar H0</v>
      </c>
      <c r="F839" s="0" t="str">
        <f aca="false">IF(AND(B839="H0 verdadera",E839="Rechazar H0"),"Error tipo I",IF(AND(B839="Ha verdadera",E839="No rechazar H0"),"Error tipo II","Decisión correcta"))</f>
        <v>Error tipo II</v>
      </c>
    </row>
    <row r="840" customFormat="false" ht="15" hidden="false" customHeight="false" outlineLevel="0" collapsed="false">
      <c r="A840" s="0" t="n">
        <v>819</v>
      </c>
      <c r="B840" s="0" t="s">
        <v>85</v>
      </c>
      <c r="C840" s="17" t="n">
        <v>-0.0427999072361114</v>
      </c>
      <c r="D840" s="17" t="n">
        <f aca="false">(C840-$B$4)/($B$6/SQRT($B$7))</f>
        <v>-0.213999536180557</v>
      </c>
      <c r="E840" s="0" t="str">
        <f aca="false">IF(OR(AND($B$9="superior",D840&gt;$B$10),AND($B$9="inferior",D840&lt;-$B$10)),"Rechazar H0","No rechazar H0")</f>
        <v>No rechazar H0</v>
      </c>
      <c r="F840" s="0" t="str">
        <f aca="false">IF(AND(B840="H0 verdadera",E840="Rechazar H0"),"Error tipo I",IF(AND(B840="Ha verdadera",E840="No rechazar H0"),"Error tipo II","Decisión correcta"))</f>
        <v>Decisión correcta</v>
      </c>
    </row>
    <row r="841" customFormat="false" ht="15" hidden="false" customHeight="false" outlineLevel="0" collapsed="false">
      <c r="A841" s="0" t="n">
        <v>820</v>
      </c>
      <c r="B841" s="0" t="s">
        <v>86</v>
      </c>
      <c r="C841" s="17" t="n">
        <v>-0.802148637173894</v>
      </c>
      <c r="D841" s="17" t="n">
        <f aca="false">(C841-$B$4)/($B$6/SQRT($B$7))</f>
        <v>-4.01074318586947</v>
      </c>
      <c r="E841" s="0" t="str">
        <f aca="false">IF(OR(AND($B$9="superior",D841&gt;$B$10),AND($B$9="inferior",D841&lt;-$B$10)),"Rechazar H0","No rechazar H0")</f>
        <v>Rechazar H0</v>
      </c>
      <c r="F841" s="0" t="str">
        <f aca="false">IF(AND(B841="H0 verdadera",E841="Rechazar H0"),"Error tipo I",IF(AND(B841="Ha verdadera",E841="No rechazar H0"),"Error tipo II","Decisión correcta"))</f>
        <v>Decisión correcta</v>
      </c>
    </row>
    <row r="842" customFormat="false" ht="15" hidden="false" customHeight="false" outlineLevel="0" collapsed="false">
      <c r="A842" s="0" t="n">
        <v>821</v>
      </c>
      <c r="B842" s="0" t="s">
        <v>85</v>
      </c>
      <c r="C842" s="17" t="n">
        <v>0.155475706556343</v>
      </c>
      <c r="D842" s="17" t="n">
        <f aca="false">(C842-$B$4)/($B$6/SQRT($B$7))</f>
        <v>0.777378532781717</v>
      </c>
      <c r="E842" s="0" t="str">
        <f aca="false">IF(OR(AND($B$9="superior",D842&gt;$B$10),AND($B$9="inferior",D842&lt;-$B$10)),"Rechazar H0","No rechazar H0")</f>
        <v>No rechazar H0</v>
      </c>
      <c r="F842" s="0" t="str">
        <f aca="false">IF(AND(B842="H0 verdadera",E842="Rechazar H0"),"Error tipo I",IF(AND(B842="Ha verdadera",E842="No rechazar H0"),"Error tipo II","Decisión correcta"))</f>
        <v>Decisión correcta</v>
      </c>
    </row>
    <row r="843" customFormat="false" ht="15" hidden="false" customHeight="false" outlineLevel="0" collapsed="false">
      <c r="A843" s="0" t="n">
        <v>822</v>
      </c>
      <c r="B843" s="0" t="s">
        <v>86</v>
      </c>
      <c r="C843" s="17" t="n">
        <v>-0.498073351458317</v>
      </c>
      <c r="D843" s="17" t="n">
        <f aca="false">(C843-$B$4)/($B$6/SQRT($B$7))</f>
        <v>-2.49036675729158</v>
      </c>
      <c r="E843" s="0" t="str">
        <f aca="false">IF(OR(AND($B$9="superior",D843&gt;$B$10),AND($B$9="inferior",D843&lt;-$B$10)),"Rechazar H0","No rechazar H0")</f>
        <v>Rechazar H0</v>
      </c>
      <c r="F843" s="0" t="str">
        <f aca="false">IF(AND(B843="H0 verdadera",E843="Rechazar H0"),"Error tipo I",IF(AND(B843="Ha verdadera",E843="No rechazar H0"),"Error tipo II","Decisión correcta"))</f>
        <v>Decisión correcta</v>
      </c>
    </row>
    <row r="844" customFormat="false" ht="15" hidden="false" customHeight="false" outlineLevel="0" collapsed="false">
      <c r="A844" s="0" t="n">
        <v>823</v>
      </c>
      <c r="B844" s="0" t="s">
        <v>85</v>
      </c>
      <c r="C844" s="17" t="n">
        <v>-0.190211118789515</v>
      </c>
      <c r="D844" s="17" t="n">
        <f aca="false">(C844-$B$4)/($B$6/SQRT($B$7))</f>
        <v>-0.951055593947573</v>
      </c>
      <c r="E844" s="0" t="str">
        <f aca="false">IF(OR(AND($B$9="superior",D844&gt;$B$10),AND($B$9="inferior",D844&lt;-$B$10)),"Rechazar H0","No rechazar H0")</f>
        <v>No rechazar H0</v>
      </c>
      <c r="F844" s="0" t="str">
        <f aca="false">IF(AND(B844="H0 verdadera",E844="Rechazar H0"),"Error tipo I",IF(AND(B844="Ha verdadera",E844="No rechazar H0"),"Error tipo II","Decisión correcta"))</f>
        <v>Decisión correcta</v>
      </c>
    </row>
    <row r="845" customFormat="false" ht="15" hidden="false" customHeight="false" outlineLevel="0" collapsed="false">
      <c r="A845" s="0" t="n">
        <v>824</v>
      </c>
      <c r="B845" s="0" t="s">
        <v>86</v>
      </c>
      <c r="C845" s="17" t="n">
        <v>0.0333916702768216</v>
      </c>
      <c r="D845" s="17" t="n">
        <f aca="false">(C845-$B$4)/($B$6/SQRT($B$7))</f>
        <v>0.166958351384108</v>
      </c>
      <c r="E845" s="0" t="str">
        <f aca="false">IF(OR(AND($B$9="superior",D845&gt;$B$10),AND($B$9="inferior",D845&lt;-$B$10)),"Rechazar H0","No rechazar H0")</f>
        <v>No rechazar H0</v>
      </c>
      <c r="F845" s="0" t="str">
        <f aca="false">IF(AND(B845="H0 verdadera",E845="Rechazar H0"),"Error tipo I",IF(AND(B845="Ha verdadera",E845="No rechazar H0"),"Error tipo II","Decisión correcta"))</f>
        <v>Error tipo II</v>
      </c>
    </row>
    <row r="846" customFormat="false" ht="15" hidden="false" customHeight="false" outlineLevel="0" collapsed="false">
      <c r="A846" s="0" t="n">
        <v>825</v>
      </c>
      <c r="B846" s="0" t="s">
        <v>85</v>
      </c>
      <c r="C846" s="17" t="n">
        <v>-0.17813621247109</v>
      </c>
      <c r="D846" s="17" t="n">
        <f aca="false">(C846-$B$4)/($B$6/SQRT($B$7))</f>
        <v>-0.890681062355449</v>
      </c>
      <c r="E846" s="0" t="str">
        <f aca="false">IF(OR(AND($B$9="superior",D846&gt;$B$10),AND($B$9="inferior",D846&lt;-$B$10)),"Rechazar H0","No rechazar H0")</f>
        <v>No rechazar H0</v>
      </c>
      <c r="F846" s="0" t="str">
        <f aca="false">IF(AND(B846="H0 verdadera",E846="Rechazar H0"),"Error tipo I",IF(AND(B846="Ha verdadera",E846="No rechazar H0"),"Error tipo II","Decisión correcta"))</f>
        <v>Decisión correcta</v>
      </c>
    </row>
    <row r="847" customFormat="false" ht="15" hidden="false" customHeight="false" outlineLevel="0" collapsed="false">
      <c r="A847" s="0" t="n">
        <v>826</v>
      </c>
      <c r="B847" s="0" t="s">
        <v>86</v>
      </c>
      <c r="C847" s="17" t="n">
        <v>-0.242961076564121</v>
      </c>
      <c r="D847" s="17" t="n">
        <f aca="false">(C847-$B$4)/($B$6/SQRT($B$7))</f>
        <v>-1.2148053828206</v>
      </c>
      <c r="E847" s="0" t="str">
        <f aca="false">IF(OR(AND($B$9="superior",D847&gt;$B$10),AND($B$9="inferior",D847&lt;-$B$10)),"Rechazar H0","No rechazar H0")</f>
        <v>No rechazar H0</v>
      </c>
      <c r="F847" s="0" t="str">
        <f aca="false">IF(AND(B847="H0 verdadera",E847="Rechazar H0"),"Error tipo I",IF(AND(B847="Ha verdadera",E847="No rechazar H0"),"Error tipo II","Decisión correcta"))</f>
        <v>Error tipo II</v>
      </c>
    </row>
    <row r="848" customFormat="false" ht="15" hidden="false" customHeight="false" outlineLevel="0" collapsed="false">
      <c r="A848" s="0" t="n">
        <v>827</v>
      </c>
      <c r="B848" s="0" t="s">
        <v>85</v>
      </c>
      <c r="C848" s="17" t="n">
        <v>0.1016307920708</v>
      </c>
      <c r="D848" s="17" t="n">
        <f aca="false">(C848-$B$4)/($B$6/SQRT($B$7))</f>
        <v>0.508153960354</v>
      </c>
      <c r="E848" s="0" t="str">
        <f aca="false">IF(OR(AND($B$9="superior",D848&gt;$B$10),AND($B$9="inferior",D848&lt;-$B$10)),"Rechazar H0","No rechazar H0")</f>
        <v>No rechazar H0</v>
      </c>
      <c r="F848" s="0" t="str">
        <f aca="false">IF(AND(B848="H0 verdadera",E848="Rechazar H0"),"Error tipo I",IF(AND(B848="Ha verdadera",E848="No rechazar H0"),"Error tipo II","Decisión correcta"))</f>
        <v>Decisión correcta</v>
      </c>
    </row>
    <row r="849" customFormat="false" ht="15" hidden="false" customHeight="false" outlineLevel="0" collapsed="false">
      <c r="A849" s="0" t="n">
        <v>828</v>
      </c>
      <c r="B849" s="0" t="s">
        <v>86</v>
      </c>
      <c r="C849" s="17" t="n">
        <v>-0.82360645204547</v>
      </c>
      <c r="D849" s="17" t="n">
        <f aca="false">(C849-$B$4)/($B$6/SQRT($B$7))</f>
        <v>-4.11803226022735</v>
      </c>
      <c r="E849" s="0" t="str">
        <f aca="false">IF(OR(AND($B$9="superior",D849&gt;$B$10),AND($B$9="inferior",D849&lt;-$B$10)),"Rechazar H0","No rechazar H0")</f>
        <v>Rechazar H0</v>
      </c>
      <c r="F849" s="0" t="str">
        <f aca="false">IF(AND(B849="H0 verdadera",E849="Rechazar H0"),"Error tipo I",IF(AND(B849="Ha verdadera",E849="No rechazar H0"),"Error tipo II","Decisión correcta"))</f>
        <v>Decisión correcta</v>
      </c>
    </row>
    <row r="850" customFormat="false" ht="15" hidden="false" customHeight="false" outlineLevel="0" collapsed="false">
      <c r="A850" s="0" t="n">
        <v>829</v>
      </c>
      <c r="B850" s="0" t="s">
        <v>86</v>
      </c>
      <c r="C850" s="17" t="n">
        <v>-0.197467397559109</v>
      </c>
      <c r="D850" s="17" t="n">
        <f aca="false">(C850-$B$4)/($B$6/SQRT($B$7))</f>
        <v>-0.987336987795543</v>
      </c>
      <c r="E850" s="0" t="str">
        <f aca="false">IF(OR(AND($B$9="superior",D850&gt;$B$10),AND($B$9="inferior",D850&lt;-$B$10)),"Rechazar H0","No rechazar H0")</f>
        <v>No rechazar H0</v>
      </c>
      <c r="F850" s="0" t="str">
        <f aca="false">IF(AND(B850="H0 verdadera",E850="Rechazar H0"),"Error tipo I",IF(AND(B850="Ha verdadera",E850="No rechazar H0"),"Error tipo II","Decisión correcta"))</f>
        <v>Error tipo II</v>
      </c>
    </row>
    <row r="851" customFormat="false" ht="15" hidden="false" customHeight="false" outlineLevel="0" collapsed="false">
      <c r="A851" s="0" t="n">
        <v>830</v>
      </c>
      <c r="B851" s="0" t="s">
        <v>85</v>
      </c>
      <c r="C851" s="17" t="n">
        <v>0.282422681866636</v>
      </c>
      <c r="D851" s="17" t="n">
        <f aca="false">(C851-$B$4)/($B$6/SQRT($B$7))</f>
        <v>1.41211340933318</v>
      </c>
      <c r="E851" s="0" t="str">
        <f aca="false">IF(OR(AND($B$9="superior",D851&gt;$B$10),AND($B$9="inferior",D851&lt;-$B$10)),"Rechazar H0","No rechazar H0")</f>
        <v>No rechazar H0</v>
      </c>
      <c r="F851" s="0" t="str">
        <f aca="false">IF(AND(B851="H0 verdadera",E851="Rechazar H0"),"Error tipo I",IF(AND(B851="Ha verdadera",E851="No rechazar H0"),"Error tipo II","Decisión correcta"))</f>
        <v>Decisión correcta</v>
      </c>
    </row>
    <row r="852" customFormat="false" ht="15" hidden="false" customHeight="false" outlineLevel="0" collapsed="false">
      <c r="A852" s="0" t="n">
        <v>831</v>
      </c>
      <c r="B852" s="0" t="s">
        <v>86</v>
      </c>
      <c r="C852" s="17" t="n">
        <v>-0.293066238536409</v>
      </c>
      <c r="D852" s="17" t="n">
        <f aca="false">(C852-$B$4)/($B$6/SQRT($B$7))</f>
        <v>-1.46533119268204</v>
      </c>
      <c r="E852" s="0" t="str">
        <f aca="false">IF(OR(AND($B$9="superior",D852&gt;$B$10),AND($B$9="inferior",D852&lt;-$B$10)),"Rechazar H0","No rechazar H0")</f>
        <v>No rechazar H0</v>
      </c>
      <c r="F852" s="0" t="str">
        <f aca="false">IF(AND(B852="H0 verdadera",E852="Rechazar H0"),"Error tipo I",IF(AND(B852="Ha verdadera",E852="No rechazar H0"),"Error tipo II","Decisión correcta"))</f>
        <v>Error tipo II</v>
      </c>
    </row>
    <row r="853" customFormat="false" ht="15" hidden="false" customHeight="false" outlineLevel="0" collapsed="false">
      <c r="A853" s="0" t="n">
        <v>832</v>
      </c>
      <c r="B853" s="0" t="s">
        <v>85</v>
      </c>
      <c r="C853" s="17" t="n">
        <v>0.111130663695941</v>
      </c>
      <c r="D853" s="17" t="n">
        <f aca="false">(C853-$B$4)/($B$6/SQRT($B$7))</f>
        <v>0.555653318479706</v>
      </c>
      <c r="E853" s="0" t="str">
        <f aca="false">IF(OR(AND($B$9="superior",D853&gt;$B$10),AND($B$9="inferior",D853&lt;-$B$10)),"Rechazar H0","No rechazar H0")</f>
        <v>No rechazar H0</v>
      </c>
      <c r="F853" s="0" t="str">
        <f aca="false">IF(AND(B853="H0 verdadera",E853="Rechazar H0"),"Error tipo I",IF(AND(B853="Ha verdadera",E853="No rechazar H0"),"Error tipo II","Decisión correcta"))</f>
        <v>Decisión correcta</v>
      </c>
    </row>
    <row r="854" customFormat="false" ht="15" hidden="false" customHeight="false" outlineLevel="0" collapsed="false">
      <c r="A854" s="0" t="n">
        <v>833</v>
      </c>
      <c r="B854" s="0" t="s">
        <v>85</v>
      </c>
      <c r="C854" s="17" t="n">
        <v>-0.0930117159856631</v>
      </c>
      <c r="D854" s="17" t="n">
        <f aca="false">(C854-$B$4)/($B$6/SQRT($B$7))</f>
        <v>-0.465058579928315</v>
      </c>
      <c r="E854" s="0" t="str">
        <f aca="false">IF(OR(AND($B$9="superior",D854&gt;$B$10),AND($B$9="inferior",D854&lt;-$B$10)),"Rechazar H0","No rechazar H0")</f>
        <v>No rechazar H0</v>
      </c>
      <c r="F854" s="0" t="str">
        <f aca="false">IF(AND(B854="H0 verdadera",E854="Rechazar H0"),"Error tipo I",IF(AND(B854="Ha verdadera",E854="No rechazar H0"),"Error tipo II","Decisión correcta"))</f>
        <v>Decisión correcta</v>
      </c>
    </row>
    <row r="855" customFormat="false" ht="15" hidden="false" customHeight="false" outlineLevel="0" collapsed="false">
      <c r="A855" s="0" t="n">
        <v>834</v>
      </c>
      <c r="B855" s="0" t="s">
        <v>85</v>
      </c>
      <c r="C855" s="17" t="n">
        <v>-0.189668684457481</v>
      </c>
      <c r="D855" s="17" t="n">
        <f aca="false">(C855-$B$4)/($B$6/SQRT($B$7))</f>
        <v>-0.948343422287404</v>
      </c>
      <c r="E855" s="0" t="str">
        <f aca="false">IF(OR(AND($B$9="superior",D855&gt;$B$10),AND($B$9="inferior",D855&lt;-$B$10)),"Rechazar H0","No rechazar H0")</f>
        <v>No rechazar H0</v>
      </c>
      <c r="F855" s="0" t="str">
        <f aca="false">IF(AND(B855="H0 verdadera",E855="Rechazar H0"),"Error tipo I",IF(AND(B855="Ha verdadera",E855="No rechazar H0"),"Error tipo II","Decisión correcta"))</f>
        <v>Decisión correcta</v>
      </c>
    </row>
    <row r="856" customFormat="false" ht="15" hidden="false" customHeight="false" outlineLevel="0" collapsed="false">
      <c r="A856" s="0" t="n">
        <v>835</v>
      </c>
      <c r="B856" s="0" t="s">
        <v>85</v>
      </c>
      <c r="C856" s="17" t="n">
        <v>0.303809693678704</v>
      </c>
      <c r="D856" s="17" t="n">
        <f aca="false">(C856-$B$4)/($B$6/SQRT($B$7))</f>
        <v>1.51904846839352</v>
      </c>
      <c r="E856" s="0" t="str">
        <f aca="false">IF(OR(AND($B$9="superior",D856&gt;$B$10),AND($B$9="inferior",D856&lt;-$B$10)),"Rechazar H0","No rechazar H0")</f>
        <v>No rechazar H0</v>
      </c>
      <c r="F856" s="0" t="str">
        <f aca="false">IF(AND(B856="H0 verdadera",E856="Rechazar H0"),"Error tipo I",IF(AND(B856="Ha verdadera",E856="No rechazar H0"),"Error tipo II","Decisión correcta"))</f>
        <v>Decisión correcta</v>
      </c>
    </row>
    <row r="857" customFormat="false" ht="15" hidden="false" customHeight="false" outlineLevel="0" collapsed="false">
      <c r="A857" s="0" t="n">
        <v>836</v>
      </c>
      <c r="B857" s="0" t="s">
        <v>85</v>
      </c>
      <c r="C857" s="17" t="n">
        <v>0.0482168038565402</v>
      </c>
      <c r="D857" s="17" t="n">
        <f aca="false">(C857-$B$4)/($B$6/SQRT($B$7))</f>
        <v>0.241084019282701</v>
      </c>
      <c r="E857" s="0" t="str">
        <f aca="false">IF(OR(AND($B$9="superior",D857&gt;$B$10),AND($B$9="inferior",D857&lt;-$B$10)),"Rechazar H0","No rechazar H0")</f>
        <v>No rechazar H0</v>
      </c>
      <c r="F857" s="0" t="str">
        <f aca="false">IF(AND(B857="H0 verdadera",E857="Rechazar H0"),"Error tipo I",IF(AND(B857="Ha verdadera",E857="No rechazar H0"),"Error tipo II","Decisión correcta"))</f>
        <v>Decisión correcta</v>
      </c>
    </row>
    <row r="858" customFormat="false" ht="15" hidden="false" customHeight="false" outlineLevel="0" collapsed="false">
      <c r="A858" s="0" t="n">
        <v>837</v>
      </c>
      <c r="B858" s="0" t="s">
        <v>86</v>
      </c>
      <c r="C858" s="17" t="n">
        <v>-0.288296301019323</v>
      </c>
      <c r="D858" s="17" t="n">
        <f aca="false">(C858-$B$4)/($B$6/SQRT($B$7))</f>
        <v>-1.44148150509662</v>
      </c>
      <c r="E858" s="0" t="str">
        <f aca="false">IF(OR(AND($B$9="superior",D858&gt;$B$10),AND($B$9="inferior",D858&lt;-$B$10)),"Rechazar H0","No rechazar H0")</f>
        <v>No rechazar H0</v>
      </c>
      <c r="F858" s="0" t="str">
        <f aca="false">IF(AND(B858="H0 verdadera",E858="Rechazar H0"),"Error tipo I",IF(AND(B858="Ha verdadera",E858="No rechazar H0"),"Error tipo II","Decisión correcta"))</f>
        <v>Error tipo II</v>
      </c>
    </row>
    <row r="859" customFormat="false" ht="15" hidden="false" customHeight="false" outlineLevel="0" collapsed="false">
      <c r="A859" s="0" t="n">
        <v>838</v>
      </c>
      <c r="B859" s="0" t="s">
        <v>85</v>
      </c>
      <c r="C859" s="17" t="n">
        <v>0.197732991360795</v>
      </c>
      <c r="D859" s="17" t="n">
        <f aca="false">(C859-$B$4)/($B$6/SQRT($B$7))</f>
        <v>0.988664956803976</v>
      </c>
      <c r="E859" s="0" t="str">
        <f aca="false">IF(OR(AND($B$9="superior",D859&gt;$B$10),AND($B$9="inferior",D859&lt;-$B$10)),"Rechazar H0","No rechazar H0")</f>
        <v>No rechazar H0</v>
      </c>
      <c r="F859" s="0" t="str">
        <f aca="false">IF(AND(B859="H0 verdadera",E859="Rechazar H0"),"Error tipo I",IF(AND(B859="Ha verdadera",E859="No rechazar H0"),"Error tipo II","Decisión correcta"))</f>
        <v>Decisión correcta</v>
      </c>
    </row>
    <row r="860" customFormat="false" ht="15" hidden="false" customHeight="false" outlineLevel="0" collapsed="false">
      <c r="A860" s="0" t="n">
        <v>839</v>
      </c>
      <c r="B860" s="0" t="s">
        <v>86</v>
      </c>
      <c r="C860" s="17" t="n">
        <v>-0.353582049390565</v>
      </c>
      <c r="D860" s="17" t="n">
        <f aca="false">(C860-$B$4)/($B$6/SQRT($B$7))</f>
        <v>-1.76791024695282</v>
      </c>
      <c r="E860" s="0" t="str">
        <f aca="false">IF(OR(AND($B$9="superior",D860&gt;$B$10),AND($B$9="inferior",D860&lt;-$B$10)),"Rechazar H0","No rechazar H0")</f>
        <v>Rechazar H0</v>
      </c>
      <c r="F860" s="0" t="str">
        <f aca="false">IF(AND(B860="H0 verdadera",E860="Rechazar H0"),"Error tipo I",IF(AND(B860="Ha verdadera",E860="No rechazar H0"),"Error tipo II","Decisión correcta"))</f>
        <v>Decisión correcta</v>
      </c>
    </row>
    <row r="861" customFormat="false" ht="15" hidden="false" customHeight="false" outlineLevel="0" collapsed="false">
      <c r="A861" s="0" t="n">
        <v>840</v>
      </c>
      <c r="B861" s="0" t="s">
        <v>86</v>
      </c>
      <c r="C861" s="17" t="n">
        <v>-0.776275296639187</v>
      </c>
      <c r="D861" s="17" t="n">
        <f aca="false">(C861-$B$4)/($B$6/SQRT($B$7))</f>
        <v>-3.88137648319594</v>
      </c>
      <c r="E861" s="0" t="str">
        <f aca="false">IF(OR(AND($B$9="superior",D861&gt;$B$10),AND($B$9="inferior",D861&lt;-$B$10)),"Rechazar H0","No rechazar H0")</f>
        <v>Rechazar H0</v>
      </c>
      <c r="F861" s="0" t="str">
        <f aca="false">IF(AND(B861="H0 verdadera",E861="Rechazar H0"),"Error tipo I",IF(AND(B861="Ha verdadera",E861="No rechazar H0"),"Error tipo II","Decisión correcta"))</f>
        <v>Decisión correcta</v>
      </c>
    </row>
    <row r="862" customFormat="false" ht="15" hidden="false" customHeight="false" outlineLevel="0" collapsed="false">
      <c r="A862" s="0" t="n">
        <v>841</v>
      </c>
      <c r="B862" s="0" t="s">
        <v>86</v>
      </c>
      <c r="C862" s="17" t="n">
        <v>-0.317986424570789</v>
      </c>
      <c r="D862" s="17" t="n">
        <f aca="false">(C862-$B$4)/($B$6/SQRT($B$7))</f>
        <v>-1.58993212285394</v>
      </c>
      <c r="E862" s="0" t="str">
        <f aca="false">IF(OR(AND($B$9="superior",D862&gt;$B$10),AND($B$9="inferior",D862&lt;-$B$10)),"Rechazar H0","No rechazar H0")</f>
        <v>No rechazar H0</v>
      </c>
      <c r="F862" s="0" t="str">
        <f aca="false">IF(AND(B862="H0 verdadera",E862="Rechazar H0"),"Error tipo I",IF(AND(B862="Ha verdadera",E862="No rechazar H0"),"Error tipo II","Decisión correcta"))</f>
        <v>Error tipo II</v>
      </c>
    </row>
    <row r="863" customFormat="false" ht="15" hidden="false" customHeight="false" outlineLevel="0" collapsed="false">
      <c r="A863" s="0" t="n">
        <v>842</v>
      </c>
      <c r="B863" s="0" t="s">
        <v>85</v>
      </c>
      <c r="C863" s="17" t="n">
        <v>-0.0477266599530999</v>
      </c>
      <c r="D863" s="17" t="n">
        <f aca="false">(C863-$B$4)/($B$6/SQRT($B$7))</f>
        <v>-0.2386332997655</v>
      </c>
      <c r="E863" s="0" t="str">
        <f aca="false">IF(OR(AND($B$9="superior",D863&gt;$B$10),AND($B$9="inferior",D863&lt;-$B$10)),"Rechazar H0","No rechazar H0")</f>
        <v>No rechazar H0</v>
      </c>
      <c r="F863" s="0" t="str">
        <f aca="false">IF(AND(B863="H0 verdadera",E863="Rechazar H0"),"Error tipo I",IF(AND(B863="Ha verdadera",E863="No rechazar H0"),"Error tipo II","Decisión correcta"))</f>
        <v>Decisión correcta</v>
      </c>
    </row>
    <row r="864" customFormat="false" ht="15" hidden="false" customHeight="false" outlineLevel="0" collapsed="false">
      <c r="A864" s="0" t="n">
        <v>843</v>
      </c>
      <c r="B864" s="0" t="s">
        <v>85</v>
      </c>
      <c r="C864" s="17" t="n">
        <v>0.261848449169076</v>
      </c>
      <c r="D864" s="17" t="n">
        <f aca="false">(C864-$B$4)/($B$6/SQRT($B$7))</f>
        <v>1.30924224584538</v>
      </c>
      <c r="E864" s="0" t="str">
        <f aca="false">IF(OR(AND($B$9="superior",D864&gt;$B$10),AND($B$9="inferior",D864&lt;-$B$10)),"Rechazar H0","No rechazar H0")</f>
        <v>No rechazar H0</v>
      </c>
      <c r="F864" s="0" t="str">
        <f aca="false">IF(AND(B864="H0 verdadera",E864="Rechazar H0"),"Error tipo I",IF(AND(B864="Ha verdadera",E864="No rechazar H0"),"Error tipo II","Decisión correcta"))</f>
        <v>Decisión correcta</v>
      </c>
    </row>
    <row r="865" customFormat="false" ht="15" hidden="false" customHeight="false" outlineLevel="0" collapsed="false">
      <c r="A865" s="0" t="n">
        <v>844</v>
      </c>
      <c r="B865" s="0" t="s">
        <v>85</v>
      </c>
      <c r="C865" s="17" t="n">
        <v>-0.0731335986892242</v>
      </c>
      <c r="D865" s="17" t="n">
        <f aca="false">(C865-$B$4)/($B$6/SQRT($B$7))</f>
        <v>-0.365667993446121</v>
      </c>
      <c r="E865" s="0" t="str">
        <f aca="false">IF(OR(AND($B$9="superior",D865&gt;$B$10),AND($B$9="inferior",D865&lt;-$B$10)),"Rechazar H0","No rechazar H0")</f>
        <v>No rechazar H0</v>
      </c>
      <c r="F865" s="0" t="str">
        <f aca="false">IF(AND(B865="H0 verdadera",E865="Rechazar H0"),"Error tipo I",IF(AND(B865="Ha verdadera",E865="No rechazar H0"),"Error tipo II","Decisión correcta"))</f>
        <v>Decisión correcta</v>
      </c>
    </row>
    <row r="866" customFormat="false" ht="15" hidden="false" customHeight="false" outlineLevel="0" collapsed="false">
      <c r="A866" s="0" t="n">
        <v>845</v>
      </c>
      <c r="B866" s="0" t="s">
        <v>86</v>
      </c>
      <c r="C866" s="17" t="n">
        <v>-0.394870579726744</v>
      </c>
      <c r="D866" s="17" t="n">
        <f aca="false">(C866-$B$4)/($B$6/SQRT($B$7))</f>
        <v>-1.97435289863372</v>
      </c>
      <c r="E866" s="0" t="str">
        <f aca="false">IF(OR(AND($B$9="superior",D866&gt;$B$10),AND($B$9="inferior",D866&lt;-$B$10)),"Rechazar H0","No rechazar H0")</f>
        <v>Rechazar H0</v>
      </c>
      <c r="F866" s="0" t="str">
        <f aca="false">IF(AND(B866="H0 verdadera",E866="Rechazar H0"),"Error tipo I",IF(AND(B866="Ha verdadera",E866="No rechazar H0"),"Error tipo II","Decisión correcta"))</f>
        <v>Decisión correcta</v>
      </c>
    </row>
    <row r="867" customFormat="false" ht="15" hidden="false" customHeight="false" outlineLevel="0" collapsed="false">
      <c r="A867" s="0" t="n">
        <v>846</v>
      </c>
      <c r="B867" s="0" t="s">
        <v>86</v>
      </c>
      <c r="C867" s="17" t="n">
        <v>-0.510891896500766</v>
      </c>
      <c r="D867" s="17" t="n">
        <f aca="false">(C867-$B$4)/($B$6/SQRT($B$7))</f>
        <v>-2.55445948250383</v>
      </c>
      <c r="E867" s="0" t="str">
        <f aca="false">IF(OR(AND($B$9="superior",D867&gt;$B$10),AND($B$9="inferior",D867&lt;-$B$10)),"Rechazar H0","No rechazar H0")</f>
        <v>Rechazar H0</v>
      </c>
      <c r="F867" s="0" t="str">
        <f aca="false">IF(AND(B867="H0 verdadera",E867="Rechazar H0"),"Error tipo I",IF(AND(B867="Ha verdadera",E867="No rechazar H0"),"Error tipo II","Decisión correcta"))</f>
        <v>Decisión correcta</v>
      </c>
    </row>
    <row r="868" customFormat="false" ht="15" hidden="false" customHeight="false" outlineLevel="0" collapsed="false">
      <c r="A868" s="0" t="n">
        <v>847</v>
      </c>
      <c r="B868" s="0" t="s">
        <v>85</v>
      </c>
      <c r="C868" s="17" t="n">
        <v>0.0534422505652178</v>
      </c>
      <c r="D868" s="17" t="n">
        <f aca="false">(C868-$B$4)/($B$6/SQRT($B$7))</f>
        <v>0.267211252826089</v>
      </c>
      <c r="E868" s="0" t="str">
        <f aca="false">IF(OR(AND($B$9="superior",D868&gt;$B$10),AND($B$9="inferior",D868&lt;-$B$10)),"Rechazar H0","No rechazar H0")</f>
        <v>No rechazar H0</v>
      </c>
      <c r="F868" s="0" t="str">
        <f aca="false">IF(AND(B868="H0 verdadera",E868="Rechazar H0"),"Error tipo I",IF(AND(B868="Ha verdadera",E868="No rechazar H0"),"Error tipo II","Decisión correcta"))</f>
        <v>Decisión correcta</v>
      </c>
    </row>
    <row r="869" customFormat="false" ht="15" hidden="false" customHeight="false" outlineLevel="0" collapsed="false">
      <c r="A869" s="0" t="n">
        <v>848</v>
      </c>
      <c r="B869" s="0" t="s">
        <v>85</v>
      </c>
      <c r="C869" s="17" t="n">
        <v>0.107597325252929</v>
      </c>
      <c r="D869" s="17" t="n">
        <f aca="false">(C869-$B$4)/($B$6/SQRT($B$7))</f>
        <v>0.537986626264645</v>
      </c>
      <c r="E869" s="0" t="str">
        <f aca="false">IF(OR(AND($B$9="superior",D869&gt;$B$10),AND($B$9="inferior",D869&lt;-$B$10)),"Rechazar H0","No rechazar H0")</f>
        <v>No rechazar H0</v>
      </c>
      <c r="F869" s="0" t="str">
        <f aca="false">IF(AND(B869="H0 verdadera",E869="Rechazar H0"),"Error tipo I",IF(AND(B869="Ha verdadera",E869="No rechazar H0"),"Error tipo II","Decisión correcta"))</f>
        <v>Decisión correcta</v>
      </c>
    </row>
    <row r="870" customFormat="false" ht="15" hidden="false" customHeight="false" outlineLevel="0" collapsed="false">
      <c r="A870" s="0" t="n">
        <v>849</v>
      </c>
      <c r="B870" s="0" t="s">
        <v>86</v>
      </c>
      <c r="C870" s="17" t="n">
        <v>-0.76222328231717</v>
      </c>
      <c r="D870" s="17" t="n">
        <f aca="false">(C870-$B$4)/($B$6/SQRT($B$7))</f>
        <v>-3.81111641158585</v>
      </c>
      <c r="E870" s="0" t="str">
        <f aca="false">IF(OR(AND($B$9="superior",D870&gt;$B$10),AND($B$9="inferior",D870&lt;-$B$10)),"Rechazar H0","No rechazar H0")</f>
        <v>Rechazar H0</v>
      </c>
      <c r="F870" s="0" t="str">
        <f aca="false">IF(AND(B870="H0 verdadera",E870="Rechazar H0"),"Error tipo I",IF(AND(B870="Ha verdadera",E870="No rechazar H0"),"Error tipo II","Decisión correcta"))</f>
        <v>Decisión correcta</v>
      </c>
    </row>
    <row r="871" customFormat="false" ht="15" hidden="false" customHeight="false" outlineLevel="0" collapsed="false">
      <c r="A871" s="0" t="n">
        <v>850</v>
      </c>
      <c r="B871" s="0" t="s">
        <v>85</v>
      </c>
      <c r="C871" s="17" t="n">
        <v>0.0289418372448294</v>
      </c>
      <c r="D871" s="17" t="n">
        <f aca="false">(C871-$B$4)/($B$6/SQRT($B$7))</f>
        <v>0.144709186224147</v>
      </c>
      <c r="E871" s="0" t="str">
        <f aca="false">IF(OR(AND($B$9="superior",D871&gt;$B$10),AND($B$9="inferior",D871&lt;-$B$10)),"Rechazar H0","No rechazar H0")</f>
        <v>No rechazar H0</v>
      </c>
      <c r="F871" s="0" t="str">
        <f aca="false">IF(AND(B871="H0 verdadera",E871="Rechazar H0"),"Error tipo I",IF(AND(B871="Ha verdadera",E871="No rechazar H0"),"Error tipo II","Decisión correcta"))</f>
        <v>Decisión correcta</v>
      </c>
    </row>
    <row r="872" customFormat="false" ht="15" hidden="false" customHeight="false" outlineLevel="0" collapsed="false">
      <c r="A872" s="0" t="n">
        <v>851</v>
      </c>
      <c r="B872" s="0" t="s">
        <v>86</v>
      </c>
      <c r="C872" s="17" t="n">
        <v>0.0142651733795693</v>
      </c>
      <c r="D872" s="17" t="n">
        <f aca="false">(C872-$B$4)/($B$6/SQRT($B$7))</f>
        <v>0.0713258668978465</v>
      </c>
      <c r="E872" s="0" t="str">
        <f aca="false">IF(OR(AND($B$9="superior",D872&gt;$B$10),AND($B$9="inferior",D872&lt;-$B$10)),"Rechazar H0","No rechazar H0")</f>
        <v>No rechazar H0</v>
      </c>
      <c r="F872" s="0" t="str">
        <f aca="false">IF(AND(B872="H0 verdadera",E872="Rechazar H0"),"Error tipo I",IF(AND(B872="Ha verdadera",E872="No rechazar H0"),"Error tipo II","Decisión correcta"))</f>
        <v>Error tipo II</v>
      </c>
    </row>
    <row r="873" customFormat="false" ht="15" hidden="false" customHeight="false" outlineLevel="0" collapsed="false">
      <c r="A873" s="0" t="n">
        <v>852</v>
      </c>
      <c r="B873" s="0" t="s">
        <v>86</v>
      </c>
      <c r="C873" s="17" t="n">
        <v>-0.294252226450783</v>
      </c>
      <c r="D873" s="17" t="n">
        <f aca="false">(C873-$B$4)/($B$6/SQRT($B$7))</f>
        <v>-1.47126113225391</v>
      </c>
      <c r="E873" s="0" t="str">
        <f aca="false">IF(OR(AND($B$9="superior",D873&gt;$B$10),AND($B$9="inferior",D873&lt;-$B$10)),"Rechazar H0","No rechazar H0")</f>
        <v>No rechazar H0</v>
      </c>
      <c r="F873" s="0" t="str">
        <f aca="false">IF(AND(B873="H0 verdadera",E873="Rechazar H0"),"Error tipo I",IF(AND(B873="Ha verdadera",E873="No rechazar H0"),"Error tipo II","Decisión correcta"))</f>
        <v>Error tipo II</v>
      </c>
    </row>
    <row r="874" customFormat="false" ht="15" hidden="false" customHeight="false" outlineLevel="0" collapsed="false">
      <c r="A874" s="0" t="n">
        <v>853</v>
      </c>
      <c r="B874" s="0" t="s">
        <v>85</v>
      </c>
      <c r="C874" s="17" t="n">
        <v>0.135559033002523</v>
      </c>
      <c r="D874" s="17" t="n">
        <f aca="false">(C874-$B$4)/($B$6/SQRT($B$7))</f>
        <v>0.677795165012614</v>
      </c>
      <c r="E874" s="0" t="str">
        <f aca="false">IF(OR(AND($B$9="superior",D874&gt;$B$10),AND($B$9="inferior",D874&lt;-$B$10)),"Rechazar H0","No rechazar H0")</f>
        <v>No rechazar H0</v>
      </c>
      <c r="F874" s="0" t="str">
        <f aca="false">IF(AND(B874="H0 verdadera",E874="Rechazar H0"),"Error tipo I",IF(AND(B874="Ha verdadera",E874="No rechazar H0"),"Error tipo II","Decisión correcta"))</f>
        <v>Decisión correcta</v>
      </c>
    </row>
    <row r="875" customFormat="false" ht="15" hidden="false" customHeight="false" outlineLevel="0" collapsed="false">
      <c r="A875" s="0" t="n">
        <v>854</v>
      </c>
      <c r="B875" s="0" t="s">
        <v>85</v>
      </c>
      <c r="C875" s="17" t="n">
        <v>-0.316286384097628</v>
      </c>
      <c r="D875" s="17" t="n">
        <f aca="false">(C875-$B$4)/($B$6/SQRT($B$7))</f>
        <v>-1.58143192048814</v>
      </c>
      <c r="E875" s="0" t="str">
        <f aca="false">IF(OR(AND($B$9="superior",D875&gt;$B$10),AND($B$9="inferior",D875&lt;-$B$10)),"Rechazar H0","No rechazar H0")</f>
        <v>No rechazar H0</v>
      </c>
      <c r="F875" s="0" t="str">
        <f aca="false">IF(AND(B875="H0 verdadera",E875="Rechazar H0"),"Error tipo I",IF(AND(B875="Ha verdadera",E875="No rechazar H0"),"Error tipo II","Decisión correcta"))</f>
        <v>Decisión correcta</v>
      </c>
    </row>
    <row r="876" customFormat="false" ht="15" hidden="false" customHeight="false" outlineLevel="0" collapsed="false">
      <c r="A876" s="0" t="n">
        <v>855</v>
      </c>
      <c r="B876" s="0" t="s">
        <v>85</v>
      </c>
      <c r="C876" s="17" t="n">
        <v>0.221894567099165</v>
      </c>
      <c r="D876" s="17" t="n">
        <f aca="false">(C876-$B$4)/($B$6/SQRT($B$7))</f>
        <v>1.10947283549582</v>
      </c>
      <c r="E876" s="0" t="str">
        <f aca="false">IF(OR(AND($B$9="superior",D876&gt;$B$10),AND($B$9="inferior",D876&lt;-$B$10)),"Rechazar H0","No rechazar H0")</f>
        <v>No rechazar H0</v>
      </c>
      <c r="F876" s="0" t="str">
        <f aca="false">IF(AND(B876="H0 verdadera",E876="Rechazar H0"),"Error tipo I",IF(AND(B876="Ha verdadera",E876="No rechazar H0"),"Error tipo II","Decisión correcta"))</f>
        <v>Decisión correcta</v>
      </c>
    </row>
    <row r="877" customFormat="false" ht="15" hidden="false" customHeight="false" outlineLevel="0" collapsed="false">
      <c r="A877" s="0" t="n">
        <v>856</v>
      </c>
      <c r="B877" s="0" t="s">
        <v>86</v>
      </c>
      <c r="C877" s="17" t="n">
        <v>-0.284492023456551</v>
      </c>
      <c r="D877" s="17" t="n">
        <f aca="false">(C877-$B$4)/($B$6/SQRT($B$7))</f>
        <v>-1.42246011728276</v>
      </c>
      <c r="E877" s="0" t="str">
        <f aca="false">IF(OR(AND($B$9="superior",D877&gt;$B$10),AND($B$9="inferior",D877&lt;-$B$10)),"Rechazar H0","No rechazar H0")</f>
        <v>No rechazar H0</v>
      </c>
      <c r="F877" s="0" t="str">
        <f aca="false">IF(AND(B877="H0 verdadera",E877="Rechazar H0"),"Error tipo I",IF(AND(B877="Ha verdadera",E877="No rechazar H0"),"Error tipo II","Decisión correcta"))</f>
        <v>Error tipo II</v>
      </c>
    </row>
    <row r="878" customFormat="false" ht="15" hidden="false" customHeight="false" outlineLevel="0" collapsed="false">
      <c r="A878" s="0" t="n">
        <v>857</v>
      </c>
      <c r="B878" s="0" t="s">
        <v>86</v>
      </c>
      <c r="C878" s="17" t="n">
        <v>-0.348565442629395</v>
      </c>
      <c r="D878" s="17" t="n">
        <f aca="false">(C878-$B$4)/($B$6/SQRT($B$7))</f>
        <v>-1.74282721314697</v>
      </c>
      <c r="E878" s="0" t="str">
        <f aca="false">IF(OR(AND($B$9="superior",D878&gt;$B$10),AND($B$9="inferior",D878&lt;-$B$10)),"Rechazar H0","No rechazar H0")</f>
        <v>Rechazar H0</v>
      </c>
      <c r="F878" s="0" t="str">
        <f aca="false">IF(AND(B878="H0 verdadera",E878="Rechazar H0"),"Error tipo I",IF(AND(B878="Ha verdadera",E878="No rechazar H0"),"Error tipo II","Decisión correcta"))</f>
        <v>Decisión correcta</v>
      </c>
    </row>
    <row r="879" customFormat="false" ht="15" hidden="false" customHeight="false" outlineLevel="0" collapsed="false">
      <c r="A879" s="0" t="n">
        <v>858</v>
      </c>
      <c r="B879" s="0" t="s">
        <v>86</v>
      </c>
      <c r="C879" s="17" t="n">
        <v>-0.255199228953414</v>
      </c>
      <c r="D879" s="17" t="n">
        <f aca="false">(C879-$B$4)/($B$6/SQRT($B$7))</f>
        <v>-1.27599614476707</v>
      </c>
      <c r="E879" s="0" t="str">
        <f aca="false">IF(OR(AND($B$9="superior",D879&gt;$B$10),AND($B$9="inferior",D879&lt;-$B$10)),"Rechazar H0","No rechazar H0")</f>
        <v>No rechazar H0</v>
      </c>
      <c r="F879" s="0" t="str">
        <f aca="false">IF(AND(B879="H0 verdadera",E879="Rechazar H0"),"Error tipo I",IF(AND(B879="Ha verdadera",E879="No rechazar H0"),"Error tipo II","Decisión correcta"))</f>
        <v>Error tipo II</v>
      </c>
    </row>
    <row r="880" customFormat="false" ht="15" hidden="false" customHeight="false" outlineLevel="0" collapsed="false">
      <c r="A880" s="0" t="n">
        <v>859</v>
      </c>
      <c r="B880" s="0" t="s">
        <v>85</v>
      </c>
      <c r="C880" s="17" t="n">
        <v>-0.198211445834443</v>
      </c>
      <c r="D880" s="17" t="n">
        <f aca="false">(C880-$B$4)/($B$6/SQRT($B$7))</f>
        <v>-0.991057229172213</v>
      </c>
      <c r="E880" s="0" t="str">
        <f aca="false">IF(OR(AND($B$9="superior",D880&gt;$B$10),AND($B$9="inferior",D880&lt;-$B$10)),"Rechazar H0","No rechazar H0")</f>
        <v>No rechazar H0</v>
      </c>
      <c r="F880" s="0" t="str">
        <f aca="false">IF(AND(B880="H0 verdadera",E880="Rechazar H0"),"Error tipo I",IF(AND(B880="Ha verdadera",E880="No rechazar H0"),"Error tipo II","Decisión correcta"))</f>
        <v>Decisión correcta</v>
      </c>
    </row>
    <row r="881" customFormat="false" ht="15" hidden="false" customHeight="false" outlineLevel="0" collapsed="false">
      <c r="A881" s="0" t="n">
        <v>860</v>
      </c>
      <c r="B881" s="0" t="s">
        <v>85</v>
      </c>
      <c r="C881" s="17" t="n">
        <v>0.0994347071542396</v>
      </c>
      <c r="D881" s="17" t="n">
        <f aca="false">(C881-$B$4)/($B$6/SQRT($B$7))</f>
        <v>0.497173535771198</v>
      </c>
      <c r="E881" s="0" t="str">
        <f aca="false">IF(OR(AND($B$9="superior",D881&gt;$B$10),AND($B$9="inferior",D881&lt;-$B$10)),"Rechazar H0","No rechazar H0")</f>
        <v>No rechazar H0</v>
      </c>
      <c r="F881" s="0" t="str">
        <f aca="false">IF(AND(B881="H0 verdadera",E881="Rechazar H0"),"Error tipo I",IF(AND(B881="Ha verdadera",E881="No rechazar H0"),"Error tipo II","Decisión correcta"))</f>
        <v>Decisión correcta</v>
      </c>
    </row>
    <row r="882" customFormat="false" ht="15" hidden="false" customHeight="false" outlineLevel="0" collapsed="false">
      <c r="A882" s="0" t="n">
        <v>861</v>
      </c>
      <c r="B882" s="0" t="s">
        <v>86</v>
      </c>
      <c r="C882" s="17" t="n">
        <v>-0.246357971199958</v>
      </c>
      <c r="D882" s="17" t="n">
        <f aca="false">(C882-$B$4)/($B$6/SQRT($B$7))</f>
        <v>-1.23178985599979</v>
      </c>
      <c r="E882" s="0" t="str">
        <f aca="false">IF(OR(AND($B$9="superior",D882&gt;$B$10),AND($B$9="inferior",D882&lt;-$B$10)),"Rechazar H0","No rechazar H0")</f>
        <v>No rechazar H0</v>
      </c>
      <c r="F882" s="0" t="str">
        <f aca="false">IF(AND(B882="H0 verdadera",E882="Rechazar H0"),"Error tipo I",IF(AND(B882="Ha verdadera",E882="No rechazar H0"),"Error tipo II","Decisión correcta"))</f>
        <v>Error tipo II</v>
      </c>
    </row>
    <row r="883" customFormat="false" ht="15" hidden="false" customHeight="false" outlineLevel="0" collapsed="false">
      <c r="A883" s="0" t="n">
        <v>862</v>
      </c>
      <c r="B883" s="0" t="s">
        <v>86</v>
      </c>
      <c r="C883" s="17" t="n">
        <v>-0.0763923532094599</v>
      </c>
      <c r="D883" s="17" t="n">
        <f aca="false">(C883-$B$4)/($B$6/SQRT($B$7))</f>
        <v>-0.381961766047299</v>
      </c>
      <c r="E883" s="0" t="str">
        <f aca="false">IF(OR(AND($B$9="superior",D883&gt;$B$10),AND($B$9="inferior",D883&lt;-$B$10)),"Rechazar H0","No rechazar H0")</f>
        <v>No rechazar H0</v>
      </c>
      <c r="F883" s="0" t="str">
        <f aca="false">IF(AND(B883="H0 verdadera",E883="Rechazar H0"),"Error tipo I",IF(AND(B883="Ha verdadera",E883="No rechazar H0"),"Error tipo II","Decisión correcta"))</f>
        <v>Error tipo II</v>
      </c>
    </row>
    <row r="884" customFormat="false" ht="15" hidden="false" customHeight="false" outlineLevel="0" collapsed="false">
      <c r="A884" s="0" t="n">
        <v>863</v>
      </c>
      <c r="B884" s="0" t="s">
        <v>85</v>
      </c>
      <c r="C884" s="17" t="n">
        <v>-0.182626310809241</v>
      </c>
      <c r="D884" s="17" t="n">
        <f aca="false">(C884-$B$4)/($B$6/SQRT($B$7))</f>
        <v>-0.913131554046203</v>
      </c>
      <c r="E884" s="0" t="str">
        <f aca="false">IF(OR(AND($B$9="superior",D884&gt;$B$10),AND($B$9="inferior",D884&lt;-$B$10)),"Rechazar H0","No rechazar H0")</f>
        <v>No rechazar H0</v>
      </c>
      <c r="F884" s="0" t="str">
        <f aca="false">IF(AND(B884="H0 verdadera",E884="Rechazar H0"),"Error tipo I",IF(AND(B884="Ha verdadera",E884="No rechazar H0"),"Error tipo II","Decisión correcta"))</f>
        <v>Decisión correcta</v>
      </c>
    </row>
    <row r="885" customFormat="false" ht="15" hidden="false" customHeight="false" outlineLevel="0" collapsed="false">
      <c r="A885" s="0" t="n">
        <v>864</v>
      </c>
      <c r="B885" s="0" t="s">
        <v>86</v>
      </c>
      <c r="C885" s="17" t="n">
        <v>-0.536465960999567</v>
      </c>
      <c r="D885" s="17" t="n">
        <f aca="false">(C885-$B$4)/($B$6/SQRT($B$7))</f>
        <v>-2.68232980499784</v>
      </c>
      <c r="E885" s="0" t="str">
        <f aca="false">IF(OR(AND($B$9="superior",D885&gt;$B$10),AND($B$9="inferior",D885&lt;-$B$10)),"Rechazar H0","No rechazar H0")</f>
        <v>Rechazar H0</v>
      </c>
      <c r="F885" s="0" t="str">
        <f aca="false">IF(AND(B885="H0 verdadera",E885="Rechazar H0"),"Error tipo I",IF(AND(B885="Ha verdadera",E885="No rechazar H0"),"Error tipo II","Decisión correcta"))</f>
        <v>Decisión correcta</v>
      </c>
    </row>
    <row r="886" customFormat="false" ht="15" hidden="false" customHeight="false" outlineLevel="0" collapsed="false">
      <c r="A886" s="0" t="n">
        <v>865</v>
      </c>
      <c r="B886" s="0" t="s">
        <v>86</v>
      </c>
      <c r="C886" s="17" t="n">
        <v>-0.806705644339278</v>
      </c>
      <c r="D886" s="17" t="n">
        <f aca="false">(C886-$B$4)/($B$6/SQRT($B$7))</f>
        <v>-4.03352822169639</v>
      </c>
      <c r="E886" s="0" t="str">
        <f aca="false">IF(OR(AND($B$9="superior",D886&gt;$B$10),AND($B$9="inferior",D886&lt;-$B$10)),"Rechazar H0","No rechazar H0")</f>
        <v>Rechazar H0</v>
      </c>
      <c r="F886" s="0" t="str">
        <f aca="false">IF(AND(B886="H0 verdadera",E886="Rechazar H0"),"Error tipo I",IF(AND(B886="Ha verdadera",E886="No rechazar H0"),"Error tipo II","Decisión correcta"))</f>
        <v>Decisión correcta</v>
      </c>
    </row>
    <row r="887" customFormat="false" ht="15" hidden="false" customHeight="false" outlineLevel="0" collapsed="false">
      <c r="A887" s="0" t="n">
        <v>866</v>
      </c>
      <c r="B887" s="0" t="s">
        <v>85</v>
      </c>
      <c r="C887" s="17" t="n">
        <v>-0.240399221318214</v>
      </c>
      <c r="D887" s="17" t="n">
        <f aca="false">(C887-$B$4)/($B$6/SQRT($B$7))</f>
        <v>-1.20199610659107</v>
      </c>
      <c r="E887" s="0" t="str">
        <f aca="false">IF(OR(AND($B$9="superior",D887&gt;$B$10),AND($B$9="inferior",D887&lt;-$B$10)),"Rechazar H0","No rechazar H0")</f>
        <v>No rechazar H0</v>
      </c>
      <c r="F887" s="0" t="str">
        <f aca="false">IF(AND(B887="H0 verdadera",E887="Rechazar H0"),"Error tipo I",IF(AND(B887="Ha verdadera",E887="No rechazar H0"),"Error tipo II","Decisión correcta"))</f>
        <v>Decisión correcta</v>
      </c>
    </row>
    <row r="888" customFormat="false" ht="15" hidden="false" customHeight="false" outlineLevel="0" collapsed="false">
      <c r="A888" s="0" t="n">
        <v>867</v>
      </c>
      <c r="B888" s="0" t="s">
        <v>86</v>
      </c>
      <c r="C888" s="17" t="n">
        <v>-0.479951998210644</v>
      </c>
      <c r="D888" s="17" t="n">
        <f aca="false">(C888-$B$4)/($B$6/SQRT($B$7))</f>
        <v>-2.39975999105322</v>
      </c>
      <c r="E888" s="0" t="str">
        <f aca="false">IF(OR(AND($B$9="superior",D888&gt;$B$10),AND($B$9="inferior",D888&lt;-$B$10)),"Rechazar H0","No rechazar H0")</f>
        <v>Rechazar H0</v>
      </c>
      <c r="F888" s="0" t="str">
        <f aca="false">IF(AND(B888="H0 verdadera",E888="Rechazar H0"),"Error tipo I",IF(AND(B888="Ha verdadera",E888="No rechazar H0"),"Error tipo II","Decisión correcta"))</f>
        <v>Decisión correcta</v>
      </c>
    </row>
    <row r="889" customFormat="false" ht="15" hidden="false" customHeight="false" outlineLevel="0" collapsed="false">
      <c r="A889" s="0" t="n">
        <v>868</v>
      </c>
      <c r="B889" s="0" t="s">
        <v>85</v>
      </c>
      <c r="C889" s="17" t="n">
        <v>-0.107810045395284</v>
      </c>
      <c r="D889" s="17" t="n">
        <f aca="false">(C889-$B$4)/($B$6/SQRT($B$7))</f>
        <v>-0.539050226976419</v>
      </c>
      <c r="E889" s="0" t="str">
        <f aca="false">IF(OR(AND($B$9="superior",D889&gt;$B$10),AND($B$9="inferior",D889&lt;-$B$10)),"Rechazar H0","No rechazar H0")</f>
        <v>No rechazar H0</v>
      </c>
      <c r="F889" s="0" t="str">
        <f aca="false">IF(AND(B889="H0 verdadera",E889="Rechazar H0"),"Error tipo I",IF(AND(B889="Ha verdadera",E889="No rechazar H0"),"Error tipo II","Decisión correcta"))</f>
        <v>Decisión correcta</v>
      </c>
    </row>
    <row r="890" customFormat="false" ht="15" hidden="false" customHeight="false" outlineLevel="0" collapsed="false">
      <c r="A890" s="0" t="n">
        <v>869</v>
      </c>
      <c r="B890" s="0" t="s">
        <v>85</v>
      </c>
      <c r="C890" s="17" t="n">
        <v>0.0542182216767574</v>
      </c>
      <c r="D890" s="17" t="n">
        <f aca="false">(C890-$B$4)/($B$6/SQRT($B$7))</f>
        <v>0.271091108383787</v>
      </c>
      <c r="E890" s="0" t="str">
        <f aca="false">IF(OR(AND($B$9="superior",D890&gt;$B$10),AND($B$9="inferior",D890&lt;-$B$10)),"Rechazar H0","No rechazar H0")</f>
        <v>No rechazar H0</v>
      </c>
      <c r="F890" s="0" t="str">
        <f aca="false">IF(AND(B890="H0 verdadera",E890="Rechazar H0"),"Error tipo I",IF(AND(B890="Ha verdadera",E890="No rechazar H0"),"Error tipo II","Decisión correcta"))</f>
        <v>Decisión correcta</v>
      </c>
    </row>
    <row r="891" customFormat="false" ht="15" hidden="false" customHeight="false" outlineLevel="0" collapsed="false">
      <c r="A891" s="0" t="n">
        <v>870</v>
      </c>
      <c r="B891" s="0" t="s">
        <v>86</v>
      </c>
      <c r="C891" s="17" t="n">
        <v>-0.120814685048349</v>
      </c>
      <c r="D891" s="17" t="n">
        <f aca="false">(C891-$B$4)/($B$6/SQRT($B$7))</f>
        <v>-0.604073425241743</v>
      </c>
      <c r="E891" s="0" t="str">
        <f aca="false">IF(OR(AND($B$9="superior",D891&gt;$B$10),AND($B$9="inferior",D891&lt;-$B$10)),"Rechazar H0","No rechazar H0")</f>
        <v>No rechazar H0</v>
      </c>
      <c r="F891" s="0" t="str">
        <f aca="false">IF(AND(B891="H0 verdadera",E891="Rechazar H0"),"Error tipo I",IF(AND(B891="Ha verdadera",E891="No rechazar H0"),"Error tipo II","Decisión correcta"))</f>
        <v>Error tipo II</v>
      </c>
    </row>
    <row r="892" customFormat="false" ht="15" hidden="false" customHeight="false" outlineLevel="0" collapsed="false">
      <c r="A892" s="0" t="n">
        <v>871</v>
      </c>
      <c r="B892" s="0" t="s">
        <v>86</v>
      </c>
      <c r="C892" s="17" t="n">
        <v>-0.347612922631272</v>
      </c>
      <c r="D892" s="17" t="n">
        <f aca="false">(C892-$B$4)/($B$6/SQRT($B$7))</f>
        <v>-1.73806461315636</v>
      </c>
      <c r="E892" s="0" t="str">
        <f aca="false">IF(OR(AND($B$9="superior",D892&gt;$B$10),AND($B$9="inferior",D892&lt;-$B$10)),"Rechazar H0","No rechazar H0")</f>
        <v>Rechazar H0</v>
      </c>
      <c r="F892" s="0" t="str">
        <f aca="false">IF(AND(B892="H0 verdadera",E892="Rechazar H0"),"Error tipo I",IF(AND(B892="Ha verdadera",E892="No rechazar H0"),"Error tipo II","Decisión correcta"))</f>
        <v>Decisión correcta</v>
      </c>
    </row>
    <row r="893" customFormat="false" ht="15" hidden="false" customHeight="false" outlineLevel="0" collapsed="false">
      <c r="A893" s="0" t="n">
        <v>872</v>
      </c>
      <c r="B893" s="0" t="s">
        <v>86</v>
      </c>
      <c r="C893" s="17" t="n">
        <v>-0.409487090055915</v>
      </c>
      <c r="D893" s="17" t="n">
        <f aca="false">(C893-$B$4)/($B$6/SQRT($B$7))</f>
        <v>-2.04743545027958</v>
      </c>
      <c r="E893" s="0" t="str">
        <f aca="false">IF(OR(AND($B$9="superior",D893&gt;$B$10),AND($B$9="inferior",D893&lt;-$B$10)),"Rechazar H0","No rechazar H0")</f>
        <v>Rechazar H0</v>
      </c>
      <c r="F893" s="0" t="str">
        <f aca="false">IF(AND(B893="H0 verdadera",E893="Rechazar H0"),"Error tipo I",IF(AND(B893="Ha verdadera",E893="No rechazar H0"),"Error tipo II","Decisión correcta"))</f>
        <v>Decisión correcta</v>
      </c>
    </row>
    <row r="894" customFormat="false" ht="15" hidden="false" customHeight="false" outlineLevel="0" collapsed="false">
      <c r="A894" s="0" t="n">
        <v>873</v>
      </c>
      <c r="B894" s="0" t="s">
        <v>86</v>
      </c>
      <c r="C894" s="17" t="n">
        <v>-0.0659694139122897</v>
      </c>
      <c r="D894" s="17" t="n">
        <f aca="false">(C894-$B$4)/($B$6/SQRT($B$7))</f>
        <v>-0.329847069561449</v>
      </c>
      <c r="E894" s="0" t="str">
        <f aca="false">IF(OR(AND($B$9="superior",D894&gt;$B$10),AND($B$9="inferior",D894&lt;-$B$10)),"Rechazar H0","No rechazar H0")</f>
        <v>No rechazar H0</v>
      </c>
      <c r="F894" s="0" t="str">
        <f aca="false">IF(AND(B894="H0 verdadera",E894="Rechazar H0"),"Error tipo I",IF(AND(B894="Ha verdadera",E894="No rechazar H0"),"Error tipo II","Decisión correcta"))</f>
        <v>Error tipo II</v>
      </c>
    </row>
    <row r="895" customFormat="false" ht="15" hidden="false" customHeight="false" outlineLevel="0" collapsed="false">
      <c r="A895" s="0" t="n">
        <v>874</v>
      </c>
      <c r="B895" s="0" t="s">
        <v>85</v>
      </c>
      <c r="C895" s="17" t="n">
        <v>-0.116984553521785</v>
      </c>
      <c r="D895" s="17" t="n">
        <f aca="false">(C895-$B$4)/($B$6/SQRT($B$7))</f>
        <v>-0.584922767608926</v>
      </c>
      <c r="E895" s="0" t="str">
        <f aca="false">IF(OR(AND($B$9="superior",D895&gt;$B$10),AND($B$9="inferior",D895&lt;-$B$10)),"Rechazar H0","No rechazar H0")</f>
        <v>No rechazar H0</v>
      </c>
      <c r="F895" s="0" t="str">
        <f aca="false">IF(AND(B895="H0 verdadera",E895="Rechazar H0"),"Error tipo I",IF(AND(B895="Ha verdadera",E895="No rechazar H0"),"Error tipo II","Decisión correcta"))</f>
        <v>Decisión correcta</v>
      </c>
    </row>
    <row r="896" customFormat="false" ht="15" hidden="false" customHeight="false" outlineLevel="0" collapsed="false">
      <c r="A896" s="0" t="n">
        <v>875</v>
      </c>
      <c r="B896" s="0" t="s">
        <v>86</v>
      </c>
      <c r="C896" s="17" t="n">
        <v>-0.37539583388006</v>
      </c>
      <c r="D896" s="17" t="n">
        <f aca="false">(C896-$B$4)/($B$6/SQRT($B$7))</f>
        <v>-1.8769791694003</v>
      </c>
      <c r="E896" s="0" t="str">
        <f aca="false">IF(OR(AND($B$9="superior",D896&gt;$B$10),AND($B$9="inferior",D896&lt;-$B$10)),"Rechazar H0","No rechazar H0")</f>
        <v>Rechazar H0</v>
      </c>
      <c r="F896" s="0" t="str">
        <f aca="false">IF(AND(B896="H0 verdadera",E896="Rechazar H0"),"Error tipo I",IF(AND(B896="Ha verdadera",E896="No rechazar H0"),"Error tipo II","Decisión correcta"))</f>
        <v>Decisión correcta</v>
      </c>
    </row>
    <row r="897" customFormat="false" ht="15" hidden="false" customHeight="false" outlineLevel="0" collapsed="false">
      <c r="A897" s="0" t="n">
        <v>876</v>
      </c>
      <c r="B897" s="0" t="s">
        <v>86</v>
      </c>
      <c r="C897" s="17" t="n">
        <v>-0.135090115721856</v>
      </c>
      <c r="D897" s="17" t="n">
        <f aca="false">(C897-$B$4)/($B$6/SQRT($B$7))</f>
        <v>-0.675450578609279</v>
      </c>
      <c r="E897" s="0" t="str">
        <f aca="false">IF(OR(AND($B$9="superior",D897&gt;$B$10),AND($B$9="inferior",D897&lt;-$B$10)),"Rechazar H0","No rechazar H0")</f>
        <v>No rechazar H0</v>
      </c>
      <c r="F897" s="0" t="str">
        <f aca="false">IF(AND(B897="H0 verdadera",E897="Rechazar H0"),"Error tipo I",IF(AND(B897="Ha verdadera",E897="No rechazar H0"),"Error tipo II","Decisión correcta"))</f>
        <v>Error tipo II</v>
      </c>
    </row>
    <row r="898" customFormat="false" ht="15" hidden="false" customHeight="false" outlineLevel="0" collapsed="false">
      <c r="A898" s="0" t="n">
        <v>877</v>
      </c>
      <c r="B898" s="0" t="s">
        <v>85</v>
      </c>
      <c r="C898" s="17" t="n">
        <v>-0.180297747817801</v>
      </c>
      <c r="D898" s="17" t="n">
        <f aca="false">(C898-$B$4)/($B$6/SQRT($B$7))</f>
        <v>-0.901488739089003</v>
      </c>
      <c r="E898" s="0" t="str">
        <f aca="false">IF(OR(AND($B$9="superior",D898&gt;$B$10),AND($B$9="inferior",D898&lt;-$B$10)),"Rechazar H0","No rechazar H0")</f>
        <v>No rechazar H0</v>
      </c>
      <c r="F898" s="0" t="str">
        <f aca="false">IF(AND(B898="H0 verdadera",E898="Rechazar H0"),"Error tipo I",IF(AND(B898="Ha verdadera",E898="No rechazar H0"),"Error tipo II","Decisión correcta"))</f>
        <v>Decisión correcta</v>
      </c>
    </row>
    <row r="899" customFormat="false" ht="15" hidden="false" customHeight="false" outlineLevel="0" collapsed="false">
      <c r="A899" s="0" t="n">
        <v>878</v>
      </c>
      <c r="B899" s="0" t="s">
        <v>86</v>
      </c>
      <c r="C899" s="17" t="n">
        <v>-0.36080303129025</v>
      </c>
      <c r="D899" s="17" t="n">
        <f aca="false">(C899-$B$4)/($B$6/SQRT($B$7))</f>
        <v>-1.80401515645125</v>
      </c>
      <c r="E899" s="0" t="str">
        <f aca="false">IF(OR(AND($B$9="superior",D899&gt;$B$10),AND($B$9="inferior",D899&lt;-$B$10)),"Rechazar H0","No rechazar H0")</f>
        <v>Rechazar H0</v>
      </c>
      <c r="F899" s="0" t="str">
        <f aca="false">IF(AND(B899="H0 verdadera",E899="Rechazar H0"),"Error tipo I",IF(AND(B899="Ha verdadera",E899="No rechazar H0"),"Error tipo II","Decisión correcta"))</f>
        <v>Decisión correcta</v>
      </c>
    </row>
    <row r="900" customFormat="false" ht="15" hidden="false" customHeight="false" outlineLevel="0" collapsed="false">
      <c r="A900" s="0" t="n">
        <v>879</v>
      </c>
      <c r="B900" s="0" t="s">
        <v>85</v>
      </c>
      <c r="C900" s="17" t="n">
        <v>-0.160778049563816</v>
      </c>
      <c r="D900" s="17" t="n">
        <f aca="false">(C900-$B$4)/($B$6/SQRT($B$7))</f>
        <v>-0.803890247819079</v>
      </c>
      <c r="E900" s="0" t="str">
        <f aca="false">IF(OR(AND($B$9="superior",D900&gt;$B$10),AND($B$9="inferior",D900&lt;-$B$10)),"Rechazar H0","No rechazar H0")</f>
        <v>No rechazar H0</v>
      </c>
      <c r="F900" s="0" t="str">
        <f aca="false">IF(AND(B900="H0 verdadera",E900="Rechazar H0"),"Error tipo I",IF(AND(B900="Ha verdadera",E900="No rechazar H0"),"Error tipo II","Decisión correcta"))</f>
        <v>Decisión correcta</v>
      </c>
    </row>
    <row r="901" customFormat="false" ht="15" hidden="false" customHeight="false" outlineLevel="0" collapsed="false">
      <c r="A901" s="0" t="n">
        <v>880</v>
      </c>
      <c r="B901" s="0" t="s">
        <v>85</v>
      </c>
      <c r="C901" s="17" t="n">
        <v>-0.0214034562323408</v>
      </c>
      <c r="D901" s="17" t="n">
        <f aca="false">(C901-$B$4)/($B$6/SQRT($B$7))</f>
        <v>-0.107017281161704</v>
      </c>
      <c r="E901" s="0" t="str">
        <f aca="false">IF(OR(AND($B$9="superior",D901&gt;$B$10),AND($B$9="inferior",D901&lt;-$B$10)),"Rechazar H0","No rechazar H0")</f>
        <v>No rechazar H0</v>
      </c>
      <c r="F901" s="0" t="str">
        <f aca="false">IF(AND(B901="H0 verdadera",E901="Rechazar H0"),"Error tipo I",IF(AND(B901="Ha verdadera",E901="No rechazar H0"),"Error tipo II","Decisión correcta"))</f>
        <v>Decisión correcta</v>
      </c>
    </row>
    <row r="902" customFormat="false" ht="15" hidden="false" customHeight="false" outlineLevel="0" collapsed="false">
      <c r="A902" s="0" t="n">
        <v>881</v>
      </c>
      <c r="B902" s="0" t="s">
        <v>85</v>
      </c>
      <c r="C902" s="17" t="n">
        <v>-0.0947888895530171</v>
      </c>
      <c r="D902" s="17" t="n">
        <f aca="false">(C902-$B$4)/($B$6/SQRT($B$7))</f>
        <v>-0.473944447765085</v>
      </c>
      <c r="E902" s="0" t="str">
        <f aca="false">IF(OR(AND($B$9="superior",D902&gt;$B$10),AND($B$9="inferior",D902&lt;-$B$10)),"Rechazar H0","No rechazar H0")</f>
        <v>No rechazar H0</v>
      </c>
      <c r="F902" s="0" t="str">
        <f aca="false">IF(AND(B902="H0 verdadera",E902="Rechazar H0"),"Error tipo I",IF(AND(B902="Ha verdadera",E902="No rechazar H0"),"Error tipo II","Decisión correcta"))</f>
        <v>Decisión correcta</v>
      </c>
    </row>
    <row r="903" customFormat="false" ht="15" hidden="false" customHeight="false" outlineLevel="0" collapsed="false">
      <c r="A903" s="0" t="n">
        <v>882</v>
      </c>
      <c r="B903" s="0" t="s">
        <v>86</v>
      </c>
      <c r="C903" s="17" t="n">
        <v>-0.406235792985168</v>
      </c>
      <c r="D903" s="17" t="n">
        <f aca="false">(C903-$B$4)/($B$6/SQRT($B$7))</f>
        <v>-2.03117896492584</v>
      </c>
      <c r="E903" s="0" t="str">
        <f aca="false">IF(OR(AND($B$9="superior",D903&gt;$B$10),AND($B$9="inferior",D903&lt;-$B$10)),"Rechazar H0","No rechazar H0")</f>
        <v>Rechazar H0</v>
      </c>
      <c r="F903" s="0" t="str">
        <f aca="false">IF(AND(B903="H0 verdadera",E903="Rechazar H0"),"Error tipo I",IF(AND(B903="Ha verdadera",E903="No rechazar H0"),"Error tipo II","Decisión correcta"))</f>
        <v>Decisión correcta</v>
      </c>
    </row>
    <row r="904" customFormat="false" ht="15" hidden="false" customHeight="false" outlineLevel="0" collapsed="false">
      <c r="A904" s="0" t="n">
        <v>883</v>
      </c>
      <c r="B904" s="0" t="s">
        <v>86</v>
      </c>
      <c r="C904" s="17" t="n">
        <v>-0.504667418686504</v>
      </c>
      <c r="D904" s="17" t="n">
        <f aca="false">(C904-$B$4)/($B$6/SQRT($B$7))</f>
        <v>-2.52333709343252</v>
      </c>
      <c r="E904" s="0" t="str">
        <f aca="false">IF(OR(AND($B$9="superior",D904&gt;$B$10),AND($B$9="inferior",D904&lt;-$B$10)),"Rechazar H0","No rechazar H0")</f>
        <v>Rechazar H0</v>
      </c>
      <c r="F904" s="0" t="str">
        <f aca="false">IF(AND(B904="H0 verdadera",E904="Rechazar H0"),"Error tipo I",IF(AND(B904="Ha verdadera",E904="No rechazar H0"),"Error tipo II","Decisión correcta"))</f>
        <v>Decisión correcta</v>
      </c>
    </row>
    <row r="905" customFormat="false" ht="15" hidden="false" customHeight="false" outlineLevel="0" collapsed="false">
      <c r="A905" s="0" t="n">
        <v>884</v>
      </c>
      <c r="B905" s="0" t="s">
        <v>86</v>
      </c>
      <c r="C905" s="17" t="n">
        <v>-0.444846521519573</v>
      </c>
      <c r="D905" s="17" t="n">
        <f aca="false">(C905-$B$4)/($B$6/SQRT($B$7))</f>
        <v>-2.22423260759786</v>
      </c>
      <c r="E905" s="0" t="str">
        <f aca="false">IF(OR(AND($B$9="superior",D905&gt;$B$10),AND($B$9="inferior",D905&lt;-$B$10)),"Rechazar H0","No rechazar H0")</f>
        <v>Rechazar H0</v>
      </c>
      <c r="F905" s="0" t="str">
        <f aca="false">IF(AND(B905="H0 verdadera",E905="Rechazar H0"),"Error tipo I",IF(AND(B905="Ha verdadera",E905="No rechazar H0"),"Error tipo II","Decisión correcta"))</f>
        <v>Decisión correcta</v>
      </c>
    </row>
    <row r="906" customFormat="false" ht="15" hidden="false" customHeight="false" outlineLevel="0" collapsed="false">
      <c r="A906" s="0" t="n">
        <v>885</v>
      </c>
      <c r="B906" s="0" t="s">
        <v>85</v>
      </c>
      <c r="C906" s="17" t="n">
        <v>0.497751426360417</v>
      </c>
      <c r="D906" s="17" t="n">
        <f aca="false">(C906-$B$4)/($B$6/SQRT($B$7))</f>
        <v>2.48875713180208</v>
      </c>
      <c r="E906" s="0" t="str">
        <f aca="false">IF(OR(AND($B$9="superior",D906&gt;$B$10),AND($B$9="inferior",D906&lt;-$B$10)),"Rechazar H0","No rechazar H0")</f>
        <v>No rechazar H0</v>
      </c>
      <c r="F906" s="0" t="str">
        <f aca="false">IF(AND(B906="H0 verdadera",E906="Rechazar H0"),"Error tipo I",IF(AND(B906="Ha verdadera",E906="No rechazar H0"),"Error tipo II","Decisión correcta"))</f>
        <v>Decisión correcta</v>
      </c>
    </row>
    <row r="907" customFormat="false" ht="15" hidden="false" customHeight="false" outlineLevel="0" collapsed="false">
      <c r="A907" s="0" t="n">
        <v>886</v>
      </c>
      <c r="B907" s="0" t="s">
        <v>85</v>
      </c>
      <c r="C907" s="17" t="n">
        <v>-0.0249072580656654</v>
      </c>
      <c r="D907" s="17" t="n">
        <f aca="false">(C907-$B$4)/($B$6/SQRT($B$7))</f>
        <v>-0.124536290328327</v>
      </c>
      <c r="E907" s="0" t="str">
        <f aca="false">IF(OR(AND($B$9="superior",D907&gt;$B$10),AND($B$9="inferior",D907&lt;-$B$10)),"Rechazar H0","No rechazar H0")</f>
        <v>No rechazar H0</v>
      </c>
      <c r="F907" s="0" t="str">
        <f aca="false">IF(AND(B907="H0 verdadera",E907="Rechazar H0"),"Error tipo I",IF(AND(B907="Ha verdadera",E907="No rechazar H0"),"Error tipo II","Decisión correcta"))</f>
        <v>Decisión correcta</v>
      </c>
    </row>
    <row r="908" customFormat="false" ht="15" hidden="false" customHeight="false" outlineLevel="0" collapsed="false">
      <c r="A908" s="0" t="n">
        <v>887</v>
      </c>
      <c r="B908" s="0" t="s">
        <v>85</v>
      </c>
      <c r="C908" s="17" t="n">
        <v>0.0785122072745373</v>
      </c>
      <c r="D908" s="17" t="n">
        <f aca="false">(C908-$B$4)/($B$6/SQRT($B$7))</f>
        <v>0.392561036372686</v>
      </c>
      <c r="E908" s="0" t="str">
        <f aca="false">IF(OR(AND($B$9="superior",D908&gt;$B$10),AND($B$9="inferior",D908&lt;-$B$10)),"Rechazar H0","No rechazar H0")</f>
        <v>No rechazar H0</v>
      </c>
      <c r="F908" s="0" t="str">
        <f aca="false">IF(AND(B908="H0 verdadera",E908="Rechazar H0"),"Error tipo I",IF(AND(B908="Ha verdadera",E908="No rechazar H0"),"Error tipo II","Decisión correcta"))</f>
        <v>Decisión correcta</v>
      </c>
    </row>
    <row r="909" customFormat="false" ht="15" hidden="false" customHeight="false" outlineLevel="0" collapsed="false">
      <c r="A909" s="0" t="n">
        <v>888</v>
      </c>
      <c r="B909" s="0" t="s">
        <v>85</v>
      </c>
      <c r="C909" s="17" t="n">
        <v>0.144802420747486</v>
      </c>
      <c r="D909" s="17" t="n">
        <f aca="false">(C909-$B$4)/($B$6/SQRT($B$7))</f>
        <v>0.724012103737429</v>
      </c>
      <c r="E909" s="0" t="str">
        <f aca="false">IF(OR(AND($B$9="superior",D909&gt;$B$10),AND($B$9="inferior",D909&lt;-$B$10)),"Rechazar H0","No rechazar H0")</f>
        <v>No rechazar H0</v>
      </c>
      <c r="F909" s="0" t="str">
        <f aca="false">IF(AND(B909="H0 verdadera",E909="Rechazar H0"),"Error tipo I",IF(AND(B909="Ha verdadera",E909="No rechazar H0"),"Error tipo II","Decisión correcta"))</f>
        <v>Decisión correcta</v>
      </c>
    </row>
    <row r="910" customFormat="false" ht="15" hidden="false" customHeight="false" outlineLevel="0" collapsed="false">
      <c r="A910" s="0" t="n">
        <v>889</v>
      </c>
      <c r="B910" s="0" t="s">
        <v>86</v>
      </c>
      <c r="C910" s="17" t="n">
        <v>-0.239331960316631</v>
      </c>
      <c r="D910" s="17" t="n">
        <f aca="false">(C910-$B$4)/($B$6/SQRT($B$7))</f>
        <v>-1.19665980158315</v>
      </c>
      <c r="E910" s="0" t="str">
        <f aca="false">IF(OR(AND($B$9="superior",D910&gt;$B$10),AND($B$9="inferior",D910&lt;-$B$10)),"Rechazar H0","No rechazar H0")</f>
        <v>No rechazar H0</v>
      </c>
      <c r="F910" s="0" t="str">
        <f aca="false">IF(AND(B910="H0 verdadera",E910="Rechazar H0"),"Error tipo I",IF(AND(B910="Ha verdadera",E910="No rechazar H0"),"Error tipo II","Decisión correcta"))</f>
        <v>Error tipo II</v>
      </c>
    </row>
    <row r="911" customFormat="false" ht="15" hidden="false" customHeight="false" outlineLevel="0" collapsed="false">
      <c r="A911" s="0" t="n">
        <v>890</v>
      </c>
      <c r="B911" s="0" t="s">
        <v>86</v>
      </c>
      <c r="C911" s="17" t="n">
        <v>-0.220570268517551</v>
      </c>
      <c r="D911" s="17" t="n">
        <f aca="false">(C911-$B$4)/($B$6/SQRT($B$7))</f>
        <v>-1.10285134258775</v>
      </c>
      <c r="E911" s="0" t="str">
        <f aca="false">IF(OR(AND($B$9="superior",D911&gt;$B$10),AND($B$9="inferior",D911&lt;-$B$10)),"Rechazar H0","No rechazar H0")</f>
        <v>No rechazar H0</v>
      </c>
      <c r="F911" s="0" t="str">
        <f aca="false">IF(AND(B911="H0 verdadera",E911="Rechazar H0"),"Error tipo I",IF(AND(B911="Ha verdadera",E911="No rechazar H0"),"Error tipo II","Decisión correcta"))</f>
        <v>Error tipo II</v>
      </c>
    </row>
    <row r="912" customFormat="false" ht="15" hidden="false" customHeight="false" outlineLevel="0" collapsed="false">
      <c r="A912" s="0" t="n">
        <v>891</v>
      </c>
      <c r="B912" s="0" t="s">
        <v>85</v>
      </c>
      <c r="C912" s="17" t="n">
        <v>-0.159947199475623</v>
      </c>
      <c r="D912" s="17" t="n">
        <f aca="false">(C912-$B$4)/($B$6/SQRT($B$7))</f>
        <v>-0.799735997378116</v>
      </c>
      <c r="E912" s="0" t="str">
        <f aca="false">IF(OR(AND($B$9="superior",D912&gt;$B$10),AND($B$9="inferior",D912&lt;-$B$10)),"Rechazar H0","No rechazar H0")</f>
        <v>No rechazar H0</v>
      </c>
      <c r="F912" s="0" t="str">
        <f aca="false">IF(AND(B912="H0 verdadera",E912="Rechazar H0"),"Error tipo I",IF(AND(B912="Ha verdadera",E912="No rechazar H0"),"Error tipo II","Decisión correcta"))</f>
        <v>Decisión correcta</v>
      </c>
    </row>
    <row r="913" customFormat="false" ht="15" hidden="false" customHeight="false" outlineLevel="0" collapsed="false">
      <c r="A913" s="0" t="n">
        <v>892</v>
      </c>
      <c r="B913" s="0" t="s">
        <v>86</v>
      </c>
      <c r="C913" s="17" t="n">
        <v>-0.659143202776943</v>
      </c>
      <c r="D913" s="17" t="n">
        <f aca="false">(C913-$B$4)/($B$6/SQRT($B$7))</f>
        <v>-3.29571601388471</v>
      </c>
      <c r="E913" s="0" t="str">
        <f aca="false">IF(OR(AND($B$9="superior",D913&gt;$B$10),AND($B$9="inferior",D913&lt;-$B$10)),"Rechazar H0","No rechazar H0")</f>
        <v>Rechazar H0</v>
      </c>
      <c r="F913" s="0" t="str">
        <f aca="false">IF(AND(B913="H0 verdadera",E913="Rechazar H0"),"Error tipo I",IF(AND(B913="Ha verdadera",E913="No rechazar H0"),"Error tipo II","Decisión correcta"))</f>
        <v>Decisión correcta</v>
      </c>
    </row>
    <row r="914" customFormat="false" ht="15" hidden="false" customHeight="false" outlineLevel="0" collapsed="false">
      <c r="A914" s="0" t="n">
        <v>893</v>
      </c>
      <c r="B914" s="0" t="s">
        <v>85</v>
      </c>
      <c r="C914" s="17" t="n">
        <v>0.127777489653762</v>
      </c>
      <c r="D914" s="17" t="n">
        <f aca="false">(C914-$B$4)/($B$6/SQRT($B$7))</f>
        <v>0.638887448268809</v>
      </c>
      <c r="E914" s="0" t="str">
        <f aca="false">IF(OR(AND($B$9="superior",D914&gt;$B$10),AND($B$9="inferior",D914&lt;-$B$10)),"Rechazar H0","No rechazar H0")</f>
        <v>No rechazar H0</v>
      </c>
      <c r="F914" s="0" t="str">
        <f aca="false">IF(AND(B914="H0 verdadera",E914="Rechazar H0"),"Error tipo I",IF(AND(B914="Ha verdadera",E914="No rechazar H0"),"Error tipo II","Decisión correcta"))</f>
        <v>Decisión correcta</v>
      </c>
    </row>
    <row r="915" customFormat="false" ht="15" hidden="false" customHeight="false" outlineLevel="0" collapsed="false">
      <c r="A915" s="0" t="n">
        <v>894</v>
      </c>
      <c r="B915" s="0" t="s">
        <v>86</v>
      </c>
      <c r="C915" s="17" t="n">
        <v>-0.0436912701459854</v>
      </c>
      <c r="D915" s="17" t="n">
        <f aca="false">(C915-$B$4)/($B$6/SQRT($B$7))</f>
        <v>-0.218456350729927</v>
      </c>
      <c r="E915" s="0" t="str">
        <f aca="false">IF(OR(AND($B$9="superior",D915&gt;$B$10),AND($B$9="inferior",D915&lt;-$B$10)),"Rechazar H0","No rechazar H0")</f>
        <v>No rechazar H0</v>
      </c>
      <c r="F915" s="0" t="str">
        <f aca="false">IF(AND(B915="H0 verdadera",E915="Rechazar H0"),"Error tipo I",IF(AND(B915="Ha verdadera",E915="No rechazar H0"),"Error tipo II","Decisión correcta"))</f>
        <v>Error tipo II</v>
      </c>
    </row>
    <row r="916" customFormat="false" ht="15" hidden="false" customHeight="false" outlineLevel="0" collapsed="false">
      <c r="A916" s="0" t="n">
        <v>895</v>
      </c>
      <c r="B916" s="0" t="s">
        <v>86</v>
      </c>
      <c r="C916" s="17" t="n">
        <v>-0.110178982377529</v>
      </c>
      <c r="D916" s="17" t="n">
        <f aca="false">(C916-$B$4)/($B$6/SQRT($B$7))</f>
        <v>-0.550894911887646</v>
      </c>
      <c r="E916" s="0" t="str">
        <f aca="false">IF(OR(AND($B$9="superior",D916&gt;$B$10),AND($B$9="inferior",D916&lt;-$B$10)),"Rechazar H0","No rechazar H0")</f>
        <v>No rechazar H0</v>
      </c>
      <c r="F916" s="0" t="str">
        <f aca="false">IF(AND(B916="H0 verdadera",E916="Rechazar H0"),"Error tipo I",IF(AND(B916="Ha verdadera",E916="No rechazar H0"),"Error tipo II","Decisión correcta"))</f>
        <v>Error tipo II</v>
      </c>
    </row>
    <row r="917" customFormat="false" ht="15" hidden="false" customHeight="false" outlineLevel="0" collapsed="false">
      <c r="A917" s="0" t="n">
        <v>896</v>
      </c>
      <c r="B917" s="0" t="s">
        <v>86</v>
      </c>
      <c r="C917" s="17" t="n">
        <v>-0.502850594572678</v>
      </c>
      <c r="D917" s="17" t="n">
        <f aca="false">(C917-$B$4)/($B$6/SQRT($B$7))</f>
        <v>-2.51425297286339</v>
      </c>
      <c r="E917" s="0" t="str">
        <f aca="false">IF(OR(AND($B$9="superior",D917&gt;$B$10),AND($B$9="inferior",D917&lt;-$B$10)),"Rechazar H0","No rechazar H0")</f>
        <v>Rechazar H0</v>
      </c>
      <c r="F917" s="0" t="str">
        <f aca="false">IF(AND(B917="H0 verdadera",E917="Rechazar H0"),"Error tipo I",IF(AND(B917="Ha verdadera",E917="No rechazar H0"),"Error tipo II","Decisión correcta"))</f>
        <v>Decisión correcta</v>
      </c>
    </row>
    <row r="918" customFormat="false" ht="15" hidden="false" customHeight="false" outlineLevel="0" collapsed="false">
      <c r="A918" s="0" t="n">
        <v>897</v>
      </c>
      <c r="B918" s="0" t="s">
        <v>86</v>
      </c>
      <c r="C918" s="17" t="n">
        <v>-0.140499112215291</v>
      </c>
      <c r="D918" s="17" t="n">
        <f aca="false">(C918-$B$4)/($B$6/SQRT($B$7))</f>
        <v>-0.702495561076455</v>
      </c>
      <c r="E918" s="0" t="str">
        <f aca="false">IF(OR(AND($B$9="superior",D918&gt;$B$10),AND($B$9="inferior",D918&lt;-$B$10)),"Rechazar H0","No rechazar H0")</f>
        <v>No rechazar H0</v>
      </c>
      <c r="F918" s="0" t="str">
        <f aca="false">IF(AND(B918="H0 verdadera",E918="Rechazar H0"),"Error tipo I",IF(AND(B918="Ha verdadera",E918="No rechazar H0"),"Error tipo II","Decisión correcta"))</f>
        <v>Error tipo II</v>
      </c>
    </row>
    <row r="919" customFormat="false" ht="15" hidden="false" customHeight="false" outlineLevel="0" collapsed="false">
      <c r="A919" s="0" t="n">
        <v>898</v>
      </c>
      <c r="B919" s="0" t="s">
        <v>86</v>
      </c>
      <c r="C919" s="17" t="n">
        <v>-0.561635401951671</v>
      </c>
      <c r="D919" s="17" t="n">
        <f aca="false">(C919-$B$4)/($B$6/SQRT($B$7))</f>
        <v>-2.80817700975835</v>
      </c>
      <c r="E919" s="0" t="str">
        <f aca="false">IF(OR(AND($B$9="superior",D919&gt;$B$10),AND($B$9="inferior",D919&lt;-$B$10)),"Rechazar H0","No rechazar H0")</f>
        <v>Rechazar H0</v>
      </c>
      <c r="F919" s="0" t="str">
        <f aca="false">IF(AND(B919="H0 verdadera",E919="Rechazar H0"),"Error tipo I",IF(AND(B919="Ha verdadera",E919="No rechazar H0"),"Error tipo II","Decisión correcta"))</f>
        <v>Decisión correcta</v>
      </c>
    </row>
    <row r="920" customFormat="false" ht="15" hidden="false" customHeight="false" outlineLevel="0" collapsed="false">
      <c r="A920" s="0" t="n">
        <v>899</v>
      </c>
      <c r="B920" s="0" t="s">
        <v>86</v>
      </c>
      <c r="C920" s="17" t="n">
        <v>-0.511486815927551</v>
      </c>
      <c r="D920" s="17" t="n">
        <f aca="false">(C920-$B$4)/($B$6/SQRT($B$7))</f>
        <v>-2.55743407963775</v>
      </c>
      <c r="E920" s="0" t="str">
        <f aca="false">IF(OR(AND($B$9="superior",D920&gt;$B$10),AND($B$9="inferior",D920&lt;-$B$10)),"Rechazar H0","No rechazar H0")</f>
        <v>Rechazar H0</v>
      </c>
      <c r="F920" s="0" t="str">
        <f aca="false">IF(AND(B920="H0 verdadera",E920="Rechazar H0"),"Error tipo I",IF(AND(B920="Ha verdadera",E920="No rechazar H0"),"Error tipo II","Decisión correcta"))</f>
        <v>Decisión correcta</v>
      </c>
    </row>
    <row r="921" customFormat="false" ht="15" hidden="false" customHeight="false" outlineLevel="0" collapsed="false">
      <c r="A921" s="0" t="n">
        <v>900</v>
      </c>
      <c r="B921" s="0" t="s">
        <v>86</v>
      </c>
      <c r="C921" s="17" t="n">
        <v>-0.514700505698361</v>
      </c>
      <c r="D921" s="17" t="n">
        <f aca="false">(C921-$B$4)/($B$6/SQRT($B$7))</f>
        <v>-2.57350252849181</v>
      </c>
      <c r="E921" s="0" t="str">
        <f aca="false">IF(OR(AND($B$9="superior",D921&gt;$B$10),AND($B$9="inferior",D921&lt;-$B$10)),"Rechazar H0","No rechazar H0")</f>
        <v>Rechazar H0</v>
      </c>
      <c r="F921" s="0" t="str">
        <f aca="false">IF(AND(B921="H0 verdadera",E921="Rechazar H0"),"Error tipo I",IF(AND(B921="Ha verdadera",E921="No rechazar H0"),"Error tipo II","Decisión correcta"))</f>
        <v>Decisión correcta</v>
      </c>
    </row>
    <row r="922" customFormat="false" ht="15" hidden="false" customHeight="false" outlineLevel="0" collapsed="false">
      <c r="A922" s="0" t="n">
        <v>901</v>
      </c>
      <c r="B922" s="0" t="s">
        <v>86</v>
      </c>
      <c r="C922" s="17" t="n">
        <v>-0.750989655316921</v>
      </c>
      <c r="D922" s="17" t="n">
        <f aca="false">(C922-$B$4)/($B$6/SQRT($B$7))</f>
        <v>-3.75494827658461</v>
      </c>
      <c r="E922" s="0" t="str">
        <f aca="false">IF(OR(AND($B$9="superior",D922&gt;$B$10),AND($B$9="inferior",D922&lt;-$B$10)),"Rechazar H0","No rechazar H0")</f>
        <v>Rechazar H0</v>
      </c>
      <c r="F922" s="0" t="str">
        <f aca="false">IF(AND(B922="H0 verdadera",E922="Rechazar H0"),"Error tipo I",IF(AND(B922="Ha verdadera",E922="No rechazar H0"),"Error tipo II","Decisión correcta"))</f>
        <v>Decisión correcta</v>
      </c>
    </row>
    <row r="923" customFormat="false" ht="15" hidden="false" customHeight="false" outlineLevel="0" collapsed="false">
      <c r="A923" s="0" t="n">
        <v>902</v>
      </c>
      <c r="B923" s="0" t="s">
        <v>86</v>
      </c>
      <c r="C923" s="17" t="n">
        <v>-0.544261846234452</v>
      </c>
      <c r="D923" s="17" t="n">
        <f aca="false">(C923-$B$4)/($B$6/SQRT($B$7))</f>
        <v>-2.72130923117226</v>
      </c>
      <c r="E923" s="0" t="str">
        <f aca="false">IF(OR(AND($B$9="superior",D923&gt;$B$10),AND($B$9="inferior",D923&lt;-$B$10)),"Rechazar H0","No rechazar H0")</f>
        <v>Rechazar H0</v>
      </c>
      <c r="F923" s="0" t="str">
        <f aca="false">IF(AND(B923="H0 verdadera",E923="Rechazar H0"),"Error tipo I",IF(AND(B923="Ha verdadera",E923="No rechazar H0"),"Error tipo II","Decisión correcta"))</f>
        <v>Decisión correcta</v>
      </c>
    </row>
    <row r="924" customFormat="false" ht="15" hidden="false" customHeight="false" outlineLevel="0" collapsed="false">
      <c r="A924" s="0" t="n">
        <v>903</v>
      </c>
      <c r="B924" s="0" t="s">
        <v>85</v>
      </c>
      <c r="C924" s="17" t="n">
        <v>0.156812026674165</v>
      </c>
      <c r="D924" s="17" t="n">
        <f aca="false">(C924-$B$4)/($B$6/SQRT($B$7))</f>
        <v>0.784060133370825</v>
      </c>
      <c r="E924" s="0" t="str">
        <f aca="false">IF(OR(AND($B$9="superior",D924&gt;$B$10),AND($B$9="inferior",D924&lt;-$B$10)),"Rechazar H0","No rechazar H0")</f>
        <v>No rechazar H0</v>
      </c>
      <c r="F924" s="0" t="str">
        <f aca="false">IF(AND(B924="H0 verdadera",E924="Rechazar H0"),"Error tipo I",IF(AND(B924="Ha verdadera",E924="No rechazar H0"),"Error tipo II","Decisión correcta"))</f>
        <v>Decisión correcta</v>
      </c>
    </row>
    <row r="925" customFormat="false" ht="15" hidden="false" customHeight="false" outlineLevel="0" collapsed="false">
      <c r="A925" s="0" t="n">
        <v>904</v>
      </c>
      <c r="B925" s="0" t="s">
        <v>85</v>
      </c>
      <c r="C925" s="17" t="n">
        <v>-0.394507989695032</v>
      </c>
      <c r="D925" s="17" t="n">
        <f aca="false">(C925-$B$4)/($B$6/SQRT($B$7))</f>
        <v>-1.97253994847516</v>
      </c>
      <c r="E925" s="0" t="str">
        <f aca="false">IF(OR(AND($B$9="superior",D925&gt;$B$10),AND($B$9="inferior",D925&lt;-$B$10)),"Rechazar H0","No rechazar H0")</f>
        <v>Rechazar H0</v>
      </c>
      <c r="F925" s="0" t="str">
        <f aca="false">IF(AND(B925="H0 verdadera",E925="Rechazar H0"),"Error tipo I",IF(AND(B925="Ha verdadera",E925="No rechazar H0"),"Error tipo II","Decisión correcta"))</f>
        <v>Error tipo I</v>
      </c>
    </row>
    <row r="926" customFormat="false" ht="15" hidden="false" customHeight="false" outlineLevel="0" collapsed="false">
      <c r="A926" s="0" t="n">
        <v>905</v>
      </c>
      <c r="B926" s="0" t="s">
        <v>85</v>
      </c>
      <c r="C926" s="17" t="n">
        <v>0.0224279601349623</v>
      </c>
      <c r="D926" s="17" t="n">
        <f aca="false">(C926-$B$4)/($B$6/SQRT($B$7))</f>
        <v>0.112139800674812</v>
      </c>
      <c r="E926" s="0" t="str">
        <f aca="false">IF(OR(AND($B$9="superior",D926&gt;$B$10),AND($B$9="inferior",D926&lt;-$B$10)),"Rechazar H0","No rechazar H0")</f>
        <v>No rechazar H0</v>
      </c>
      <c r="F926" s="0" t="str">
        <f aca="false">IF(AND(B926="H0 verdadera",E926="Rechazar H0"),"Error tipo I",IF(AND(B926="Ha verdadera",E926="No rechazar H0"),"Error tipo II","Decisión correcta"))</f>
        <v>Decisión correcta</v>
      </c>
    </row>
    <row r="927" customFormat="false" ht="15" hidden="false" customHeight="false" outlineLevel="0" collapsed="false">
      <c r="A927" s="0" t="n">
        <v>906</v>
      </c>
      <c r="B927" s="0" t="s">
        <v>86</v>
      </c>
      <c r="C927" s="17" t="n">
        <v>-0.500954918333486</v>
      </c>
      <c r="D927" s="17" t="n">
        <f aca="false">(C927-$B$4)/($B$6/SQRT($B$7))</f>
        <v>-2.50477459166743</v>
      </c>
      <c r="E927" s="0" t="str">
        <f aca="false">IF(OR(AND($B$9="superior",D927&gt;$B$10),AND($B$9="inferior",D927&lt;-$B$10)),"Rechazar H0","No rechazar H0")</f>
        <v>Rechazar H0</v>
      </c>
      <c r="F927" s="0" t="str">
        <f aca="false">IF(AND(B927="H0 verdadera",E927="Rechazar H0"),"Error tipo I",IF(AND(B927="Ha verdadera",E927="No rechazar H0"),"Error tipo II","Decisión correcta"))</f>
        <v>Decisión correcta</v>
      </c>
    </row>
    <row r="928" customFormat="false" ht="15" hidden="false" customHeight="false" outlineLevel="0" collapsed="false">
      <c r="A928" s="0" t="n">
        <v>907</v>
      </c>
      <c r="B928" s="0" t="s">
        <v>85</v>
      </c>
      <c r="C928" s="17" t="n">
        <v>-0.239513693694502</v>
      </c>
      <c r="D928" s="17" t="n">
        <f aca="false">(C928-$B$4)/($B$6/SQRT($B$7))</f>
        <v>-1.19756846847251</v>
      </c>
      <c r="E928" s="0" t="str">
        <f aca="false">IF(OR(AND($B$9="superior",D928&gt;$B$10),AND($B$9="inferior",D928&lt;-$B$10)),"Rechazar H0","No rechazar H0")</f>
        <v>No rechazar H0</v>
      </c>
      <c r="F928" s="0" t="str">
        <f aca="false">IF(AND(B928="H0 verdadera",E928="Rechazar H0"),"Error tipo I",IF(AND(B928="Ha verdadera",E928="No rechazar H0"),"Error tipo II","Decisión correcta"))</f>
        <v>Decisión correcta</v>
      </c>
    </row>
    <row r="929" customFormat="false" ht="15" hidden="false" customHeight="false" outlineLevel="0" collapsed="false">
      <c r="A929" s="0" t="n">
        <v>908</v>
      </c>
      <c r="B929" s="0" t="s">
        <v>86</v>
      </c>
      <c r="C929" s="17" t="n">
        <v>-0.45167413341466</v>
      </c>
      <c r="D929" s="17" t="n">
        <f aca="false">(C929-$B$4)/($B$6/SQRT($B$7))</f>
        <v>-2.2583706670733</v>
      </c>
      <c r="E929" s="0" t="str">
        <f aca="false">IF(OR(AND($B$9="superior",D929&gt;$B$10),AND($B$9="inferior",D929&lt;-$B$10)),"Rechazar H0","No rechazar H0")</f>
        <v>Rechazar H0</v>
      </c>
      <c r="F929" s="0" t="str">
        <f aca="false">IF(AND(B929="H0 verdadera",E929="Rechazar H0"),"Error tipo I",IF(AND(B929="Ha verdadera",E929="No rechazar H0"),"Error tipo II","Decisión correcta"))</f>
        <v>Decisión correcta</v>
      </c>
    </row>
    <row r="930" customFormat="false" ht="15" hidden="false" customHeight="false" outlineLevel="0" collapsed="false">
      <c r="A930" s="0" t="n">
        <v>909</v>
      </c>
      <c r="B930" s="0" t="s">
        <v>85</v>
      </c>
      <c r="C930" s="17" t="n">
        <v>-0.197312342997617</v>
      </c>
      <c r="D930" s="17" t="n">
        <f aca="false">(C930-$B$4)/($B$6/SQRT($B$7))</f>
        <v>-0.986561714988087</v>
      </c>
      <c r="E930" s="0" t="str">
        <f aca="false">IF(OR(AND($B$9="superior",D930&gt;$B$10),AND($B$9="inferior",D930&lt;-$B$10)),"Rechazar H0","No rechazar H0")</f>
        <v>No rechazar H0</v>
      </c>
      <c r="F930" s="0" t="str">
        <f aca="false">IF(AND(B930="H0 verdadera",E930="Rechazar H0"),"Error tipo I",IF(AND(B930="Ha verdadera",E930="No rechazar H0"),"Error tipo II","Decisión correcta"))</f>
        <v>Decisión correcta</v>
      </c>
    </row>
    <row r="931" customFormat="false" ht="15" hidden="false" customHeight="false" outlineLevel="0" collapsed="false">
      <c r="A931" s="0" t="n">
        <v>910</v>
      </c>
      <c r="B931" s="0" t="s">
        <v>86</v>
      </c>
      <c r="C931" s="17" t="n">
        <v>-0.292515759921839</v>
      </c>
      <c r="D931" s="17" t="n">
        <f aca="false">(C931-$B$4)/($B$6/SQRT($B$7))</f>
        <v>-1.46257879960919</v>
      </c>
      <c r="E931" s="0" t="str">
        <f aca="false">IF(OR(AND($B$9="superior",D931&gt;$B$10),AND($B$9="inferior",D931&lt;-$B$10)),"Rechazar H0","No rechazar H0")</f>
        <v>No rechazar H0</v>
      </c>
      <c r="F931" s="0" t="str">
        <f aca="false">IF(AND(B931="H0 verdadera",E931="Rechazar H0"),"Error tipo I",IF(AND(B931="Ha verdadera",E931="No rechazar H0"),"Error tipo II","Decisión correcta"))</f>
        <v>Error tipo II</v>
      </c>
    </row>
    <row r="932" customFormat="false" ht="15" hidden="false" customHeight="false" outlineLevel="0" collapsed="false">
      <c r="A932" s="0" t="n">
        <v>911</v>
      </c>
      <c r="B932" s="0" t="s">
        <v>85</v>
      </c>
      <c r="C932" s="17" t="n">
        <v>0.250878098710944</v>
      </c>
      <c r="D932" s="17" t="n">
        <f aca="false">(C932-$B$4)/($B$6/SQRT($B$7))</f>
        <v>1.25439049355472</v>
      </c>
      <c r="E932" s="0" t="str">
        <f aca="false">IF(OR(AND($B$9="superior",D932&gt;$B$10),AND($B$9="inferior",D932&lt;-$B$10)),"Rechazar H0","No rechazar H0")</f>
        <v>No rechazar H0</v>
      </c>
      <c r="F932" s="0" t="str">
        <f aca="false">IF(AND(B932="H0 verdadera",E932="Rechazar H0"),"Error tipo I",IF(AND(B932="Ha verdadera",E932="No rechazar H0"),"Error tipo II","Decisión correcta"))</f>
        <v>Decisión correcta</v>
      </c>
    </row>
    <row r="933" customFormat="false" ht="15" hidden="false" customHeight="false" outlineLevel="0" collapsed="false">
      <c r="A933" s="0" t="n">
        <v>912</v>
      </c>
      <c r="B933" s="0" t="s">
        <v>85</v>
      </c>
      <c r="C933" s="17" t="n">
        <v>0.133518216002344</v>
      </c>
      <c r="D933" s="17" t="n">
        <f aca="false">(C933-$B$4)/($B$6/SQRT($B$7))</f>
        <v>0.667591080011719</v>
      </c>
      <c r="E933" s="0" t="str">
        <f aca="false">IF(OR(AND($B$9="superior",D933&gt;$B$10),AND($B$9="inferior",D933&lt;-$B$10)),"Rechazar H0","No rechazar H0")</f>
        <v>No rechazar H0</v>
      </c>
      <c r="F933" s="0" t="str">
        <f aca="false">IF(AND(B933="H0 verdadera",E933="Rechazar H0"),"Error tipo I",IF(AND(B933="Ha verdadera",E933="No rechazar H0"),"Error tipo II","Decisión correcta"))</f>
        <v>Decisión correcta</v>
      </c>
    </row>
    <row r="934" customFormat="false" ht="15" hidden="false" customHeight="false" outlineLevel="0" collapsed="false">
      <c r="A934" s="0" t="n">
        <v>913</v>
      </c>
      <c r="B934" s="0" t="s">
        <v>86</v>
      </c>
      <c r="C934" s="17" t="n">
        <v>-0.479707944729477</v>
      </c>
      <c r="D934" s="17" t="n">
        <f aca="false">(C934-$B$4)/($B$6/SQRT($B$7))</f>
        <v>-2.39853972364739</v>
      </c>
      <c r="E934" s="0" t="str">
        <f aca="false">IF(OR(AND($B$9="superior",D934&gt;$B$10),AND($B$9="inferior",D934&lt;-$B$10)),"Rechazar H0","No rechazar H0")</f>
        <v>Rechazar H0</v>
      </c>
      <c r="F934" s="0" t="str">
        <f aca="false">IF(AND(B934="H0 verdadera",E934="Rechazar H0"),"Error tipo I",IF(AND(B934="Ha verdadera",E934="No rechazar H0"),"Error tipo II","Decisión correcta"))</f>
        <v>Decisión correcta</v>
      </c>
    </row>
    <row r="935" customFormat="false" ht="15" hidden="false" customHeight="false" outlineLevel="0" collapsed="false">
      <c r="A935" s="0" t="n">
        <v>914</v>
      </c>
      <c r="B935" s="0" t="s">
        <v>85</v>
      </c>
      <c r="C935" s="17" t="n">
        <v>0.2047445227686</v>
      </c>
      <c r="D935" s="17" t="n">
        <f aca="false">(C935-$B$4)/($B$6/SQRT($B$7))</f>
        <v>1.023722613843</v>
      </c>
      <c r="E935" s="0" t="str">
        <f aca="false">IF(OR(AND($B$9="superior",D935&gt;$B$10),AND($B$9="inferior",D935&lt;-$B$10)),"Rechazar H0","No rechazar H0")</f>
        <v>No rechazar H0</v>
      </c>
      <c r="F935" s="0" t="str">
        <f aca="false">IF(AND(B935="H0 verdadera",E935="Rechazar H0"),"Error tipo I",IF(AND(B935="Ha verdadera",E935="No rechazar H0"),"Error tipo II","Decisión correcta"))</f>
        <v>Decisión correcta</v>
      </c>
    </row>
    <row r="936" customFormat="false" ht="15" hidden="false" customHeight="false" outlineLevel="0" collapsed="false">
      <c r="A936" s="0" t="n">
        <v>915</v>
      </c>
      <c r="B936" s="0" t="s">
        <v>85</v>
      </c>
      <c r="C936" s="17" t="n">
        <v>-0.0215592996721187</v>
      </c>
      <c r="D936" s="17" t="n">
        <f aca="false">(C936-$B$4)/($B$6/SQRT($B$7))</f>
        <v>-0.107796498360594</v>
      </c>
      <c r="E936" s="0" t="str">
        <f aca="false">IF(OR(AND($B$9="superior",D936&gt;$B$10),AND($B$9="inferior",D936&lt;-$B$10)),"Rechazar H0","No rechazar H0")</f>
        <v>No rechazar H0</v>
      </c>
      <c r="F936" s="0" t="str">
        <f aca="false">IF(AND(B936="H0 verdadera",E936="Rechazar H0"),"Error tipo I",IF(AND(B936="Ha verdadera",E936="No rechazar H0"),"Error tipo II","Decisión correcta"))</f>
        <v>Decisión correcta</v>
      </c>
    </row>
    <row r="937" customFormat="false" ht="15" hidden="false" customHeight="false" outlineLevel="0" collapsed="false">
      <c r="A937" s="0" t="n">
        <v>916</v>
      </c>
      <c r="B937" s="0" t="s">
        <v>85</v>
      </c>
      <c r="C937" s="17" t="n">
        <v>-0.250226441505863</v>
      </c>
      <c r="D937" s="17" t="n">
        <f aca="false">(C937-$B$4)/($B$6/SQRT($B$7))</f>
        <v>-1.25113220752931</v>
      </c>
      <c r="E937" s="0" t="str">
        <f aca="false">IF(OR(AND($B$9="superior",D937&gt;$B$10),AND($B$9="inferior",D937&lt;-$B$10)),"Rechazar H0","No rechazar H0")</f>
        <v>No rechazar H0</v>
      </c>
      <c r="F937" s="0" t="str">
        <f aca="false">IF(AND(B937="H0 verdadera",E937="Rechazar H0"),"Error tipo I",IF(AND(B937="Ha verdadera",E937="No rechazar H0"),"Error tipo II","Decisión correcta"))</f>
        <v>Decisión correcta</v>
      </c>
    </row>
    <row r="938" customFormat="false" ht="15" hidden="false" customHeight="false" outlineLevel="0" collapsed="false">
      <c r="A938" s="0" t="n">
        <v>917</v>
      </c>
      <c r="B938" s="0" t="s">
        <v>85</v>
      </c>
      <c r="C938" s="17" t="n">
        <v>-0.0742530908605217</v>
      </c>
      <c r="D938" s="17" t="n">
        <f aca="false">(C938-$B$4)/($B$6/SQRT($B$7))</f>
        <v>-0.371265454302609</v>
      </c>
      <c r="E938" s="0" t="str">
        <f aca="false">IF(OR(AND($B$9="superior",D938&gt;$B$10),AND($B$9="inferior",D938&lt;-$B$10)),"Rechazar H0","No rechazar H0")</f>
        <v>No rechazar H0</v>
      </c>
      <c r="F938" s="0" t="str">
        <f aca="false">IF(AND(B938="H0 verdadera",E938="Rechazar H0"),"Error tipo I",IF(AND(B938="Ha verdadera",E938="No rechazar H0"),"Error tipo II","Decisión correcta"))</f>
        <v>Decisión correcta</v>
      </c>
    </row>
    <row r="939" customFormat="false" ht="15" hidden="false" customHeight="false" outlineLevel="0" collapsed="false">
      <c r="A939" s="0" t="n">
        <v>918</v>
      </c>
      <c r="B939" s="0" t="s">
        <v>86</v>
      </c>
      <c r="C939" s="17" t="n">
        <v>-0.440879112164675</v>
      </c>
      <c r="D939" s="17" t="n">
        <f aca="false">(C939-$B$4)/($B$6/SQRT($B$7))</f>
        <v>-2.20439556082338</v>
      </c>
      <c r="E939" s="0" t="str">
        <f aca="false">IF(OR(AND($B$9="superior",D939&gt;$B$10),AND($B$9="inferior",D939&lt;-$B$10)),"Rechazar H0","No rechazar H0")</f>
        <v>Rechazar H0</v>
      </c>
      <c r="F939" s="0" t="str">
        <f aca="false">IF(AND(B939="H0 verdadera",E939="Rechazar H0"),"Error tipo I",IF(AND(B939="Ha verdadera",E939="No rechazar H0"),"Error tipo II","Decisión correcta"))</f>
        <v>Decisión correcta</v>
      </c>
    </row>
    <row r="940" customFormat="false" ht="15" hidden="false" customHeight="false" outlineLevel="0" collapsed="false">
      <c r="A940" s="0" t="n">
        <v>919</v>
      </c>
      <c r="B940" s="0" t="s">
        <v>86</v>
      </c>
      <c r="C940" s="17" t="n">
        <v>-0.698244338648207</v>
      </c>
      <c r="D940" s="17" t="n">
        <f aca="false">(C940-$B$4)/($B$6/SQRT($B$7))</f>
        <v>-3.49122169324104</v>
      </c>
      <c r="E940" s="0" t="str">
        <f aca="false">IF(OR(AND($B$9="superior",D940&gt;$B$10),AND($B$9="inferior",D940&lt;-$B$10)),"Rechazar H0","No rechazar H0")</f>
        <v>Rechazar H0</v>
      </c>
      <c r="F940" s="0" t="str">
        <f aca="false">IF(AND(B940="H0 verdadera",E940="Rechazar H0"),"Error tipo I",IF(AND(B940="Ha verdadera",E940="No rechazar H0"),"Error tipo II","Decisión correcta"))</f>
        <v>Decisión correcta</v>
      </c>
    </row>
    <row r="941" customFormat="false" ht="15" hidden="false" customHeight="false" outlineLevel="0" collapsed="false">
      <c r="A941" s="0" t="n">
        <v>920</v>
      </c>
      <c r="B941" s="0" t="s">
        <v>86</v>
      </c>
      <c r="C941" s="17" t="n">
        <v>-0.624977426288758</v>
      </c>
      <c r="D941" s="17" t="n">
        <f aca="false">(C941-$B$4)/($B$6/SQRT($B$7))</f>
        <v>-3.12488713144379</v>
      </c>
      <c r="E941" s="0" t="str">
        <f aca="false">IF(OR(AND($B$9="superior",D941&gt;$B$10),AND($B$9="inferior",D941&lt;-$B$10)),"Rechazar H0","No rechazar H0")</f>
        <v>Rechazar H0</v>
      </c>
      <c r="F941" s="0" t="str">
        <f aca="false">IF(AND(B941="H0 verdadera",E941="Rechazar H0"),"Error tipo I",IF(AND(B941="Ha verdadera",E941="No rechazar H0"),"Error tipo II","Decisión correcta"))</f>
        <v>Decisión correcta</v>
      </c>
    </row>
    <row r="942" customFormat="false" ht="15" hidden="false" customHeight="false" outlineLevel="0" collapsed="false">
      <c r="A942" s="0" t="n">
        <v>921</v>
      </c>
      <c r="B942" s="0" t="s">
        <v>85</v>
      </c>
      <c r="C942" s="17" t="n">
        <v>0.0704085763022493</v>
      </c>
      <c r="D942" s="17" t="n">
        <f aca="false">(C942-$B$4)/($B$6/SQRT($B$7))</f>
        <v>0.352042881511247</v>
      </c>
      <c r="E942" s="0" t="str">
        <f aca="false">IF(OR(AND($B$9="superior",D942&gt;$B$10),AND($B$9="inferior",D942&lt;-$B$10)),"Rechazar H0","No rechazar H0")</f>
        <v>No rechazar H0</v>
      </c>
      <c r="F942" s="0" t="str">
        <f aca="false">IF(AND(B942="H0 verdadera",E942="Rechazar H0"),"Error tipo I",IF(AND(B942="Ha verdadera",E942="No rechazar H0"),"Error tipo II","Decisión correcta"))</f>
        <v>Decisión correcta</v>
      </c>
    </row>
    <row r="943" customFormat="false" ht="15" hidden="false" customHeight="false" outlineLevel="0" collapsed="false">
      <c r="A943" s="0" t="n">
        <v>922</v>
      </c>
      <c r="B943" s="0" t="s">
        <v>85</v>
      </c>
      <c r="C943" s="17" t="n">
        <v>-0.111816569122457</v>
      </c>
      <c r="D943" s="17" t="n">
        <f aca="false">(C943-$B$4)/($B$6/SQRT($B$7))</f>
        <v>-0.559082845612285</v>
      </c>
      <c r="E943" s="0" t="str">
        <f aca="false">IF(OR(AND($B$9="superior",D943&gt;$B$10),AND($B$9="inferior",D943&lt;-$B$10)),"Rechazar H0","No rechazar H0")</f>
        <v>No rechazar H0</v>
      </c>
      <c r="F943" s="0" t="str">
        <f aca="false">IF(AND(B943="H0 verdadera",E943="Rechazar H0"),"Error tipo I",IF(AND(B943="Ha verdadera",E943="No rechazar H0"),"Error tipo II","Decisión correcta"))</f>
        <v>Decisión correcta</v>
      </c>
    </row>
    <row r="944" customFormat="false" ht="15" hidden="false" customHeight="false" outlineLevel="0" collapsed="false">
      <c r="A944" s="0" t="n">
        <v>923</v>
      </c>
      <c r="B944" s="0" t="s">
        <v>86</v>
      </c>
      <c r="C944" s="17" t="n">
        <v>-0.488398420491809</v>
      </c>
      <c r="D944" s="17" t="n">
        <f aca="false">(C944-$B$4)/($B$6/SQRT($B$7))</f>
        <v>-2.44199210245905</v>
      </c>
      <c r="E944" s="0" t="str">
        <f aca="false">IF(OR(AND($B$9="superior",D944&gt;$B$10),AND($B$9="inferior",D944&lt;-$B$10)),"Rechazar H0","No rechazar H0")</f>
        <v>Rechazar H0</v>
      </c>
      <c r="F944" s="0" t="str">
        <f aca="false">IF(AND(B944="H0 verdadera",E944="Rechazar H0"),"Error tipo I",IF(AND(B944="Ha verdadera",E944="No rechazar H0"),"Error tipo II","Decisión correcta"))</f>
        <v>Decisión correcta</v>
      </c>
    </row>
    <row r="945" customFormat="false" ht="15" hidden="false" customHeight="false" outlineLevel="0" collapsed="false">
      <c r="A945" s="0" t="n">
        <v>924</v>
      </c>
      <c r="B945" s="0" t="s">
        <v>86</v>
      </c>
      <c r="C945" s="17" t="n">
        <v>-0.45894304212894</v>
      </c>
      <c r="D945" s="17" t="n">
        <f aca="false">(C945-$B$4)/($B$6/SQRT($B$7))</f>
        <v>-2.2947152106447</v>
      </c>
      <c r="E945" s="0" t="str">
        <f aca="false">IF(OR(AND($B$9="superior",D945&gt;$B$10),AND($B$9="inferior",D945&lt;-$B$10)),"Rechazar H0","No rechazar H0")</f>
        <v>Rechazar H0</v>
      </c>
      <c r="F945" s="0" t="str">
        <f aca="false">IF(AND(B945="H0 verdadera",E945="Rechazar H0"),"Error tipo I",IF(AND(B945="Ha verdadera",E945="No rechazar H0"),"Error tipo II","Decisión correcta"))</f>
        <v>Decisión correcta</v>
      </c>
    </row>
    <row r="946" customFormat="false" ht="15" hidden="false" customHeight="false" outlineLevel="0" collapsed="false">
      <c r="A946" s="0" t="n">
        <v>925</v>
      </c>
      <c r="B946" s="0" t="s">
        <v>86</v>
      </c>
      <c r="C946" s="17" t="n">
        <v>-0.497042367279216</v>
      </c>
      <c r="D946" s="17" t="n">
        <f aca="false">(C946-$B$4)/($B$6/SQRT($B$7))</f>
        <v>-2.48521183639608</v>
      </c>
      <c r="E946" s="0" t="str">
        <f aca="false">IF(OR(AND($B$9="superior",D946&gt;$B$10),AND($B$9="inferior",D946&lt;-$B$10)),"Rechazar H0","No rechazar H0")</f>
        <v>Rechazar H0</v>
      </c>
      <c r="F946" s="0" t="str">
        <f aca="false">IF(AND(B946="H0 verdadera",E946="Rechazar H0"),"Error tipo I",IF(AND(B946="Ha verdadera",E946="No rechazar H0"),"Error tipo II","Decisión correcta"))</f>
        <v>Decisión correcta</v>
      </c>
    </row>
    <row r="947" customFormat="false" ht="15" hidden="false" customHeight="false" outlineLevel="0" collapsed="false">
      <c r="A947" s="0" t="n">
        <v>926</v>
      </c>
      <c r="B947" s="0" t="s">
        <v>86</v>
      </c>
      <c r="C947" s="17" t="n">
        <v>-0.52877555994939</v>
      </c>
      <c r="D947" s="17" t="n">
        <f aca="false">(C947-$B$4)/($B$6/SQRT($B$7))</f>
        <v>-2.64387779974695</v>
      </c>
      <c r="E947" s="0" t="str">
        <f aca="false">IF(OR(AND($B$9="superior",D947&gt;$B$10),AND($B$9="inferior",D947&lt;-$B$10)),"Rechazar H0","No rechazar H0")</f>
        <v>Rechazar H0</v>
      </c>
      <c r="F947" s="0" t="str">
        <f aca="false">IF(AND(B947="H0 verdadera",E947="Rechazar H0"),"Error tipo I",IF(AND(B947="Ha verdadera",E947="No rechazar H0"),"Error tipo II","Decisión correcta"))</f>
        <v>Decisión correcta</v>
      </c>
    </row>
    <row r="948" customFormat="false" ht="15" hidden="false" customHeight="false" outlineLevel="0" collapsed="false">
      <c r="A948" s="0" t="n">
        <v>927</v>
      </c>
      <c r="B948" s="0" t="s">
        <v>85</v>
      </c>
      <c r="C948" s="17" t="n">
        <v>-0.155896278805091</v>
      </c>
      <c r="D948" s="17" t="n">
        <f aca="false">(C948-$B$4)/($B$6/SQRT($B$7))</f>
        <v>-0.779481394025454</v>
      </c>
      <c r="E948" s="0" t="str">
        <f aca="false">IF(OR(AND($B$9="superior",D948&gt;$B$10),AND($B$9="inferior",D948&lt;-$B$10)),"Rechazar H0","No rechazar H0")</f>
        <v>No rechazar H0</v>
      </c>
      <c r="F948" s="0" t="str">
        <f aca="false">IF(AND(B948="H0 verdadera",E948="Rechazar H0"),"Error tipo I",IF(AND(B948="Ha verdadera",E948="No rechazar H0"),"Error tipo II","Decisión correcta"))</f>
        <v>Decisión correcta</v>
      </c>
    </row>
    <row r="949" customFormat="false" ht="15" hidden="false" customHeight="false" outlineLevel="0" collapsed="false">
      <c r="A949" s="0" t="n">
        <v>928</v>
      </c>
      <c r="B949" s="0" t="s">
        <v>85</v>
      </c>
      <c r="C949" s="17" t="n">
        <v>-0.441118700571841</v>
      </c>
      <c r="D949" s="17" t="n">
        <f aca="false">(C949-$B$4)/($B$6/SQRT($B$7))</f>
        <v>-2.20559350285921</v>
      </c>
      <c r="E949" s="0" t="str">
        <f aca="false">IF(OR(AND($B$9="superior",D949&gt;$B$10),AND($B$9="inferior",D949&lt;-$B$10)),"Rechazar H0","No rechazar H0")</f>
        <v>Rechazar H0</v>
      </c>
      <c r="F949" s="0" t="str">
        <f aca="false">IF(AND(B949="H0 verdadera",E949="Rechazar H0"),"Error tipo I",IF(AND(B949="Ha verdadera",E949="No rechazar H0"),"Error tipo II","Decisión correcta"))</f>
        <v>Error tipo I</v>
      </c>
    </row>
    <row r="950" customFormat="false" ht="15" hidden="false" customHeight="false" outlineLevel="0" collapsed="false">
      <c r="A950" s="0" t="n">
        <v>929</v>
      </c>
      <c r="B950" s="0" t="s">
        <v>86</v>
      </c>
      <c r="C950" s="17" t="n">
        <v>-0.457843046911333</v>
      </c>
      <c r="D950" s="17" t="n">
        <f aca="false">(C950-$B$4)/($B$6/SQRT($B$7))</f>
        <v>-2.28921523455666</v>
      </c>
      <c r="E950" s="0" t="str">
        <f aca="false">IF(OR(AND($B$9="superior",D950&gt;$B$10),AND($B$9="inferior",D950&lt;-$B$10)),"Rechazar H0","No rechazar H0")</f>
        <v>Rechazar H0</v>
      </c>
      <c r="F950" s="0" t="str">
        <f aca="false">IF(AND(B950="H0 verdadera",E950="Rechazar H0"),"Error tipo I",IF(AND(B950="Ha verdadera",E950="No rechazar H0"),"Error tipo II","Decisión correcta"))</f>
        <v>Decisión correcta</v>
      </c>
    </row>
    <row r="951" customFormat="false" ht="15" hidden="false" customHeight="false" outlineLevel="0" collapsed="false">
      <c r="A951" s="0" t="n">
        <v>930</v>
      </c>
      <c r="B951" s="0" t="s">
        <v>85</v>
      </c>
      <c r="C951" s="17" t="n">
        <v>-0.191994094621082</v>
      </c>
      <c r="D951" s="17" t="n">
        <f aca="false">(C951-$B$4)/($B$6/SQRT($B$7))</f>
        <v>-0.959970473105412</v>
      </c>
      <c r="E951" s="0" t="str">
        <f aca="false">IF(OR(AND($B$9="superior",D951&gt;$B$10),AND($B$9="inferior",D951&lt;-$B$10)),"Rechazar H0","No rechazar H0")</f>
        <v>No rechazar H0</v>
      </c>
      <c r="F951" s="0" t="str">
        <f aca="false">IF(AND(B951="H0 verdadera",E951="Rechazar H0"),"Error tipo I",IF(AND(B951="Ha verdadera",E951="No rechazar H0"),"Error tipo II","Decisión correcta"))</f>
        <v>Decisión correcta</v>
      </c>
    </row>
    <row r="952" customFormat="false" ht="15" hidden="false" customHeight="false" outlineLevel="0" collapsed="false">
      <c r="A952" s="0" t="n">
        <v>931</v>
      </c>
      <c r="B952" s="0" t="s">
        <v>85</v>
      </c>
      <c r="C952" s="17" t="n">
        <v>0.052186423486496</v>
      </c>
      <c r="D952" s="17" t="n">
        <f aca="false">(C952-$B$4)/($B$6/SQRT($B$7))</f>
        <v>0.26093211743248</v>
      </c>
      <c r="E952" s="0" t="str">
        <f aca="false">IF(OR(AND($B$9="superior",D952&gt;$B$10),AND($B$9="inferior",D952&lt;-$B$10)),"Rechazar H0","No rechazar H0")</f>
        <v>No rechazar H0</v>
      </c>
      <c r="F952" s="0" t="str">
        <f aca="false">IF(AND(B952="H0 verdadera",E952="Rechazar H0"),"Error tipo I",IF(AND(B952="Ha verdadera",E952="No rechazar H0"),"Error tipo II","Decisión correcta"))</f>
        <v>Decisión correcta</v>
      </c>
    </row>
    <row r="953" customFormat="false" ht="15" hidden="false" customHeight="false" outlineLevel="0" collapsed="false">
      <c r="A953" s="0" t="n">
        <v>932</v>
      </c>
      <c r="B953" s="0" t="s">
        <v>86</v>
      </c>
      <c r="C953" s="17" t="n">
        <v>-0.400319446030071</v>
      </c>
      <c r="D953" s="17" t="n">
        <f aca="false">(C953-$B$4)/($B$6/SQRT($B$7))</f>
        <v>-2.00159723015035</v>
      </c>
      <c r="E953" s="0" t="str">
        <f aca="false">IF(OR(AND($B$9="superior",D953&gt;$B$10),AND($B$9="inferior",D953&lt;-$B$10)),"Rechazar H0","No rechazar H0")</f>
        <v>Rechazar H0</v>
      </c>
      <c r="F953" s="0" t="str">
        <f aca="false">IF(AND(B953="H0 verdadera",E953="Rechazar H0"),"Error tipo I",IF(AND(B953="Ha verdadera",E953="No rechazar H0"),"Error tipo II","Decisión correcta"))</f>
        <v>Decisión correcta</v>
      </c>
    </row>
    <row r="954" customFormat="false" ht="15" hidden="false" customHeight="false" outlineLevel="0" collapsed="false">
      <c r="A954" s="0" t="n">
        <v>933</v>
      </c>
      <c r="B954" s="0" t="s">
        <v>85</v>
      </c>
      <c r="C954" s="17" t="n">
        <v>-0.0603779132021727</v>
      </c>
      <c r="D954" s="17" t="n">
        <f aca="false">(C954-$B$4)/($B$6/SQRT($B$7))</f>
        <v>-0.301889566010864</v>
      </c>
      <c r="E954" s="0" t="str">
        <f aca="false">IF(OR(AND($B$9="superior",D954&gt;$B$10),AND($B$9="inferior",D954&lt;-$B$10)),"Rechazar H0","No rechazar H0")</f>
        <v>No rechazar H0</v>
      </c>
      <c r="F954" s="0" t="str">
        <f aca="false">IF(AND(B954="H0 verdadera",E954="Rechazar H0"),"Error tipo I",IF(AND(B954="Ha verdadera",E954="No rechazar H0"),"Error tipo II","Decisión correcta"))</f>
        <v>Decisión correcta</v>
      </c>
    </row>
    <row r="955" customFormat="false" ht="15" hidden="false" customHeight="false" outlineLevel="0" collapsed="false">
      <c r="A955" s="0" t="n">
        <v>934</v>
      </c>
      <c r="B955" s="0" t="s">
        <v>86</v>
      </c>
      <c r="C955" s="17" t="n">
        <v>-0.575976236793537</v>
      </c>
      <c r="D955" s="17" t="n">
        <f aca="false">(C955-$B$4)/($B$6/SQRT($B$7))</f>
        <v>-2.87988118396768</v>
      </c>
      <c r="E955" s="0" t="str">
        <f aca="false">IF(OR(AND($B$9="superior",D955&gt;$B$10),AND($B$9="inferior",D955&lt;-$B$10)),"Rechazar H0","No rechazar H0")</f>
        <v>Rechazar H0</v>
      </c>
      <c r="F955" s="0" t="str">
        <f aca="false">IF(AND(B955="H0 verdadera",E955="Rechazar H0"),"Error tipo I",IF(AND(B955="Ha verdadera",E955="No rechazar H0"),"Error tipo II","Decisión correcta"))</f>
        <v>Decisión correcta</v>
      </c>
    </row>
    <row r="956" customFormat="false" ht="15" hidden="false" customHeight="false" outlineLevel="0" collapsed="false">
      <c r="A956" s="0" t="n">
        <v>935</v>
      </c>
      <c r="B956" s="0" t="s">
        <v>85</v>
      </c>
      <c r="C956" s="17" t="n">
        <v>0.188630376021149</v>
      </c>
      <c r="D956" s="17" t="n">
        <f aca="false">(C956-$B$4)/($B$6/SQRT($B$7))</f>
        <v>0.943151880105745</v>
      </c>
      <c r="E956" s="0" t="str">
        <f aca="false">IF(OR(AND($B$9="superior",D956&gt;$B$10),AND($B$9="inferior",D956&lt;-$B$10)),"Rechazar H0","No rechazar H0")</f>
        <v>No rechazar H0</v>
      </c>
      <c r="F956" s="0" t="str">
        <f aca="false">IF(AND(B956="H0 verdadera",E956="Rechazar H0"),"Error tipo I",IF(AND(B956="Ha verdadera",E956="No rechazar H0"),"Error tipo II","Decisión correcta"))</f>
        <v>Decisión correcta</v>
      </c>
    </row>
    <row r="957" customFormat="false" ht="15" hidden="false" customHeight="false" outlineLevel="0" collapsed="false">
      <c r="A957" s="0" t="n">
        <v>936</v>
      </c>
      <c r="B957" s="0" t="s">
        <v>86</v>
      </c>
      <c r="C957" s="17" t="n">
        <v>-0.297239510883028</v>
      </c>
      <c r="D957" s="17" t="n">
        <f aca="false">(C957-$B$4)/($B$6/SQRT($B$7))</f>
        <v>-1.48619755441514</v>
      </c>
      <c r="E957" s="0" t="str">
        <f aca="false">IF(OR(AND($B$9="superior",D957&gt;$B$10),AND($B$9="inferior",D957&lt;-$B$10)),"Rechazar H0","No rechazar H0")</f>
        <v>No rechazar H0</v>
      </c>
      <c r="F957" s="0" t="str">
        <f aca="false">IF(AND(B957="H0 verdadera",E957="Rechazar H0"),"Error tipo I",IF(AND(B957="Ha verdadera",E957="No rechazar H0"),"Error tipo II","Decisión correcta"))</f>
        <v>Error tipo II</v>
      </c>
    </row>
    <row r="958" customFormat="false" ht="15" hidden="false" customHeight="false" outlineLevel="0" collapsed="false">
      <c r="A958" s="0" t="n">
        <v>937</v>
      </c>
      <c r="B958" s="0" t="s">
        <v>85</v>
      </c>
      <c r="C958" s="17" t="n">
        <v>0.238624773866741</v>
      </c>
      <c r="D958" s="17" t="n">
        <f aca="false">(C958-$B$4)/($B$6/SQRT($B$7))</f>
        <v>1.19312386933371</v>
      </c>
      <c r="E958" s="0" t="str">
        <f aca="false">IF(OR(AND($B$9="superior",D958&gt;$B$10),AND($B$9="inferior",D958&lt;-$B$10)),"Rechazar H0","No rechazar H0")</f>
        <v>No rechazar H0</v>
      </c>
      <c r="F958" s="0" t="str">
        <f aca="false">IF(AND(B958="H0 verdadera",E958="Rechazar H0"),"Error tipo I",IF(AND(B958="Ha verdadera",E958="No rechazar H0"),"Error tipo II","Decisión correcta"))</f>
        <v>Decisión correcta</v>
      </c>
    </row>
    <row r="959" customFormat="false" ht="15" hidden="false" customHeight="false" outlineLevel="0" collapsed="false">
      <c r="A959" s="0" t="n">
        <v>938</v>
      </c>
      <c r="B959" s="0" t="s">
        <v>86</v>
      </c>
      <c r="C959" s="17" t="n">
        <v>-0.149526164137878</v>
      </c>
      <c r="D959" s="17" t="n">
        <f aca="false">(C959-$B$4)/($B$6/SQRT($B$7))</f>
        <v>-0.747630820689388</v>
      </c>
      <c r="E959" s="0" t="str">
        <f aca="false">IF(OR(AND($B$9="superior",D959&gt;$B$10),AND($B$9="inferior",D959&lt;-$B$10)),"Rechazar H0","No rechazar H0")</f>
        <v>No rechazar H0</v>
      </c>
      <c r="F959" s="0" t="str">
        <f aca="false">IF(AND(B959="H0 verdadera",E959="Rechazar H0"),"Error tipo I",IF(AND(B959="Ha verdadera",E959="No rechazar H0"),"Error tipo II","Decisión correcta"))</f>
        <v>Error tipo II</v>
      </c>
    </row>
    <row r="960" customFormat="false" ht="15" hidden="false" customHeight="false" outlineLevel="0" collapsed="false">
      <c r="A960" s="0" t="n">
        <v>939</v>
      </c>
      <c r="B960" s="0" t="s">
        <v>85</v>
      </c>
      <c r="C960" s="17" t="n">
        <v>0.010696649199433</v>
      </c>
      <c r="D960" s="17" t="n">
        <f aca="false">(C960-$B$4)/($B$6/SQRT($B$7))</f>
        <v>0.053483245997165</v>
      </c>
      <c r="E960" s="0" t="str">
        <f aca="false">IF(OR(AND($B$9="superior",D960&gt;$B$10),AND($B$9="inferior",D960&lt;-$B$10)),"Rechazar H0","No rechazar H0")</f>
        <v>No rechazar H0</v>
      </c>
      <c r="F960" s="0" t="str">
        <f aca="false">IF(AND(B960="H0 verdadera",E960="Rechazar H0"),"Error tipo I",IF(AND(B960="Ha verdadera",E960="No rechazar H0"),"Error tipo II","Decisión correcta"))</f>
        <v>Decisión correcta</v>
      </c>
    </row>
    <row r="961" customFormat="false" ht="15" hidden="false" customHeight="false" outlineLevel="0" collapsed="false">
      <c r="A961" s="0" t="n">
        <v>940</v>
      </c>
      <c r="B961" s="0" t="s">
        <v>85</v>
      </c>
      <c r="C961" s="17" t="n">
        <v>-0.116835963135284</v>
      </c>
      <c r="D961" s="17" t="n">
        <f aca="false">(C961-$B$4)/($B$6/SQRT($B$7))</f>
        <v>-0.584179815676422</v>
      </c>
      <c r="E961" s="0" t="str">
        <f aca="false">IF(OR(AND($B$9="superior",D961&gt;$B$10),AND($B$9="inferior",D961&lt;-$B$10)),"Rechazar H0","No rechazar H0")</f>
        <v>No rechazar H0</v>
      </c>
      <c r="F961" s="0" t="str">
        <f aca="false">IF(AND(B961="H0 verdadera",E961="Rechazar H0"),"Error tipo I",IF(AND(B961="Ha verdadera",E961="No rechazar H0"),"Error tipo II","Decisión correcta"))</f>
        <v>Decisión correcta</v>
      </c>
    </row>
    <row r="962" customFormat="false" ht="15" hidden="false" customHeight="false" outlineLevel="0" collapsed="false">
      <c r="A962" s="0" t="n">
        <v>941</v>
      </c>
      <c r="B962" s="0" t="s">
        <v>86</v>
      </c>
      <c r="C962" s="17" t="n">
        <v>-0.11390886347821</v>
      </c>
      <c r="D962" s="17" t="n">
        <f aca="false">(C962-$B$4)/($B$6/SQRT($B$7))</f>
        <v>-0.56954431739105</v>
      </c>
      <c r="E962" s="0" t="str">
        <f aca="false">IF(OR(AND($B$9="superior",D962&gt;$B$10),AND($B$9="inferior",D962&lt;-$B$10)),"Rechazar H0","No rechazar H0")</f>
        <v>No rechazar H0</v>
      </c>
      <c r="F962" s="0" t="str">
        <f aca="false">IF(AND(B962="H0 verdadera",E962="Rechazar H0"),"Error tipo I",IF(AND(B962="Ha verdadera",E962="No rechazar H0"),"Error tipo II","Decisión correcta"))</f>
        <v>Error tipo II</v>
      </c>
    </row>
    <row r="963" customFormat="false" ht="15" hidden="false" customHeight="false" outlineLevel="0" collapsed="false">
      <c r="A963" s="0" t="n">
        <v>942</v>
      </c>
      <c r="B963" s="0" t="s">
        <v>86</v>
      </c>
      <c r="C963" s="17" t="n">
        <v>-0.381875562830556</v>
      </c>
      <c r="D963" s="17" t="n">
        <f aca="false">(C963-$B$4)/($B$6/SQRT($B$7))</f>
        <v>-1.90937781415278</v>
      </c>
      <c r="E963" s="0" t="str">
        <f aca="false">IF(OR(AND($B$9="superior",D963&gt;$B$10),AND($B$9="inferior",D963&lt;-$B$10)),"Rechazar H0","No rechazar H0")</f>
        <v>Rechazar H0</v>
      </c>
      <c r="F963" s="0" t="str">
        <f aca="false">IF(AND(B963="H0 verdadera",E963="Rechazar H0"),"Error tipo I",IF(AND(B963="Ha verdadera",E963="No rechazar H0"),"Error tipo II","Decisión correcta"))</f>
        <v>Decisión correcta</v>
      </c>
    </row>
    <row r="964" customFormat="false" ht="15" hidden="false" customHeight="false" outlineLevel="0" collapsed="false">
      <c r="A964" s="0" t="n">
        <v>943</v>
      </c>
      <c r="B964" s="0" t="s">
        <v>86</v>
      </c>
      <c r="C964" s="17" t="n">
        <v>-0.218160397531408</v>
      </c>
      <c r="D964" s="17" t="n">
        <f aca="false">(C964-$B$4)/($B$6/SQRT($B$7))</f>
        <v>-1.09080198765704</v>
      </c>
      <c r="E964" s="0" t="str">
        <f aca="false">IF(OR(AND($B$9="superior",D964&gt;$B$10),AND($B$9="inferior",D964&lt;-$B$10)),"Rechazar H0","No rechazar H0")</f>
        <v>No rechazar H0</v>
      </c>
      <c r="F964" s="0" t="str">
        <f aca="false">IF(AND(B964="H0 verdadera",E964="Rechazar H0"),"Error tipo I",IF(AND(B964="Ha verdadera",E964="No rechazar H0"),"Error tipo II","Decisión correcta"))</f>
        <v>Error tipo II</v>
      </c>
    </row>
    <row r="965" customFormat="false" ht="15" hidden="false" customHeight="false" outlineLevel="0" collapsed="false">
      <c r="A965" s="0" t="n">
        <v>944</v>
      </c>
      <c r="B965" s="0" t="s">
        <v>85</v>
      </c>
      <c r="C965" s="17" t="n">
        <v>-0.463848806332537</v>
      </c>
      <c r="D965" s="17" t="n">
        <f aca="false">(C965-$B$4)/($B$6/SQRT($B$7))</f>
        <v>-2.31924403166268</v>
      </c>
      <c r="E965" s="0" t="str">
        <f aca="false">IF(OR(AND($B$9="superior",D965&gt;$B$10),AND($B$9="inferior",D965&lt;-$B$10)),"Rechazar H0","No rechazar H0")</f>
        <v>Rechazar H0</v>
      </c>
      <c r="F965" s="0" t="str">
        <f aca="false">IF(AND(B965="H0 verdadera",E965="Rechazar H0"),"Error tipo I",IF(AND(B965="Ha verdadera",E965="No rechazar H0"),"Error tipo II","Decisión correcta"))</f>
        <v>Error tipo I</v>
      </c>
    </row>
    <row r="966" customFormat="false" ht="15" hidden="false" customHeight="false" outlineLevel="0" collapsed="false">
      <c r="A966" s="0" t="n">
        <v>945</v>
      </c>
      <c r="B966" s="0" t="s">
        <v>85</v>
      </c>
      <c r="C966" s="17" t="n">
        <v>-0.182774268669148</v>
      </c>
      <c r="D966" s="17" t="n">
        <f aca="false">(C966-$B$4)/($B$6/SQRT($B$7))</f>
        <v>-0.91387134334574</v>
      </c>
      <c r="E966" s="0" t="str">
        <f aca="false">IF(OR(AND($B$9="superior",D966&gt;$B$10),AND($B$9="inferior",D966&lt;-$B$10)),"Rechazar H0","No rechazar H0")</f>
        <v>No rechazar H0</v>
      </c>
      <c r="F966" s="0" t="str">
        <f aca="false">IF(AND(B966="H0 verdadera",E966="Rechazar H0"),"Error tipo I",IF(AND(B966="Ha verdadera",E966="No rechazar H0"),"Error tipo II","Decisión correcta"))</f>
        <v>Decisión correcta</v>
      </c>
    </row>
    <row r="967" customFormat="false" ht="15" hidden="false" customHeight="false" outlineLevel="0" collapsed="false">
      <c r="A967" s="0" t="n">
        <v>946</v>
      </c>
      <c r="B967" s="0" t="s">
        <v>85</v>
      </c>
      <c r="C967" s="17" t="n">
        <v>-0.0110214829759363</v>
      </c>
      <c r="D967" s="17" t="n">
        <f aca="false">(C967-$B$4)/($B$6/SQRT($B$7))</f>
        <v>-0.0551074148796817</v>
      </c>
      <c r="E967" s="0" t="str">
        <f aca="false">IF(OR(AND($B$9="superior",D967&gt;$B$10),AND($B$9="inferior",D967&lt;-$B$10)),"Rechazar H0","No rechazar H0")</f>
        <v>No rechazar H0</v>
      </c>
      <c r="F967" s="0" t="str">
        <f aca="false">IF(AND(B967="H0 verdadera",E967="Rechazar H0"),"Error tipo I",IF(AND(B967="Ha verdadera",E967="No rechazar H0"),"Error tipo II","Decisión correcta"))</f>
        <v>Decisión correcta</v>
      </c>
    </row>
    <row r="968" customFormat="false" ht="15" hidden="false" customHeight="false" outlineLevel="0" collapsed="false">
      <c r="A968" s="0" t="n">
        <v>947</v>
      </c>
      <c r="B968" s="0" t="s">
        <v>85</v>
      </c>
      <c r="C968" s="17" t="n">
        <v>0.0441852515255959</v>
      </c>
      <c r="D968" s="17" t="n">
        <f aca="false">(C968-$B$4)/($B$6/SQRT($B$7))</f>
        <v>0.220926257627979</v>
      </c>
      <c r="E968" s="0" t="str">
        <f aca="false">IF(OR(AND($B$9="superior",D968&gt;$B$10),AND($B$9="inferior",D968&lt;-$B$10)),"Rechazar H0","No rechazar H0")</f>
        <v>No rechazar H0</v>
      </c>
      <c r="F968" s="0" t="str">
        <f aca="false">IF(AND(B968="H0 verdadera",E968="Rechazar H0"),"Error tipo I",IF(AND(B968="Ha verdadera",E968="No rechazar H0"),"Error tipo II","Decisión correcta"))</f>
        <v>Decisión correcta</v>
      </c>
    </row>
    <row r="969" customFormat="false" ht="15" hidden="false" customHeight="false" outlineLevel="0" collapsed="false">
      <c r="A969" s="0" t="n">
        <v>948</v>
      </c>
      <c r="B969" s="0" t="s">
        <v>85</v>
      </c>
      <c r="C969" s="17" t="n">
        <v>0.115683586082796</v>
      </c>
      <c r="D969" s="17" t="n">
        <f aca="false">(C969-$B$4)/($B$6/SQRT($B$7))</f>
        <v>0.578417930413982</v>
      </c>
      <c r="E969" s="0" t="str">
        <f aca="false">IF(OR(AND($B$9="superior",D969&gt;$B$10),AND($B$9="inferior",D969&lt;-$B$10)),"Rechazar H0","No rechazar H0")</f>
        <v>No rechazar H0</v>
      </c>
      <c r="F969" s="0" t="str">
        <f aca="false">IF(AND(B969="H0 verdadera",E969="Rechazar H0"),"Error tipo I",IF(AND(B969="Ha verdadera",E969="No rechazar H0"),"Error tipo II","Decisión correcta"))</f>
        <v>Decisión correcta</v>
      </c>
    </row>
    <row r="970" customFormat="false" ht="15" hidden="false" customHeight="false" outlineLevel="0" collapsed="false">
      <c r="A970" s="0" t="n">
        <v>949</v>
      </c>
      <c r="B970" s="0" t="s">
        <v>86</v>
      </c>
      <c r="C970" s="17" t="n">
        <v>-0.356563912771702</v>
      </c>
      <c r="D970" s="17" t="n">
        <f aca="false">(C970-$B$4)/($B$6/SQRT($B$7))</f>
        <v>-1.78281956385851</v>
      </c>
      <c r="E970" s="0" t="str">
        <f aca="false">IF(OR(AND($B$9="superior",D970&gt;$B$10),AND($B$9="inferior",D970&lt;-$B$10)),"Rechazar H0","No rechazar H0")</f>
        <v>Rechazar H0</v>
      </c>
      <c r="F970" s="0" t="str">
        <f aca="false">IF(AND(B970="H0 verdadera",E970="Rechazar H0"),"Error tipo I",IF(AND(B970="Ha verdadera",E970="No rechazar H0"),"Error tipo II","Decisión correcta"))</f>
        <v>Decisión correcta</v>
      </c>
    </row>
    <row r="971" customFormat="false" ht="15" hidden="false" customHeight="false" outlineLevel="0" collapsed="false">
      <c r="A971" s="0" t="n">
        <v>950</v>
      </c>
      <c r="B971" s="0" t="s">
        <v>85</v>
      </c>
      <c r="C971" s="17" t="n">
        <v>-0.110605887258791</v>
      </c>
      <c r="D971" s="17" t="n">
        <f aca="false">(C971-$B$4)/($B$6/SQRT($B$7))</f>
        <v>-0.553029436293955</v>
      </c>
      <c r="E971" s="0" t="str">
        <f aca="false">IF(OR(AND($B$9="superior",D971&gt;$B$10),AND($B$9="inferior",D971&lt;-$B$10)),"Rechazar H0","No rechazar H0")</f>
        <v>No rechazar H0</v>
      </c>
      <c r="F971" s="0" t="str">
        <f aca="false">IF(AND(B971="H0 verdadera",E971="Rechazar H0"),"Error tipo I",IF(AND(B971="Ha verdadera",E971="No rechazar H0"),"Error tipo II","Decisión correcta"))</f>
        <v>Decisión correcta</v>
      </c>
    </row>
    <row r="972" customFormat="false" ht="15" hidden="false" customHeight="false" outlineLevel="0" collapsed="false">
      <c r="A972" s="0" t="n">
        <v>951</v>
      </c>
      <c r="B972" s="0" t="s">
        <v>85</v>
      </c>
      <c r="C972" s="17" t="n">
        <v>-0.0349790046364856</v>
      </c>
      <c r="D972" s="17" t="n">
        <f aca="false">(C972-$B$4)/($B$6/SQRT($B$7))</f>
        <v>-0.174895023182428</v>
      </c>
      <c r="E972" s="0" t="str">
        <f aca="false">IF(OR(AND($B$9="superior",D972&gt;$B$10),AND($B$9="inferior",D972&lt;-$B$10)),"Rechazar H0","No rechazar H0")</f>
        <v>No rechazar H0</v>
      </c>
      <c r="F972" s="0" t="str">
        <f aca="false">IF(AND(B972="H0 verdadera",E972="Rechazar H0"),"Error tipo I",IF(AND(B972="Ha verdadera",E972="No rechazar H0"),"Error tipo II","Decisión correcta"))</f>
        <v>Decisión correcta</v>
      </c>
    </row>
    <row r="973" customFormat="false" ht="15" hidden="false" customHeight="false" outlineLevel="0" collapsed="false">
      <c r="A973" s="0" t="n">
        <v>952</v>
      </c>
      <c r="B973" s="0" t="s">
        <v>85</v>
      </c>
      <c r="C973" s="17" t="n">
        <v>0.0488759662578621</v>
      </c>
      <c r="D973" s="17" t="n">
        <f aca="false">(C973-$B$4)/($B$6/SQRT($B$7))</f>
        <v>0.244379831289311</v>
      </c>
      <c r="E973" s="0" t="str">
        <f aca="false">IF(OR(AND($B$9="superior",D973&gt;$B$10),AND($B$9="inferior",D973&lt;-$B$10)),"Rechazar H0","No rechazar H0")</f>
        <v>No rechazar H0</v>
      </c>
      <c r="F973" s="0" t="str">
        <f aca="false">IF(AND(B973="H0 verdadera",E973="Rechazar H0"),"Error tipo I",IF(AND(B973="Ha verdadera",E973="No rechazar H0"),"Error tipo II","Decisión correcta"))</f>
        <v>Decisión correcta</v>
      </c>
    </row>
    <row r="974" customFormat="false" ht="15" hidden="false" customHeight="false" outlineLevel="0" collapsed="false">
      <c r="A974" s="0" t="n">
        <v>953</v>
      </c>
      <c r="B974" s="0" t="s">
        <v>85</v>
      </c>
      <c r="C974" s="17" t="n">
        <v>-0.122278921248336</v>
      </c>
      <c r="D974" s="17" t="n">
        <f aca="false">(C974-$B$4)/($B$6/SQRT($B$7))</f>
        <v>-0.611394606241681</v>
      </c>
      <c r="E974" s="0" t="str">
        <f aca="false">IF(OR(AND($B$9="superior",D974&gt;$B$10),AND($B$9="inferior",D974&lt;-$B$10)),"Rechazar H0","No rechazar H0")</f>
        <v>No rechazar H0</v>
      </c>
      <c r="F974" s="0" t="str">
        <f aca="false">IF(AND(B974="H0 verdadera",E974="Rechazar H0"),"Error tipo I",IF(AND(B974="Ha verdadera",E974="No rechazar H0"),"Error tipo II","Decisión correcta"))</f>
        <v>Decisión correcta</v>
      </c>
    </row>
    <row r="975" customFormat="false" ht="15" hidden="false" customHeight="false" outlineLevel="0" collapsed="false">
      <c r="A975" s="0" t="n">
        <v>954</v>
      </c>
      <c r="B975" s="0" t="s">
        <v>86</v>
      </c>
      <c r="C975" s="17" t="n">
        <v>-0.272041217554488</v>
      </c>
      <c r="D975" s="17" t="n">
        <f aca="false">(C975-$B$4)/($B$6/SQRT($B$7))</f>
        <v>-1.36020608777244</v>
      </c>
      <c r="E975" s="0" t="str">
        <f aca="false">IF(OR(AND($B$9="superior",D975&gt;$B$10),AND($B$9="inferior",D975&lt;-$B$10)),"Rechazar H0","No rechazar H0")</f>
        <v>No rechazar H0</v>
      </c>
      <c r="F975" s="0" t="str">
        <f aca="false">IF(AND(B975="H0 verdadera",E975="Rechazar H0"),"Error tipo I",IF(AND(B975="Ha verdadera",E975="No rechazar H0"),"Error tipo II","Decisión correcta"))</f>
        <v>Error tipo II</v>
      </c>
    </row>
    <row r="976" customFormat="false" ht="15" hidden="false" customHeight="false" outlineLevel="0" collapsed="false">
      <c r="A976" s="0" t="n">
        <v>955</v>
      </c>
      <c r="B976" s="0" t="s">
        <v>85</v>
      </c>
      <c r="C976" s="17" t="n">
        <v>-0.0398102637607622</v>
      </c>
      <c r="D976" s="17" t="n">
        <f aca="false">(C976-$B$4)/($B$6/SQRT($B$7))</f>
        <v>-0.199051318803811</v>
      </c>
      <c r="E976" s="0" t="str">
        <f aca="false">IF(OR(AND($B$9="superior",D976&gt;$B$10),AND($B$9="inferior",D976&lt;-$B$10)),"Rechazar H0","No rechazar H0")</f>
        <v>No rechazar H0</v>
      </c>
      <c r="F976" s="0" t="str">
        <f aca="false">IF(AND(B976="H0 verdadera",E976="Rechazar H0"),"Error tipo I",IF(AND(B976="Ha verdadera",E976="No rechazar H0"),"Error tipo II","Decisión correcta"))</f>
        <v>Decisión correcta</v>
      </c>
    </row>
    <row r="977" customFormat="false" ht="15" hidden="false" customHeight="false" outlineLevel="0" collapsed="false">
      <c r="A977" s="0" t="n">
        <v>956</v>
      </c>
      <c r="B977" s="0" t="s">
        <v>85</v>
      </c>
      <c r="C977" s="17" t="n">
        <v>0.408052956666471</v>
      </c>
      <c r="D977" s="17" t="n">
        <f aca="false">(C977-$B$4)/($B$6/SQRT($B$7))</f>
        <v>2.04026478333235</v>
      </c>
      <c r="E977" s="0" t="str">
        <f aca="false">IF(OR(AND($B$9="superior",D977&gt;$B$10),AND($B$9="inferior",D977&lt;-$B$10)),"Rechazar H0","No rechazar H0")</f>
        <v>No rechazar H0</v>
      </c>
      <c r="F977" s="0" t="str">
        <f aca="false">IF(AND(B977="H0 verdadera",E977="Rechazar H0"),"Error tipo I",IF(AND(B977="Ha verdadera",E977="No rechazar H0"),"Error tipo II","Decisión correcta"))</f>
        <v>Decisión correcta</v>
      </c>
    </row>
    <row r="978" customFormat="false" ht="15" hidden="false" customHeight="false" outlineLevel="0" collapsed="false">
      <c r="A978" s="0" t="n">
        <v>957</v>
      </c>
      <c r="B978" s="0" t="s">
        <v>86</v>
      </c>
      <c r="C978" s="17" t="n">
        <v>-0.402006339712979</v>
      </c>
      <c r="D978" s="17" t="n">
        <f aca="false">(C978-$B$4)/($B$6/SQRT($B$7))</f>
        <v>-2.01003169856489</v>
      </c>
      <c r="E978" s="0" t="str">
        <f aca="false">IF(OR(AND($B$9="superior",D978&gt;$B$10),AND($B$9="inferior",D978&lt;-$B$10)),"Rechazar H0","No rechazar H0")</f>
        <v>Rechazar H0</v>
      </c>
      <c r="F978" s="0" t="str">
        <f aca="false">IF(AND(B978="H0 verdadera",E978="Rechazar H0"),"Error tipo I",IF(AND(B978="Ha verdadera",E978="No rechazar H0"),"Error tipo II","Decisión correcta"))</f>
        <v>Decisión correcta</v>
      </c>
    </row>
    <row r="979" customFormat="false" ht="15" hidden="false" customHeight="false" outlineLevel="0" collapsed="false">
      <c r="A979" s="0" t="n">
        <v>958</v>
      </c>
      <c r="B979" s="0" t="s">
        <v>86</v>
      </c>
      <c r="C979" s="17" t="n">
        <v>-0.601736164134262</v>
      </c>
      <c r="D979" s="17" t="n">
        <f aca="false">(C979-$B$4)/($B$6/SQRT($B$7))</f>
        <v>-3.00868082067131</v>
      </c>
      <c r="E979" s="0" t="str">
        <f aca="false">IF(OR(AND($B$9="superior",D979&gt;$B$10),AND($B$9="inferior",D979&lt;-$B$10)),"Rechazar H0","No rechazar H0")</f>
        <v>Rechazar H0</v>
      </c>
      <c r="F979" s="0" t="str">
        <f aca="false">IF(AND(B979="H0 verdadera",E979="Rechazar H0"),"Error tipo I",IF(AND(B979="Ha verdadera",E979="No rechazar H0"),"Error tipo II","Decisión correcta"))</f>
        <v>Decisión correcta</v>
      </c>
    </row>
    <row r="980" customFormat="false" ht="15" hidden="false" customHeight="false" outlineLevel="0" collapsed="false">
      <c r="A980" s="0" t="n">
        <v>959</v>
      </c>
      <c r="B980" s="0" t="s">
        <v>85</v>
      </c>
      <c r="C980" s="17" t="n">
        <v>0.0822320496873725</v>
      </c>
      <c r="D980" s="17" t="n">
        <f aca="false">(C980-$B$4)/($B$6/SQRT($B$7))</f>
        <v>0.411160248436862</v>
      </c>
      <c r="E980" s="0" t="str">
        <f aca="false">IF(OR(AND($B$9="superior",D980&gt;$B$10),AND($B$9="inferior",D980&lt;-$B$10)),"Rechazar H0","No rechazar H0")</f>
        <v>No rechazar H0</v>
      </c>
      <c r="F980" s="0" t="str">
        <f aca="false">IF(AND(B980="H0 verdadera",E980="Rechazar H0"),"Error tipo I",IF(AND(B980="Ha verdadera",E980="No rechazar H0"),"Error tipo II","Decisión correcta"))</f>
        <v>Decisión correcta</v>
      </c>
    </row>
    <row r="981" customFormat="false" ht="15" hidden="false" customHeight="false" outlineLevel="0" collapsed="false">
      <c r="A981" s="0" t="n">
        <v>960</v>
      </c>
      <c r="B981" s="0" t="s">
        <v>85</v>
      </c>
      <c r="C981" s="17" t="n">
        <v>0.014577691822172</v>
      </c>
      <c r="D981" s="17" t="n">
        <f aca="false">(C981-$B$4)/($B$6/SQRT($B$7))</f>
        <v>0.0728884591108601</v>
      </c>
      <c r="E981" s="0" t="str">
        <f aca="false">IF(OR(AND($B$9="superior",D981&gt;$B$10),AND($B$9="inferior",D981&lt;-$B$10)),"Rechazar H0","No rechazar H0")</f>
        <v>No rechazar H0</v>
      </c>
      <c r="F981" s="0" t="str">
        <f aca="false">IF(AND(B981="H0 verdadera",E981="Rechazar H0"),"Error tipo I",IF(AND(B981="Ha verdadera",E981="No rechazar H0"),"Error tipo II","Decisión correcta"))</f>
        <v>Decisión correcta</v>
      </c>
    </row>
    <row r="982" customFormat="false" ht="15" hidden="false" customHeight="false" outlineLevel="0" collapsed="false">
      <c r="A982" s="0" t="n">
        <v>961</v>
      </c>
      <c r="B982" s="0" t="s">
        <v>86</v>
      </c>
      <c r="C982" s="17" t="n">
        <v>-0.342964764678748</v>
      </c>
      <c r="D982" s="17" t="n">
        <f aca="false">(C982-$B$4)/($B$6/SQRT($B$7))</f>
        <v>-1.71482382339374</v>
      </c>
      <c r="E982" s="0" t="str">
        <f aca="false">IF(OR(AND($B$9="superior",D982&gt;$B$10),AND($B$9="inferior",D982&lt;-$B$10)),"Rechazar H0","No rechazar H0")</f>
        <v>Rechazar H0</v>
      </c>
      <c r="F982" s="0" t="str">
        <f aca="false">IF(AND(B982="H0 verdadera",E982="Rechazar H0"),"Error tipo I",IF(AND(B982="Ha verdadera",E982="No rechazar H0"),"Error tipo II","Decisión correcta"))</f>
        <v>Decisión correcta</v>
      </c>
    </row>
    <row r="983" customFormat="false" ht="15" hidden="false" customHeight="false" outlineLevel="0" collapsed="false">
      <c r="A983" s="0" t="n">
        <v>962</v>
      </c>
      <c r="B983" s="0" t="s">
        <v>85</v>
      </c>
      <c r="C983" s="17" t="n">
        <v>-0.194647120515532</v>
      </c>
      <c r="D983" s="17" t="n">
        <f aca="false">(C983-$B$4)/($B$6/SQRT($B$7))</f>
        <v>-0.973235602577662</v>
      </c>
      <c r="E983" s="0" t="str">
        <f aca="false">IF(OR(AND($B$9="superior",D983&gt;$B$10),AND($B$9="inferior",D983&lt;-$B$10)),"Rechazar H0","No rechazar H0")</f>
        <v>No rechazar H0</v>
      </c>
      <c r="F983" s="0" t="str">
        <f aca="false">IF(AND(B983="H0 verdadera",E983="Rechazar H0"),"Error tipo I",IF(AND(B983="Ha verdadera",E983="No rechazar H0"),"Error tipo II","Decisión correcta"))</f>
        <v>Decisión correcta</v>
      </c>
    </row>
    <row r="984" customFormat="false" ht="15" hidden="false" customHeight="false" outlineLevel="0" collapsed="false">
      <c r="A984" s="0" t="n">
        <v>963</v>
      </c>
      <c r="B984" s="0" t="s">
        <v>85</v>
      </c>
      <c r="C984" s="17" t="n">
        <v>-0.0472182522356149</v>
      </c>
      <c r="D984" s="17" t="n">
        <f aca="false">(C984-$B$4)/($B$6/SQRT($B$7))</f>
        <v>-0.236091261178074</v>
      </c>
      <c r="E984" s="0" t="str">
        <f aca="false">IF(OR(AND($B$9="superior",D984&gt;$B$10),AND($B$9="inferior",D984&lt;-$B$10)),"Rechazar H0","No rechazar H0")</f>
        <v>No rechazar H0</v>
      </c>
      <c r="F984" s="0" t="str">
        <f aca="false">IF(AND(B984="H0 verdadera",E984="Rechazar H0"),"Error tipo I",IF(AND(B984="Ha verdadera",E984="No rechazar H0"),"Error tipo II","Decisión correcta"))</f>
        <v>Decisión correcta</v>
      </c>
    </row>
    <row r="985" customFormat="false" ht="15" hidden="false" customHeight="false" outlineLevel="0" collapsed="false">
      <c r="A985" s="0" t="n">
        <v>964</v>
      </c>
      <c r="B985" s="0" t="s">
        <v>85</v>
      </c>
      <c r="C985" s="17" t="n">
        <v>-0.170256207616974</v>
      </c>
      <c r="D985" s="17" t="n">
        <f aca="false">(C985-$B$4)/($B$6/SQRT($B$7))</f>
        <v>-0.85128103808487</v>
      </c>
      <c r="E985" s="0" t="str">
        <f aca="false">IF(OR(AND($B$9="superior",D985&gt;$B$10),AND($B$9="inferior",D985&lt;-$B$10)),"Rechazar H0","No rechazar H0")</f>
        <v>No rechazar H0</v>
      </c>
      <c r="F985" s="0" t="str">
        <f aca="false">IF(AND(B985="H0 verdadera",E985="Rechazar H0"),"Error tipo I",IF(AND(B985="Ha verdadera",E985="No rechazar H0"),"Error tipo II","Decisión correcta"))</f>
        <v>Decisión correcta</v>
      </c>
    </row>
    <row r="986" customFormat="false" ht="15" hidden="false" customHeight="false" outlineLevel="0" collapsed="false">
      <c r="A986" s="0" t="n">
        <v>965</v>
      </c>
      <c r="B986" s="0" t="s">
        <v>86</v>
      </c>
      <c r="C986" s="17" t="n">
        <v>-0.269495312636433</v>
      </c>
      <c r="D986" s="17" t="n">
        <f aca="false">(C986-$B$4)/($B$6/SQRT($B$7))</f>
        <v>-1.34747656318217</v>
      </c>
      <c r="E986" s="0" t="str">
        <f aca="false">IF(OR(AND($B$9="superior",D986&gt;$B$10),AND($B$9="inferior",D986&lt;-$B$10)),"Rechazar H0","No rechazar H0")</f>
        <v>No rechazar H0</v>
      </c>
      <c r="F986" s="0" t="str">
        <f aca="false">IF(AND(B986="H0 verdadera",E986="Rechazar H0"),"Error tipo I",IF(AND(B986="Ha verdadera",E986="No rechazar H0"),"Error tipo II","Decisión correcta"))</f>
        <v>Error tipo II</v>
      </c>
    </row>
    <row r="987" customFormat="false" ht="15" hidden="false" customHeight="false" outlineLevel="0" collapsed="false">
      <c r="A987" s="0" t="n">
        <v>966</v>
      </c>
      <c r="B987" s="0" t="s">
        <v>86</v>
      </c>
      <c r="C987" s="17" t="n">
        <v>-0.558977259094979</v>
      </c>
      <c r="D987" s="17" t="n">
        <f aca="false">(C987-$B$4)/($B$6/SQRT($B$7))</f>
        <v>-2.79488629547489</v>
      </c>
      <c r="E987" s="0" t="str">
        <f aca="false">IF(OR(AND($B$9="superior",D987&gt;$B$10),AND($B$9="inferior",D987&lt;-$B$10)),"Rechazar H0","No rechazar H0")</f>
        <v>Rechazar H0</v>
      </c>
      <c r="F987" s="0" t="str">
        <f aca="false">IF(AND(B987="H0 verdadera",E987="Rechazar H0"),"Error tipo I",IF(AND(B987="Ha verdadera",E987="No rechazar H0"),"Error tipo II","Decisión correcta"))</f>
        <v>Decisión correcta</v>
      </c>
    </row>
    <row r="988" customFormat="false" ht="15" hidden="false" customHeight="false" outlineLevel="0" collapsed="false">
      <c r="A988" s="0" t="n">
        <v>967</v>
      </c>
      <c r="B988" s="0" t="s">
        <v>86</v>
      </c>
      <c r="C988" s="17" t="n">
        <v>-0.408287608550509</v>
      </c>
      <c r="D988" s="17" t="n">
        <f aca="false">(C988-$B$4)/($B$6/SQRT($B$7))</f>
        <v>-2.04143804275254</v>
      </c>
      <c r="E988" s="0" t="str">
        <f aca="false">IF(OR(AND($B$9="superior",D988&gt;$B$10),AND($B$9="inferior",D988&lt;-$B$10)),"Rechazar H0","No rechazar H0")</f>
        <v>Rechazar H0</v>
      </c>
      <c r="F988" s="0" t="str">
        <f aca="false">IF(AND(B988="H0 verdadera",E988="Rechazar H0"),"Error tipo I",IF(AND(B988="Ha verdadera",E988="No rechazar H0"),"Error tipo II","Decisión correcta"))</f>
        <v>Decisión correcta</v>
      </c>
    </row>
    <row r="989" customFormat="false" ht="15" hidden="false" customHeight="false" outlineLevel="0" collapsed="false">
      <c r="A989" s="0" t="n">
        <v>968</v>
      </c>
      <c r="B989" s="0" t="s">
        <v>85</v>
      </c>
      <c r="C989" s="17" t="n">
        <v>0.0633059801417396</v>
      </c>
      <c r="D989" s="17" t="n">
        <f aca="false">(C989-$B$4)/($B$6/SQRT($B$7))</f>
        <v>0.316529900708698</v>
      </c>
      <c r="E989" s="0" t="str">
        <f aca="false">IF(OR(AND($B$9="superior",D989&gt;$B$10),AND($B$9="inferior",D989&lt;-$B$10)),"Rechazar H0","No rechazar H0")</f>
        <v>No rechazar H0</v>
      </c>
      <c r="F989" s="0" t="str">
        <f aca="false">IF(AND(B989="H0 verdadera",E989="Rechazar H0"),"Error tipo I",IF(AND(B989="Ha verdadera",E989="No rechazar H0"),"Error tipo II","Decisión correcta"))</f>
        <v>Decisión correcta</v>
      </c>
    </row>
    <row r="990" customFormat="false" ht="15" hidden="false" customHeight="false" outlineLevel="0" collapsed="false">
      <c r="A990" s="0" t="n">
        <v>969</v>
      </c>
      <c r="B990" s="0" t="s">
        <v>86</v>
      </c>
      <c r="C990" s="17" t="n">
        <v>-0.0669766146826439</v>
      </c>
      <c r="D990" s="17" t="n">
        <f aca="false">(C990-$B$4)/($B$6/SQRT($B$7))</f>
        <v>-0.334883073413219</v>
      </c>
      <c r="E990" s="0" t="str">
        <f aca="false">IF(OR(AND($B$9="superior",D990&gt;$B$10),AND($B$9="inferior",D990&lt;-$B$10)),"Rechazar H0","No rechazar H0")</f>
        <v>No rechazar H0</v>
      </c>
      <c r="F990" s="0" t="str">
        <f aca="false">IF(AND(B990="H0 verdadera",E990="Rechazar H0"),"Error tipo I",IF(AND(B990="Ha verdadera",E990="No rechazar H0"),"Error tipo II","Decisión correcta"))</f>
        <v>Error tipo II</v>
      </c>
    </row>
    <row r="991" customFormat="false" ht="15" hidden="false" customHeight="false" outlineLevel="0" collapsed="false">
      <c r="A991" s="0" t="n">
        <v>970</v>
      </c>
      <c r="B991" s="0" t="s">
        <v>85</v>
      </c>
      <c r="C991" s="17" t="n">
        <v>0.048736155106597</v>
      </c>
      <c r="D991" s="17" t="n">
        <f aca="false">(C991-$B$4)/($B$6/SQRT($B$7))</f>
        <v>0.243680775532985</v>
      </c>
      <c r="E991" s="0" t="str">
        <f aca="false">IF(OR(AND($B$9="superior",D991&gt;$B$10),AND($B$9="inferior",D991&lt;-$B$10)),"Rechazar H0","No rechazar H0")</f>
        <v>No rechazar H0</v>
      </c>
      <c r="F991" s="0" t="str">
        <f aca="false">IF(AND(B991="H0 verdadera",E991="Rechazar H0"),"Error tipo I",IF(AND(B991="Ha verdadera",E991="No rechazar H0"),"Error tipo II","Decisión correcta"))</f>
        <v>Decisión correcta</v>
      </c>
    </row>
    <row r="992" customFormat="false" ht="15" hidden="false" customHeight="false" outlineLevel="0" collapsed="false">
      <c r="A992" s="0" t="n">
        <v>971</v>
      </c>
      <c r="B992" s="0" t="s">
        <v>85</v>
      </c>
      <c r="C992" s="17" t="n">
        <v>-0.300453670804066</v>
      </c>
      <c r="D992" s="17" t="n">
        <f aca="false">(C992-$B$4)/($B$6/SQRT($B$7))</f>
        <v>-1.50226835402033</v>
      </c>
      <c r="E992" s="0" t="str">
        <f aca="false">IF(OR(AND($B$9="superior",D992&gt;$B$10),AND($B$9="inferior",D992&lt;-$B$10)),"Rechazar H0","No rechazar H0")</f>
        <v>No rechazar H0</v>
      </c>
      <c r="F992" s="0" t="str">
        <f aca="false">IF(AND(B992="H0 verdadera",E992="Rechazar H0"),"Error tipo I",IF(AND(B992="Ha verdadera",E992="No rechazar H0"),"Error tipo II","Decisión correcta"))</f>
        <v>Decisión correcta</v>
      </c>
    </row>
    <row r="993" customFormat="false" ht="15" hidden="false" customHeight="false" outlineLevel="0" collapsed="false">
      <c r="A993" s="0" t="n">
        <v>972</v>
      </c>
      <c r="B993" s="0" t="s">
        <v>86</v>
      </c>
      <c r="C993" s="17" t="n">
        <v>-0.363454507501855</v>
      </c>
      <c r="D993" s="17" t="n">
        <f aca="false">(C993-$B$4)/($B$6/SQRT($B$7))</f>
        <v>-1.81727253750927</v>
      </c>
      <c r="E993" s="0" t="str">
        <f aca="false">IF(OR(AND($B$9="superior",D993&gt;$B$10),AND($B$9="inferior",D993&lt;-$B$10)),"Rechazar H0","No rechazar H0")</f>
        <v>Rechazar H0</v>
      </c>
      <c r="F993" s="0" t="str">
        <f aca="false">IF(AND(B993="H0 verdadera",E993="Rechazar H0"),"Error tipo I",IF(AND(B993="Ha verdadera",E993="No rechazar H0"),"Error tipo II","Decisión correcta"))</f>
        <v>Decisión correcta</v>
      </c>
    </row>
    <row r="994" customFormat="false" ht="15" hidden="false" customHeight="false" outlineLevel="0" collapsed="false">
      <c r="A994" s="0" t="n">
        <v>973</v>
      </c>
      <c r="B994" s="0" t="s">
        <v>86</v>
      </c>
      <c r="C994" s="17" t="n">
        <v>-0.481735886986127</v>
      </c>
      <c r="D994" s="17" t="n">
        <f aca="false">(C994-$B$4)/($B$6/SQRT($B$7))</f>
        <v>-2.40867943493063</v>
      </c>
      <c r="E994" s="0" t="str">
        <f aca="false">IF(OR(AND($B$9="superior",D994&gt;$B$10),AND($B$9="inferior",D994&lt;-$B$10)),"Rechazar H0","No rechazar H0")</f>
        <v>Rechazar H0</v>
      </c>
      <c r="F994" s="0" t="str">
        <f aca="false">IF(AND(B994="H0 verdadera",E994="Rechazar H0"),"Error tipo I",IF(AND(B994="Ha verdadera",E994="No rechazar H0"),"Error tipo II","Decisión correcta"))</f>
        <v>Decisión correcta</v>
      </c>
    </row>
    <row r="995" customFormat="false" ht="15" hidden="false" customHeight="false" outlineLevel="0" collapsed="false">
      <c r="A995" s="0" t="n">
        <v>974</v>
      </c>
      <c r="B995" s="0" t="s">
        <v>85</v>
      </c>
      <c r="C995" s="17" t="n">
        <v>0.105189123177387</v>
      </c>
      <c r="D995" s="17" t="n">
        <f aca="false">(C995-$B$4)/($B$6/SQRT($B$7))</f>
        <v>0.525945615886932</v>
      </c>
      <c r="E995" s="0" t="str">
        <f aca="false">IF(OR(AND($B$9="superior",D995&gt;$B$10),AND($B$9="inferior",D995&lt;-$B$10)),"Rechazar H0","No rechazar H0")</f>
        <v>No rechazar H0</v>
      </c>
      <c r="F995" s="0" t="str">
        <f aca="false">IF(AND(B995="H0 verdadera",E995="Rechazar H0"),"Error tipo I",IF(AND(B995="Ha verdadera",E995="No rechazar H0"),"Error tipo II","Decisión correcta"))</f>
        <v>Decisión correcta</v>
      </c>
    </row>
    <row r="996" customFormat="false" ht="15" hidden="false" customHeight="false" outlineLevel="0" collapsed="false">
      <c r="A996" s="0" t="n">
        <v>975</v>
      </c>
      <c r="B996" s="0" t="s">
        <v>86</v>
      </c>
      <c r="C996" s="17" t="n">
        <v>-0.353553007088369</v>
      </c>
      <c r="D996" s="17" t="n">
        <f aca="false">(C996-$B$4)/($B$6/SQRT($B$7))</f>
        <v>-1.76776503544185</v>
      </c>
      <c r="E996" s="0" t="str">
        <f aca="false">IF(OR(AND($B$9="superior",D996&gt;$B$10),AND($B$9="inferior",D996&lt;-$B$10)),"Rechazar H0","No rechazar H0")</f>
        <v>Rechazar H0</v>
      </c>
      <c r="F996" s="0" t="str">
        <f aca="false">IF(AND(B996="H0 verdadera",E996="Rechazar H0"),"Error tipo I",IF(AND(B996="Ha verdadera",E996="No rechazar H0"),"Error tipo II","Decisión correcta"))</f>
        <v>Decisión correcta</v>
      </c>
    </row>
    <row r="997" customFormat="false" ht="15" hidden="false" customHeight="false" outlineLevel="0" collapsed="false">
      <c r="A997" s="0" t="n">
        <v>976</v>
      </c>
      <c r="B997" s="0" t="s">
        <v>85</v>
      </c>
      <c r="C997" s="17" t="n">
        <v>0.0245129887553628</v>
      </c>
      <c r="D997" s="17" t="n">
        <f aca="false">(C997-$B$4)/($B$6/SQRT($B$7))</f>
        <v>0.122564943776814</v>
      </c>
      <c r="E997" s="0" t="str">
        <f aca="false">IF(OR(AND($B$9="superior",D997&gt;$B$10),AND($B$9="inferior",D997&lt;-$B$10)),"Rechazar H0","No rechazar H0")</f>
        <v>No rechazar H0</v>
      </c>
      <c r="F997" s="0" t="str">
        <f aca="false">IF(AND(B997="H0 verdadera",E997="Rechazar H0"),"Error tipo I",IF(AND(B997="Ha verdadera",E997="No rechazar H0"),"Error tipo II","Decisión correcta"))</f>
        <v>Decisión correcta</v>
      </c>
    </row>
    <row r="998" customFormat="false" ht="15" hidden="false" customHeight="false" outlineLevel="0" collapsed="false">
      <c r="A998" s="0" t="n">
        <v>977</v>
      </c>
      <c r="B998" s="0" t="s">
        <v>86</v>
      </c>
      <c r="C998" s="17" t="n">
        <v>-0.385545360313375</v>
      </c>
      <c r="D998" s="17" t="n">
        <f aca="false">(C998-$B$4)/($B$6/SQRT($B$7))</f>
        <v>-1.92772680156687</v>
      </c>
      <c r="E998" s="0" t="str">
        <f aca="false">IF(OR(AND($B$9="superior",D998&gt;$B$10),AND($B$9="inferior",D998&lt;-$B$10)),"Rechazar H0","No rechazar H0")</f>
        <v>Rechazar H0</v>
      </c>
      <c r="F998" s="0" t="str">
        <f aca="false">IF(AND(B998="H0 verdadera",E998="Rechazar H0"),"Error tipo I",IF(AND(B998="Ha verdadera",E998="No rechazar H0"),"Error tipo II","Decisión correcta"))</f>
        <v>Decisión correcta</v>
      </c>
    </row>
    <row r="999" customFormat="false" ht="15" hidden="false" customHeight="false" outlineLevel="0" collapsed="false">
      <c r="A999" s="0" t="n">
        <v>978</v>
      </c>
      <c r="B999" s="0" t="s">
        <v>85</v>
      </c>
      <c r="C999" s="17" t="n">
        <v>-0.138878629547389</v>
      </c>
      <c r="D999" s="17" t="n">
        <f aca="false">(C999-$B$4)/($B$6/SQRT($B$7))</f>
        <v>-0.694393147736943</v>
      </c>
      <c r="E999" s="0" t="str">
        <f aca="false">IF(OR(AND($B$9="superior",D999&gt;$B$10),AND($B$9="inferior",D999&lt;-$B$10)),"Rechazar H0","No rechazar H0")</f>
        <v>No rechazar H0</v>
      </c>
      <c r="F999" s="0" t="str">
        <f aca="false">IF(AND(B999="H0 verdadera",E999="Rechazar H0"),"Error tipo I",IF(AND(B999="Ha verdadera",E999="No rechazar H0"),"Error tipo II","Decisión correcta"))</f>
        <v>Decisión correcta</v>
      </c>
    </row>
    <row r="1000" customFormat="false" ht="15" hidden="false" customHeight="false" outlineLevel="0" collapsed="false">
      <c r="A1000" s="0" t="n">
        <v>979</v>
      </c>
      <c r="B1000" s="0" t="s">
        <v>85</v>
      </c>
      <c r="C1000" s="17" t="n">
        <v>-0.0969519242168399</v>
      </c>
      <c r="D1000" s="17" t="n">
        <f aca="false">(C1000-$B$4)/($B$6/SQRT($B$7))</f>
        <v>-0.484759621084199</v>
      </c>
      <c r="E1000" s="0" t="str">
        <f aca="false">IF(OR(AND($B$9="superior",D1000&gt;$B$10),AND($B$9="inferior",D1000&lt;-$B$10)),"Rechazar H0","No rechazar H0")</f>
        <v>No rechazar H0</v>
      </c>
      <c r="F1000" s="0" t="str">
        <f aca="false">IF(AND(B1000="H0 verdadera",E1000="Rechazar H0"),"Error tipo I",IF(AND(B1000="Ha verdadera",E1000="No rechazar H0"),"Error tipo II","Decisión correcta"))</f>
        <v>Decisión correcta</v>
      </c>
    </row>
    <row r="1001" customFormat="false" ht="15" hidden="false" customHeight="false" outlineLevel="0" collapsed="false">
      <c r="A1001" s="0" t="n">
        <v>980</v>
      </c>
      <c r="B1001" s="0" t="s">
        <v>86</v>
      </c>
      <c r="C1001" s="17" t="n">
        <v>-0.28403269077435</v>
      </c>
      <c r="D1001" s="17" t="n">
        <f aca="false">(C1001-$B$4)/($B$6/SQRT($B$7))</f>
        <v>-1.42016345387175</v>
      </c>
      <c r="E1001" s="0" t="str">
        <f aca="false">IF(OR(AND($B$9="superior",D1001&gt;$B$10),AND($B$9="inferior",D1001&lt;-$B$10)),"Rechazar H0","No rechazar H0")</f>
        <v>No rechazar H0</v>
      </c>
      <c r="F1001" s="0" t="str">
        <f aca="false">IF(AND(B1001="H0 verdadera",E1001="Rechazar H0"),"Error tipo I",IF(AND(B1001="Ha verdadera",E1001="No rechazar H0"),"Error tipo II","Decisión correcta"))</f>
        <v>Error tipo II</v>
      </c>
    </row>
    <row r="1002" customFormat="false" ht="15" hidden="false" customHeight="false" outlineLevel="0" collapsed="false">
      <c r="A1002" s="0" t="n">
        <v>981</v>
      </c>
      <c r="B1002" s="0" t="s">
        <v>86</v>
      </c>
      <c r="C1002" s="17" t="n">
        <v>-0.241479626891402</v>
      </c>
      <c r="D1002" s="17" t="n">
        <f aca="false">(C1002-$B$4)/($B$6/SQRT($B$7))</f>
        <v>-1.20739813445701</v>
      </c>
      <c r="E1002" s="0" t="str">
        <f aca="false">IF(OR(AND($B$9="superior",D1002&gt;$B$10),AND($B$9="inferior",D1002&lt;-$B$10)),"Rechazar H0","No rechazar H0")</f>
        <v>No rechazar H0</v>
      </c>
      <c r="F1002" s="0" t="str">
        <f aca="false">IF(AND(B1002="H0 verdadera",E1002="Rechazar H0"),"Error tipo I",IF(AND(B1002="Ha verdadera",E1002="No rechazar H0"),"Error tipo II","Decisión correcta"))</f>
        <v>Error tipo II</v>
      </c>
    </row>
    <row r="1003" customFormat="false" ht="15" hidden="false" customHeight="false" outlineLevel="0" collapsed="false">
      <c r="A1003" s="0" t="n">
        <v>982</v>
      </c>
      <c r="B1003" s="0" t="s">
        <v>86</v>
      </c>
      <c r="C1003" s="17" t="n">
        <v>-0.703404680184455</v>
      </c>
      <c r="D1003" s="17" t="n">
        <f aca="false">(C1003-$B$4)/($B$6/SQRT($B$7))</f>
        <v>-3.51702340092228</v>
      </c>
      <c r="E1003" s="0" t="str">
        <f aca="false">IF(OR(AND($B$9="superior",D1003&gt;$B$10),AND($B$9="inferior",D1003&lt;-$B$10)),"Rechazar H0","No rechazar H0")</f>
        <v>Rechazar H0</v>
      </c>
      <c r="F1003" s="0" t="str">
        <f aca="false">IF(AND(B1003="H0 verdadera",E1003="Rechazar H0"),"Error tipo I",IF(AND(B1003="Ha verdadera",E1003="No rechazar H0"),"Error tipo II","Decisión correcta"))</f>
        <v>Decisión correcta</v>
      </c>
    </row>
    <row r="1004" customFormat="false" ht="15" hidden="false" customHeight="false" outlineLevel="0" collapsed="false">
      <c r="A1004" s="0" t="n">
        <v>983</v>
      </c>
      <c r="B1004" s="0" t="s">
        <v>86</v>
      </c>
      <c r="C1004" s="17" t="n">
        <v>-0.0148840007424278</v>
      </c>
      <c r="D1004" s="17" t="n">
        <f aca="false">(C1004-$B$4)/($B$6/SQRT($B$7))</f>
        <v>-0.0744200037121389</v>
      </c>
      <c r="E1004" s="0" t="str">
        <f aca="false">IF(OR(AND($B$9="superior",D1004&gt;$B$10),AND($B$9="inferior",D1004&lt;-$B$10)),"Rechazar H0","No rechazar H0")</f>
        <v>No rechazar H0</v>
      </c>
      <c r="F1004" s="0" t="str">
        <f aca="false">IF(AND(B1004="H0 verdadera",E1004="Rechazar H0"),"Error tipo I",IF(AND(B1004="Ha verdadera",E1004="No rechazar H0"),"Error tipo II","Decisión correcta"))</f>
        <v>Error tipo II</v>
      </c>
    </row>
    <row r="1005" customFormat="false" ht="15" hidden="false" customHeight="false" outlineLevel="0" collapsed="false">
      <c r="A1005" s="0" t="n">
        <v>984</v>
      </c>
      <c r="B1005" s="0" t="s">
        <v>85</v>
      </c>
      <c r="C1005" s="17" t="n">
        <v>-0.180006544919095</v>
      </c>
      <c r="D1005" s="17" t="n">
        <f aca="false">(C1005-$B$4)/($B$6/SQRT($B$7))</f>
        <v>-0.900032724595477</v>
      </c>
      <c r="E1005" s="0" t="str">
        <f aca="false">IF(OR(AND($B$9="superior",D1005&gt;$B$10),AND($B$9="inferior",D1005&lt;-$B$10)),"Rechazar H0","No rechazar H0")</f>
        <v>No rechazar H0</v>
      </c>
      <c r="F1005" s="0" t="str">
        <f aca="false">IF(AND(B1005="H0 verdadera",E1005="Rechazar H0"),"Error tipo I",IF(AND(B1005="Ha verdadera",E1005="No rechazar H0"),"Error tipo II","Decisión correcta"))</f>
        <v>Decisión correcta</v>
      </c>
    </row>
    <row r="1006" customFormat="false" ht="15" hidden="false" customHeight="false" outlineLevel="0" collapsed="false">
      <c r="A1006" s="0" t="n">
        <v>985</v>
      </c>
      <c r="B1006" s="0" t="s">
        <v>85</v>
      </c>
      <c r="C1006" s="17" t="n">
        <v>-0.00697472892508559</v>
      </c>
      <c r="D1006" s="17" t="n">
        <f aca="false">(C1006-$B$4)/($B$6/SQRT($B$7))</f>
        <v>-0.034873644625428</v>
      </c>
      <c r="E1006" s="0" t="str">
        <f aca="false">IF(OR(AND($B$9="superior",D1006&gt;$B$10),AND($B$9="inferior",D1006&lt;-$B$10)),"Rechazar H0","No rechazar H0")</f>
        <v>No rechazar H0</v>
      </c>
      <c r="F1006" s="0" t="str">
        <f aca="false">IF(AND(B1006="H0 verdadera",E1006="Rechazar H0"),"Error tipo I",IF(AND(B1006="Ha verdadera",E1006="No rechazar H0"),"Error tipo II","Decisión correcta"))</f>
        <v>Decisión correcta</v>
      </c>
    </row>
    <row r="1007" customFormat="false" ht="15" hidden="false" customHeight="false" outlineLevel="0" collapsed="false">
      <c r="A1007" s="0" t="n">
        <v>986</v>
      </c>
      <c r="B1007" s="0" t="s">
        <v>86</v>
      </c>
      <c r="C1007" s="17" t="n">
        <v>-0.281741380556232</v>
      </c>
      <c r="D1007" s="17" t="n">
        <f aca="false">(C1007-$B$4)/($B$6/SQRT($B$7))</f>
        <v>-1.40870690278116</v>
      </c>
      <c r="E1007" s="0" t="str">
        <f aca="false">IF(OR(AND($B$9="superior",D1007&gt;$B$10),AND($B$9="inferior",D1007&lt;-$B$10)),"Rechazar H0","No rechazar H0")</f>
        <v>No rechazar H0</v>
      </c>
      <c r="F1007" s="0" t="str">
        <f aca="false">IF(AND(B1007="H0 verdadera",E1007="Rechazar H0"),"Error tipo I",IF(AND(B1007="Ha verdadera",E1007="No rechazar H0"),"Error tipo II","Decisión correcta"))</f>
        <v>Error tipo II</v>
      </c>
    </row>
    <row r="1008" customFormat="false" ht="15" hidden="false" customHeight="false" outlineLevel="0" collapsed="false">
      <c r="A1008" s="0" t="n">
        <v>987</v>
      </c>
      <c r="B1008" s="0" t="s">
        <v>85</v>
      </c>
      <c r="C1008" s="17" t="n">
        <v>-0.285283464813442</v>
      </c>
      <c r="D1008" s="17" t="n">
        <f aca="false">(C1008-$B$4)/($B$6/SQRT($B$7))</f>
        <v>-1.42641732406721</v>
      </c>
      <c r="E1008" s="0" t="str">
        <f aca="false">IF(OR(AND($B$9="superior",D1008&gt;$B$10),AND($B$9="inferior",D1008&lt;-$B$10)),"Rechazar H0","No rechazar H0")</f>
        <v>No rechazar H0</v>
      </c>
      <c r="F1008" s="0" t="str">
        <f aca="false">IF(AND(B1008="H0 verdadera",E1008="Rechazar H0"),"Error tipo I",IF(AND(B1008="Ha verdadera",E1008="No rechazar H0"),"Error tipo II","Decisión correcta"))</f>
        <v>Decisión correcta</v>
      </c>
    </row>
    <row r="1009" customFormat="false" ht="15" hidden="false" customHeight="false" outlineLevel="0" collapsed="false">
      <c r="A1009" s="0" t="n">
        <v>988</v>
      </c>
      <c r="B1009" s="0" t="s">
        <v>86</v>
      </c>
      <c r="C1009" s="17" t="n">
        <v>-0.308208728815025</v>
      </c>
      <c r="D1009" s="17" t="n">
        <f aca="false">(C1009-$B$4)/($B$6/SQRT($B$7))</f>
        <v>-1.54104364407513</v>
      </c>
      <c r="E1009" s="0" t="str">
        <f aca="false">IF(OR(AND($B$9="superior",D1009&gt;$B$10),AND($B$9="inferior",D1009&lt;-$B$10)),"Rechazar H0","No rechazar H0")</f>
        <v>No rechazar H0</v>
      </c>
      <c r="F1009" s="0" t="str">
        <f aca="false">IF(AND(B1009="H0 verdadera",E1009="Rechazar H0"),"Error tipo I",IF(AND(B1009="Ha verdadera",E1009="No rechazar H0"),"Error tipo II","Decisión correcta"))</f>
        <v>Error tipo II</v>
      </c>
    </row>
    <row r="1010" customFormat="false" ht="15" hidden="false" customHeight="false" outlineLevel="0" collapsed="false">
      <c r="A1010" s="0" t="n">
        <v>989</v>
      </c>
      <c r="B1010" s="0" t="s">
        <v>86</v>
      </c>
      <c r="C1010" s="17" t="n">
        <v>-0.838195711075867</v>
      </c>
      <c r="D1010" s="17" t="n">
        <f aca="false">(C1010-$B$4)/($B$6/SQRT($B$7))</f>
        <v>-4.19097855537933</v>
      </c>
      <c r="E1010" s="0" t="str">
        <f aca="false">IF(OR(AND($B$9="superior",D1010&gt;$B$10),AND($B$9="inferior",D1010&lt;-$B$10)),"Rechazar H0","No rechazar H0")</f>
        <v>Rechazar H0</v>
      </c>
      <c r="F1010" s="0" t="str">
        <f aca="false">IF(AND(B1010="H0 verdadera",E1010="Rechazar H0"),"Error tipo I",IF(AND(B1010="Ha verdadera",E1010="No rechazar H0"),"Error tipo II","Decisión correcta"))</f>
        <v>Decisión correcta</v>
      </c>
    </row>
    <row r="1011" customFormat="false" ht="15" hidden="false" customHeight="false" outlineLevel="0" collapsed="false">
      <c r="A1011" s="0" t="n">
        <v>990</v>
      </c>
      <c r="B1011" s="0" t="s">
        <v>86</v>
      </c>
      <c r="C1011" s="17" t="n">
        <v>-0.271194206138624</v>
      </c>
      <c r="D1011" s="17" t="n">
        <f aca="false">(C1011-$B$4)/($B$6/SQRT($B$7))</f>
        <v>-1.35597103069312</v>
      </c>
      <c r="E1011" s="0" t="str">
        <f aca="false">IF(OR(AND($B$9="superior",D1011&gt;$B$10),AND($B$9="inferior",D1011&lt;-$B$10)),"Rechazar H0","No rechazar H0")</f>
        <v>No rechazar H0</v>
      </c>
      <c r="F1011" s="0" t="str">
        <f aca="false">IF(AND(B1011="H0 verdadera",E1011="Rechazar H0"),"Error tipo I",IF(AND(B1011="Ha verdadera",E1011="No rechazar H0"),"Error tipo II","Decisión correcta"))</f>
        <v>Error tipo II</v>
      </c>
    </row>
    <row r="1012" customFormat="false" ht="15" hidden="false" customHeight="false" outlineLevel="0" collapsed="false">
      <c r="A1012" s="0" t="n">
        <v>991</v>
      </c>
      <c r="B1012" s="0" t="s">
        <v>85</v>
      </c>
      <c r="C1012" s="17" t="n">
        <v>0.15337683633397</v>
      </c>
      <c r="D1012" s="17" t="n">
        <f aca="false">(C1012-$B$4)/($B$6/SQRT($B$7))</f>
        <v>0.76688418166985</v>
      </c>
      <c r="E1012" s="0" t="str">
        <f aca="false">IF(OR(AND($B$9="superior",D1012&gt;$B$10),AND($B$9="inferior",D1012&lt;-$B$10)),"Rechazar H0","No rechazar H0")</f>
        <v>No rechazar H0</v>
      </c>
      <c r="F1012" s="0" t="str">
        <f aca="false">IF(AND(B1012="H0 verdadera",E1012="Rechazar H0"),"Error tipo I",IF(AND(B1012="Ha verdadera",E1012="No rechazar H0"),"Error tipo II","Decisión correcta"))</f>
        <v>Decisión correcta</v>
      </c>
    </row>
    <row r="1013" customFormat="false" ht="15" hidden="false" customHeight="false" outlineLevel="0" collapsed="false">
      <c r="A1013" s="0" t="n">
        <v>992</v>
      </c>
      <c r="B1013" s="0" t="s">
        <v>86</v>
      </c>
      <c r="C1013" s="17" t="n">
        <v>-0.352468070785287</v>
      </c>
      <c r="D1013" s="17" t="n">
        <f aca="false">(C1013-$B$4)/($B$6/SQRT($B$7))</f>
        <v>-1.76234035392644</v>
      </c>
      <c r="E1013" s="0" t="str">
        <f aca="false">IF(OR(AND($B$9="superior",D1013&gt;$B$10),AND($B$9="inferior",D1013&lt;-$B$10)),"Rechazar H0","No rechazar H0")</f>
        <v>Rechazar H0</v>
      </c>
      <c r="F1013" s="0" t="str">
        <f aca="false">IF(AND(B1013="H0 verdadera",E1013="Rechazar H0"),"Error tipo I",IF(AND(B1013="Ha verdadera",E1013="No rechazar H0"),"Error tipo II","Decisión correcta"))</f>
        <v>Decisión correcta</v>
      </c>
    </row>
    <row r="1014" customFormat="false" ht="15" hidden="false" customHeight="false" outlineLevel="0" collapsed="false">
      <c r="A1014" s="0" t="n">
        <v>993</v>
      </c>
      <c r="B1014" s="0" t="s">
        <v>86</v>
      </c>
      <c r="C1014" s="17" t="n">
        <v>-0.546833555811311</v>
      </c>
      <c r="D1014" s="17" t="n">
        <f aca="false">(C1014-$B$4)/($B$6/SQRT($B$7))</f>
        <v>-2.73416777905656</v>
      </c>
      <c r="E1014" s="0" t="str">
        <f aca="false">IF(OR(AND($B$9="superior",D1014&gt;$B$10),AND($B$9="inferior",D1014&lt;-$B$10)),"Rechazar H0","No rechazar H0")</f>
        <v>Rechazar H0</v>
      </c>
      <c r="F1014" s="0" t="str">
        <f aca="false">IF(AND(B1014="H0 verdadera",E1014="Rechazar H0"),"Error tipo I",IF(AND(B1014="Ha verdadera",E1014="No rechazar H0"),"Error tipo II","Decisión correcta"))</f>
        <v>Decisión correcta</v>
      </c>
    </row>
    <row r="1015" customFormat="false" ht="15" hidden="false" customHeight="false" outlineLevel="0" collapsed="false">
      <c r="A1015" s="0" t="n">
        <v>994</v>
      </c>
      <c r="B1015" s="0" t="s">
        <v>86</v>
      </c>
      <c r="C1015" s="17" t="n">
        <v>-0.811037734518089</v>
      </c>
      <c r="D1015" s="17" t="n">
        <f aca="false">(C1015-$B$4)/($B$6/SQRT($B$7))</f>
        <v>-4.05518867259044</v>
      </c>
      <c r="E1015" s="0" t="str">
        <f aca="false">IF(OR(AND($B$9="superior",D1015&gt;$B$10),AND($B$9="inferior",D1015&lt;-$B$10)),"Rechazar H0","No rechazar H0")</f>
        <v>Rechazar H0</v>
      </c>
      <c r="F1015" s="0" t="str">
        <f aca="false">IF(AND(B1015="H0 verdadera",E1015="Rechazar H0"),"Error tipo I",IF(AND(B1015="Ha verdadera",E1015="No rechazar H0"),"Error tipo II","Decisión correcta"))</f>
        <v>Decisión correcta</v>
      </c>
    </row>
    <row r="1016" customFormat="false" ht="15" hidden="false" customHeight="false" outlineLevel="0" collapsed="false">
      <c r="A1016" s="0" t="n">
        <v>995</v>
      </c>
      <c r="B1016" s="0" t="s">
        <v>85</v>
      </c>
      <c r="C1016" s="17" t="n">
        <v>-0.278523633365765</v>
      </c>
      <c r="D1016" s="17" t="n">
        <f aca="false">(C1016-$B$4)/($B$6/SQRT($B$7))</f>
        <v>-1.39261816682883</v>
      </c>
      <c r="E1016" s="0" t="str">
        <f aca="false">IF(OR(AND($B$9="superior",D1016&gt;$B$10),AND($B$9="inferior",D1016&lt;-$B$10)),"Rechazar H0","No rechazar H0")</f>
        <v>No rechazar H0</v>
      </c>
      <c r="F1016" s="0" t="str">
        <f aca="false">IF(AND(B1016="H0 verdadera",E1016="Rechazar H0"),"Error tipo I",IF(AND(B1016="Ha verdadera",E1016="No rechazar H0"),"Error tipo II","Decisión correcta"))</f>
        <v>Decisión correcta</v>
      </c>
    </row>
    <row r="1017" customFormat="false" ht="15" hidden="false" customHeight="false" outlineLevel="0" collapsed="false">
      <c r="A1017" s="0" t="n">
        <v>996</v>
      </c>
      <c r="B1017" s="0" t="s">
        <v>86</v>
      </c>
      <c r="C1017" s="17" t="n">
        <v>-0.734989041847481</v>
      </c>
      <c r="D1017" s="17" t="n">
        <f aca="false">(C1017-$B$4)/($B$6/SQRT($B$7))</f>
        <v>-3.67494520923741</v>
      </c>
      <c r="E1017" s="0" t="str">
        <f aca="false">IF(OR(AND($B$9="superior",D1017&gt;$B$10),AND($B$9="inferior",D1017&lt;-$B$10)),"Rechazar H0","No rechazar H0")</f>
        <v>Rechazar H0</v>
      </c>
      <c r="F1017" s="0" t="str">
        <f aca="false">IF(AND(B1017="H0 verdadera",E1017="Rechazar H0"),"Error tipo I",IF(AND(B1017="Ha verdadera",E1017="No rechazar H0"),"Error tipo II","Decisión correcta"))</f>
        <v>Decisión correcta</v>
      </c>
    </row>
    <row r="1018" customFormat="false" ht="15" hidden="false" customHeight="false" outlineLevel="0" collapsed="false">
      <c r="A1018" s="0" t="n">
        <v>997</v>
      </c>
      <c r="B1018" s="0" t="s">
        <v>86</v>
      </c>
      <c r="C1018" s="17" t="n">
        <v>-0.570110831461951</v>
      </c>
      <c r="D1018" s="17" t="n">
        <f aca="false">(C1018-$B$4)/($B$6/SQRT($B$7))</f>
        <v>-2.85055415730975</v>
      </c>
      <c r="E1018" s="0" t="str">
        <f aca="false">IF(OR(AND($B$9="superior",D1018&gt;$B$10),AND($B$9="inferior",D1018&lt;-$B$10)),"Rechazar H0","No rechazar H0")</f>
        <v>Rechazar H0</v>
      </c>
      <c r="F1018" s="0" t="str">
        <f aca="false">IF(AND(B1018="H0 verdadera",E1018="Rechazar H0"),"Error tipo I",IF(AND(B1018="Ha verdadera",E1018="No rechazar H0"),"Error tipo II","Decisión correcta"))</f>
        <v>Decisión correcta</v>
      </c>
    </row>
    <row r="1019" customFormat="false" ht="15" hidden="false" customHeight="false" outlineLevel="0" collapsed="false">
      <c r="A1019" s="0" t="n">
        <v>998</v>
      </c>
      <c r="B1019" s="0" t="s">
        <v>85</v>
      </c>
      <c r="C1019" s="17" t="n">
        <v>-0.203403230276432</v>
      </c>
      <c r="D1019" s="17" t="n">
        <f aca="false">(C1019-$B$4)/($B$6/SQRT($B$7))</f>
        <v>-1.01701615138216</v>
      </c>
      <c r="E1019" s="0" t="str">
        <f aca="false">IF(OR(AND($B$9="superior",D1019&gt;$B$10),AND($B$9="inferior",D1019&lt;-$B$10)),"Rechazar H0","No rechazar H0")</f>
        <v>No rechazar H0</v>
      </c>
      <c r="F1019" s="0" t="str">
        <f aca="false">IF(AND(B1019="H0 verdadera",E1019="Rechazar H0"),"Error tipo I",IF(AND(B1019="Ha verdadera",E1019="No rechazar H0"),"Error tipo II","Decisión correcta"))</f>
        <v>Decisión correcta</v>
      </c>
    </row>
    <row r="1020" customFormat="false" ht="15" hidden="false" customHeight="false" outlineLevel="0" collapsed="false">
      <c r="A1020" s="0" t="n">
        <v>999</v>
      </c>
      <c r="B1020" s="0" t="s">
        <v>85</v>
      </c>
      <c r="C1020" s="17" t="n">
        <v>0.0962374689678323</v>
      </c>
      <c r="D1020" s="17" t="n">
        <f aca="false">(C1020-$B$4)/($B$6/SQRT($B$7))</f>
        <v>0.481187344839161</v>
      </c>
      <c r="E1020" s="0" t="str">
        <f aca="false">IF(OR(AND($B$9="superior",D1020&gt;$B$10),AND($B$9="inferior",D1020&lt;-$B$10)),"Rechazar H0","No rechazar H0")</f>
        <v>No rechazar H0</v>
      </c>
      <c r="F1020" s="0" t="str">
        <f aca="false">IF(AND(B1020="H0 verdadera",E1020="Rechazar H0"),"Error tipo I",IF(AND(B1020="Ha verdadera",E1020="No rechazar H0"),"Error tipo II","Decisión correcta"))</f>
        <v>Decisión correcta</v>
      </c>
    </row>
    <row r="1021" customFormat="false" ht="15" hidden="false" customHeight="false" outlineLevel="0" collapsed="false">
      <c r="A1021" s="0" t="n">
        <v>1000</v>
      </c>
      <c r="B1021" s="0" t="s">
        <v>85</v>
      </c>
      <c r="C1021" s="17" t="n">
        <v>0.109453141963891</v>
      </c>
      <c r="D1021" s="17" t="n">
        <f aca="false">(C1021-$B$4)/($B$6/SQRT($B$7))</f>
        <v>0.547265709819453</v>
      </c>
      <c r="E1021" s="0" t="str">
        <f aca="false">IF(OR(AND($B$9="superior",D1021&gt;$B$10),AND($B$9="inferior",D1021&lt;-$B$10)),"Rechazar H0","No rechazar H0")</f>
        <v>No rechazar H0</v>
      </c>
      <c r="F1021" s="0" t="str">
        <f aca="false">IF(AND(B1021="H0 verdadera",E1021="Rechazar H0"),"Error tipo I",IF(AND(B1021="Ha verdadera",E1021="No rechazar H0"),"Error tipo II","Decisión correcta"))</f>
        <v>Decisión correcta</v>
      </c>
    </row>
    <row r="1022" customFormat="false" ht="15" hidden="false" customHeight="false" outlineLevel="0" collapsed="false">
      <c r="A1022" s="0" t="n">
        <v>1001</v>
      </c>
      <c r="B1022" s="0" t="s">
        <v>86</v>
      </c>
      <c r="C1022" s="17" t="n">
        <v>-0.467805463987307</v>
      </c>
      <c r="D1022" s="17" t="n">
        <f aca="false">(C1022-$B$4)/($B$6/SQRT($B$7))</f>
        <v>-2.33902731993654</v>
      </c>
      <c r="E1022" s="0" t="str">
        <f aca="false">IF(OR(AND($B$9="superior",D1022&gt;$B$10),AND($B$9="inferior",D1022&lt;-$B$10)),"Rechazar H0","No rechazar H0")</f>
        <v>Rechazar H0</v>
      </c>
      <c r="F1022" s="0" t="str">
        <f aca="false">IF(AND(B1022="H0 verdadera",E1022="Rechazar H0"),"Error tipo I",IF(AND(B1022="Ha verdadera",E1022="No rechazar H0"),"Error tipo II","Decisión correcta"))</f>
        <v>Decisión correcta</v>
      </c>
    </row>
    <row r="1023" customFormat="false" ht="15" hidden="false" customHeight="false" outlineLevel="0" collapsed="false">
      <c r="A1023" s="0" t="n">
        <v>1002</v>
      </c>
      <c r="B1023" s="0" t="s">
        <v>85</v>
      </c>
      <c r="C1023" s="17" t="n">
        <v>-0.104443523538269</v>
      </c>
      <c r="D1023" s="17" t="n">
        <f aca="false">(C1023-$B$4)/($B$6/SQRT($B$7))</f>
        <v>-0.522217617691344</v>
      </c>
      <c r="E1023" s="0" t="str">
        <f aca="false">IF(OR(AND($B$9="superior",D1023&gt;$B$10),AND($B$9="inferior",D1023&lt;-$B$10)),"Rechazar H0","No rechazar H0")</f>
        <v>No rechazar H0</v>
      </c>
      <c r="F1023" s="0" t="str">
        <f aca="false">IF(AND(B1023="H0 verdadera",E1023="Rechazar H0"),"Error tipo I",IF(AND(B1023="Ha verdadera",E1023="No rechazar H0"),"Error tipo II","Decisión correcta"))</f>
        <v>Decisión correcta</v>
      </c>
    </row>
    <row r="1024" customFormat="false" ht="15" hidden="false" customHeight="false" outlineLevel="0" collapsed="false">
      <c r="A1024" s="0" t="n">
        <v>1003</v>
      </c>
      <c r="B1024" s="0" t="s">
        <v>86</v>
      </c>
      <c r="C1024" s="17" t="n">
        <v>-0.426652076255278</v>
      </c>
      <c r="D1024" s="17" t="n">
        <f aca="false">(C1024-$B$4)/($B$6/SQRT($B$7))</f>
        <v>-2.13326038127639</v>
      </c>
      <c r="E1024" s="0" t="str">
        <f aca="false">IF(OR(AND($B$9="superior",D1024&gt;$B$10),AND($B$9="inferior",D1024&lt;-$B$10)),"Rechazar H0","No rechazar H0")</f>
        <v>Rechazar H0</v>
      </c>
      <c r="F1024" s="0" t="str">
        <f aca="false">IF(AND(B1024="H0 verdadera",E1024="Rechazar H0"),"Error tipo I",IF(AND(B1024="Ha verdadera",E1024="No rechazar H0"),"Error tipo II","Decisión correcta"))</f>
        <v>Decisión correcta</v>
      </c>
    </row>
    <row r="1025" customFormat="false" ht="15" hidden="false" customHeight="false" outlineLevel="0" collapsed="false">
      <c r="A1025" s="0" t="n">
        <v>1004</v>
      </c>
      <c r="B1025" s="0" t="s">
        <v>86</v>
      </c>
      <c r="C1025" s="17" t="n">
        <v>-0.22945480196732</v>
      </c>
      <c r="D1025" s="17" t="n">
        <f aca="false">(C1025-$B$4)/($B$6/SQRT($B$7))</f>
        <v>-1.1472740098366</v>
      </c>
      <c r="E1025" s="0" t="str">
        <f aca="false">IF(OR(AND($B$9="superior",D1025&gt;$B$10),AND($B$9="inferior",D1025&lt;-$B$10)),"Rechazar H0","No rechazar H0")</f>
        <v>No rechazar H0</v>
      </c>
      <c r="F1025" s="0" t="str">
        <f aca="false">IF(AND(B1025="H0 verdadera",E1025="Rechazar H0"),"Error tipo I",IF(AND(B1025="Ha verdadera",E1025="No rechazar H0"),"Error tipo II","Decisión correcta"))</f>
        <v>Error tipo II</v>
      </c>
    </row>
    <row r="1026" customFormat="false" ht="15" hidden="false" customHeight="false" outlineLevel="0" collapsed="false">
      <c r="A1026" s="0" t="n">
        <v>1005</v>
      </c>
      <c r="B1026" s="0" t="s">
        <v>86</v>
      </c>
      <c r="C1026" s="17" t="n">
        <v>-0.488948952475254</v>
      </c>
      <c r="D1026" s="17" t="n">
        <f aca="false">(C1026-$B$4)/($B$6/SQRT($B$7))</f>
        <v>-2.44474476237627</v>
      </c>
      <c r="E1026" s="0" t="str">
        <f aca="false">IF(OR(AND($B$9="superior",D1026&gt;$B$10),AND($B$9="inferior",D1026&lt;-$B$10)),"Rechazar H0","No rechazar H0")</f>
        <v>Rechazar H0</v>
      </c>
      <c r="F1026" s="0" t="str">
        <f aca="false">IF(AND(B1026="H0 verdadera",E1026="Rechazar H0"),"Error tipo I",IF(AND(B1026="Ha verdadera",E1026="No rechazar H0"),"Error tipo II","Decisión correcta"))</f>
        <v>Decisión correcta</v>
      </c>
    </row>
    <row r="1027" customFormat="false" ht="15" hidden="false" customHeight="false" outlineLevel="0" collapsed="false">
      <c r="A1027" s="0" t="n">
        <v>1006</v>
      </c>
      <c r="B1027" s="0" t="s">
        <v>85</v>
      </c>
      <c r="C1027" s="17" t="n">
        <v>0.039053555679673</v>
      </c>
      <c r="D1027" s="17" t="n">
        <f aca="false">(C1027-$B$4)/($B$6/SQRT($B$7))</f>
        <v>0.195267778398365</v>
      </c>
      <c r="E1027" s="0" t="str">
        <f aca="false">IF(OR(AND($B$9="superior",D1027&gt;$B$10),AND($B$9="inferior",D1027&lt;-$B$10)),"Rechazar H0","No rechazar H0")</f>
        <v>No rechazar H0</v>
      </c>
      <c r="F1027" s="0" t="str">
        <f aca="false">IF(AND(B1027="H0 verdadera",E1027="Rechazar H0"),"Error tipo I",IF(AND(B1027="Ha verdadera",E1027="No rechazar H0"),"Error tipo II","Decisión correcta"))</f>
        <v>Decisión correcta</v>
      </c>
    </row>
    <row r="1028" customFormat="false" ht="15" hidden="false" customHeight="false" outlineLevel="0" collapsed="false">
      <c r="A1028" s="0" t="n">
        <v>1007</v>
      </c>
      <c r="B1028" s="0" t="s">
        <v>86</v>
      </c>
      <c r="C1028" s="17" t="n">
        <v>-0.64730756395375</v>
      </c>
      <c r="D1028" s="17" t="n">
        <f aca="false">(C1028-$B$4)/($B$6/SQRT($B$7))</f>
        <v>-3.23653781976875</v>
      </c>
      <c r="E1028" s="0" t="str">
        <f aca="false">IF(OR(AND($B$9="superior",D1028&gt;$B$10),AND($B$9="inferior",D1028&lt;-$B$10)),"Rechazar H0","No rechazar H0")</f>
        <v>Rechazar H0</v>
      </c>
      <c r="F1028" s="0" t="str">
        <f aca="false">IF(AND(B1028="H0 verdadera",E1028="Rechazar H0"),"Error tipo I",IF(AND(B1028="Ha verdadera",E1028="No rechazar H0"),"Error tipo II","Decisión correcta"))</f>
        <v>Decisión correcta</v>
      </c>
    </row>
    <row r="1029" customFormat="false" ht="15" hidden="false" customHeight="false" outlineLevel="0" collapsed="false">
      <c r="A1029" s="0" t="n">
        <v>1008</v>
      </c>
      <c r="B1029" s="0" t="s">
        <v>85</v>
      </c>
      <c r="C1029" s="17" t="n">
        <v>-0.173005339300562</v>
      </c>
      <c r="D1029" s="17" t="n">
        <f aca="false">(C1029-$B$4)/($B$6/SQRT($B$7))</f>
        <v>-0.865026696502808</v>
      </c>
      <c r="E1029" s="0" t="str">
        <f aca="false">IF(OR(AND($B$9="superior",D1029&gt;$B$10),AND($B$9="inferior",D1029&lt;-$B$10)),"Rechazar H0","No rechazar H0")</f>
        <v>No rechazar H0</v>
      </c>
      <c r="F1029" s="0" t="str">
        <f aca="false">IF(AND(B1029="H0 verdadera",E1029="Rechazar H0"),"Error tipo I",IF(AND(B1029="Ha verdadera",E1029="No rechazar H0"),"Error tipo II","Decisión correcta"))</f>
        <v>Decisión correcta</v>
      </c>
    </row>
    <row r="1030" customFormat="false" ht="15" hidden="false" customHeight="false" outlineLevel="0" collapsed="false">
      <c r="A1030" s="0" t="n">
        <v>1009</v>
      </c>
      <c r="B1030" s="0" t="s">
        <v>86</v>
      </c>
      <c r="C1030" s="17" t="n">
        <v>-0.521467400442351</v>
      </c>
      <c r="D1030" s="17" t="n">
        <f aca="false">(C1030-$B$4)/($B$6/SQRT($B$7))</f>
        <v>-2.60733700221175</v>
      </c>
      <c r="E1030" s="0" t="str">
        <f aca="false">IF(OR(AND($B$9="superior",D1030&gt;$B$10),AND($B$9="inferior",D1030&lt;-$B$10)),"Rechazar H0","No rechazar H0")</f>
        <v>Rechazar H0</v>
      </c>
      <c r="F1030" s="0" t="str">
        <f aca="false">IF(AND(B1030="H0 verdadera",E1030="Rechazar H0"),"Error tipo I",IF(AND(B1030="Ha verdadera",E1030="No rechazar H0"),"Error tipo II","Decisión correcta"))</f>
        <v>Decisión correcta</v>
      </c>
    </row>
    <row r="1031" customFormat="false" ht="15" hidden="false" customHeight="false" outlineLevel="0" collapsed="false">
      <c r="A1031" s="0" t="n">
        <v>1010</v>
      </c>
      <c r="B1031" s="0" t="s">
        <v>85</v>
      </c>
      <c r="C1031" s="17" t="n">
        <v>0.0538447543973849</v>
      </c>
      <c r="D1031" s="17" t="n">
        <f aca="false">(C1031-$B$4)/($B$6/SQRT($B$7))</f>
        <v>0.269223771986925</v>
      </c>
      <c r="E1031" s="0" t="str">
        <f aca="false">IF(OR(AND($B$9="superior",D1031&gt;$B$10),AND($B$9="inferior",D1031&lt;-$B$10)),"Rechazar H0","No rechazar H0")</f>
        <v>No rechazar H0</v>
      </c>
      <c r="F1031" s="0" t="str">
        <f aca="false">IF(AND(B1031="H0 verdadera",E1031="Rechazar H0"),"Error tipo I",IF(AND(B1031="Ha verdadera",E1031="No rechazar H0"),"Error tipo II","Decisión correcta"))</f>
        <v>Decisión correcta</v>
      </c>
    </row>
    <row r="1032" customFormat="false" ht="15" hidden="false" customHeight="false" outlineLevel="0" collapsed="false">
      <c r="A1032" s="0" t="n">
        <v>1011</v>
      </c>
      <c r="B1032" s="0" t="s">
        <v>86</v>
      </c>
      <c r="C1032" s="17" t="n">
        <v>-0.658129113236306</v>
      </c>
      <c r="D1032" s="17" t="n">
        <f aca="false">(C1032-$B$4)/($B$6/SQRT($B$7))</f>
        <v>-3.29064556618153</v>
      </c>
      <c r="E1032" s="0" t="str">
        <f aca="false">IF(OR(AND($B$9="superior",D1032&gt;$B$10),AND($B$9="inferior",D1032&lt;-$B$10)),"Rechazar H0","No rechazar H0")</f>
        <v>Rechazar H0</v>
      </c>
      <c r="F1032" s="0" t="str">
        <f aca="false">IF(AND(B1032="H0 verdadera",E1032="Rechazar H0"),"Error tipo I",IF(AND(B1032="Ha verdadera",E1032="No rechazar H0"),"Error tipo II","Decisión correcta"))</f>
        <v>Decisión correcta</v>
      </c>
    </row>
    <row r="1033" customFormat="false" ht="15" hidden="false" customHeight="false" outlineLevel="0" collapsed="false">
      <c r="A1033" s="0" t="n">
        <v>1012</v>
      </c>
      <c r="B1033" s="0" t="s">
        <v>85</v>
      </c>
      <c r="C1033" s="17" t="n">
        <v>-0.0643089706515598</v>
      </c>
      <c r="D1033" s="17" t="n">
        <f aca="false">(C1033-$B$4)/($B$6/SQRT($B$7))</f>
        <v>-0.321544853257799</v>
      </c>
      <c r="E1033" s="0" t="str">
        <f aca="false">IF(OR(AND($B$9="superior",D1033&gt;$B$10),AND($B$9="inferior",D1033&lt;-$B$10)),"Rechazar H0","No rechazar H0")</f>
        <v>No rechazar H0</v>
      </c>
      <c r="F1033" s="0" t="str">
        <f aca="false">IF(AND(B1033="H0 verdadera",E1033="Rechazar H0"),"Error tipo I",IF(AND(B1033="Ha verdadera",E1033="No rechazar H0"),"Error tipo II","Decisión correcta"))</f>
        <v>Decisión correcta</v>
      </c>
    </row>
    <row r="1034" customFormat="false" ht="15" hidden="false" customHeight="false" outlineLevel="0" collapsed="false">
      <c r="A1034" s="0" t="n">
        <v>1013</v>
      </c>
      <c r="B1034" s="0" t="s">
        <v>85</v>
      </c>
      <c r="C1034" s="17" t="n">
        <v>-0.173400553186326</v>
      </c>
      <c r="D1034" s="17" t="n">
        <f aca="false">(C1034-$B$4)/($B$6/SQRT($B$7))</f>
        <v>-0.86700276593163</v>
      </c>
      <c r="E1034" s="0" t="str">
        <f aca="false">IF(OR(AND($B$9="superior",D1034&gt;$B$10),AND($B$9="inferior",D1034&lt;-$B$10)),"Rechazar H0","No rechazar H0")</f>
        <v>No rechazar H0</v>
      </c>
      <c r="F1034" s="0" t="str">
        <f aca="false">IF(AND(B1034="H0 verdadera",E1034="Rechazar H0"),"Error tipo I",IF(AND(B1034="Ha verdadera",E1034="No rechazar H0"),"Error tipo II","Decisión correcta"))</f>
        <v>Decisión correcta</v>
      </c>
    </row>
    <row r="1035" customFormat="false" ht="15" hidden="false" customHeight="false" outlineLevel="0" collapsed="false">
      <c r="A1035" s="0" t="n">
        <v>1014</v>
      </c>
      <c r="B1035" s="0" t="s">
        <v>86</v>
      </c>
      <c r="C1035" s="17" t="n">
        <v>-0.132066117235057</v>
      </c>
      <c r="D1035" s="17" t="n">
        <f aca="false">(C1035-$B$4)/($B$6/SQRT($B$7))</f>
        <v>-0.660330586175283</v>
      </c>
      <c r="E1035" s="0" t="str">
        <f aca="false">IF(OR(AND($B$9="superior",D1035&gt;$B$10),AND($B$9="inferior",D1035&lt;-$B$10)),"Rechazar H0","No rechazar H0")</f>
        <v>No rechazar H0</v>
      </c>
      <c r="F1035" s="0" t="str">
        <f aca="false">IF(AND(B1035="H0 verdadera",E1035="Rechazar H0"),"Error tipo I",IF(AND(B1035="Ha verdadera",E1035="No rechazar H0"),"Error tipo II","Decisión correcta"))</f>
        <v>Error tipo II</v>
      </c>
    </row>
    <row r="1036" customFormat="false" ht="15" hidden="false" customHeight="false" outlineLevel="0" collapsed="false">
      <c r="A1036" s="0" t="n">
        <v>1015</v>
      </c>
      <c r="B1036" s="0" t="s">
        <v>85</v>
      </c>
      <c r="C1036" s="17" t="n">
        <v>-0.11319020359962</v>
      </c>
      <c r="D1036" s="17" t="n">
        <f aca="false">(C1036-$B$4)/($B$6/SQRT($B$7))</f>
        <v>-0.565951017998101</v>
      </c>
      <c r="E1036" s="0" t="str">
        <f aca="false">IF(OR(AND($B$9="superior",D1036&gt;$B$10),AND($B$9="inferior",D1036&lt;-$B$10)),"Rechazar H0","No rechazar H0")</f>
        <v>No rechazar H0</v>
      </c>
      <c r="F1036" s="0" t="str">
        <f aca="false">IF(AND(B1036="H0 verdadera",E1036="Rechazar H0"),"Error tipo I",IF(AND(B1036="Ha verdadera",E1036="No rechazar H0"),"Error tipo II","Decisión correcta"))</f>
        <v>Decisión correcta</v>
      </c>
    </row>
    <row r="1037" customFormat="false" ht="15" hidden="false" customHeight="false" outlineLevel="0" collapsed="false">
      <c r="A1037" s="0" t="n">
        <v>1016</v>
      </c>
      <c r="B1037" s="0" t="s">
        <v>86</v>
      </c>
      <c r="C1037" s="17" t="n">
        <v>-0.330282422970989</v>
      </c>
      <c r="D1037" s="17" t="n">
        <f aca="false">(C1037-$B$4)/($B$6/SQRT($B$7))</f>
        <v>-1.65141211485495</v>
      </c>
      <c r="E1037" s="0" t="str">
        <f aca="false">IF(OR(AND($B$9="superior",D1037&gt;$B$10),AND($B$9="inferior",D1037&lt;-$B$10)),"Rechazar H0","No rechazar H0")</f>
        <v>Rechazar H0</v>
      </c>
      <c r="F1037" s="0" t="str">
        <f aca="false">IF(AND(B1037="H0 verdadera",E1037="Rechazar H0"),"Error tipo I",IF(AND(B1037="Ha verdadera",E1037="No rechazar H0"),"Error tipo II","Decisión correcta"))</f>
        <v>Decisión correcta</v>
      </c>
    </row>
    <row r="1038" customFormat="false" ht="15" hidden="false" customHeight="false" outlineLevel="0" collapsed="false">
      <c r="A1038" s="0" t="n">
        <v>1017</v>
      </c>
      <c r="B1038" s="0" t="s">
        <v>86</v>
      </c>
      <c r="C1038" s="17" t="n">
        <v>0.0328312387941975</v>
      </c>
      <c r="D1038" s="17" t="n">
        <f aca="false">(C1038-$B$4)/($B$6/SQRT($B$7))</f>
        <v>0.164156193970987</v>
      </c>
      <c r="E1038" s="0" t="str">
        <f aca="false">IF(OR(AND($B$9="superior",D1038&gt;$B$10),AND($B$9="inferior",D1038&lt;-$B$10)),"Rechazar H0","No rechazar H0")</f>
        <v>No rechazar H0</v>
      </c>
      <c r="F1038" s="0" t="str">
        <f aca="false">IF(AND(B1038="H0 verdadera",E1038="Rechazar H0"),"Error tipo I",IF(AND(B1038="Ha verdadera",E1038="No rechazar H0"),"Error tipo II","Decisión correcta"))</f>
        <v>Error tipo II</v>
      </c>
    </row>
    <row r="1039" customFormat="false" ht="15" hidden="false" customHeight="false" outlineLevel="0" collapsed="false">
      <c r="A1039" s="0" t="n">
        <v>1018</v>
      </c>
      <c r="B1039" s="0" t="s">
        <v>85</v>
      </c>
      <c r="C1039" s="17" t="n">
        <v>-0.407697605883399</v>
      </c>
      <c r="D1039" s="17" t="n">
        <f aca="false">(C1039-$B$4)/($B$6/SQRT($B$7))</f>
        <v>-2.038488029417</v>
      </c>
      <c r="E1039" s="0" t="str">
        <f aca="false">IF(OR(AND($B$9="superior",D1039&gt;$B$10),AND($B$9="inferior",D1039&lt;-$B$10)),"Rechazar H0","No rechazar H0")</f>
        <v>Rechazar H0</v>
      </c>
      <c r="F1039" s="0" t="str">
        <f aca="false">IF(AND(B1039="H0 verdadera",E1039="Rechazar H0"),"Error tipo I",IF(AND(B1039="Ha verdadera",E1039="No rechazar H0"),"Error tipo II","Decisión correcta"))</f>
        <v>Error tipo I</v>
      </c>
    </row>
    <row r="1040" customFormat="false" ht="15" hidden="false" customHeight="false" outlineLevel="0" collapsed="false">
      <c r="A1040" s="0" t="n">
        <v>1019</v>
      </c>
      <c r="B1040" s="0" t="s">
        <v>86</v>
      </c>
      <c r="C1040" s="17" t="n">
        <v>-0.369297800885015</v>
      </c>
      <c r="D1040" s="17" t="n">
        <f aca="false">(C1040-$B$4)/($B$6/SQRT($B$7))</f>
        <v>-1.84648900442507</v>
      </c>
      <c r="E1040" s="0" t="str">
        <f aca="false">IF(OR(AND($B$9="superior",D1040&gt;$B$10),AND($B$9="inferior",D1040&lt;-$B$10)),"Rechazar H0","No rechazar H0")</f>
        <v>Rechazar H0</v>
      </c>
      <c r="F1040" s="0" t="str">
        <f aca="false">IF(AND(B1040="H0 verdadera",E1040="Rechazar H0"),"Error tipo I",IF(AND(B1040="Ha verdadera",E1040="No rechazar H0"),"Error tipo II","Decisión correcta"))</f>
        <v>Decisión correcta</v>
      </c>
    </row>
    <row r="1041" customFormat="false" ht="15" hidden="false" customHeight="false" outlineLevel="0" collapsed="false">
      <c r="A1041" s="0" t="n">
        <v>1020</v>
      </c>
      <c r="B1041" s="0" t="s">
        <v>86</v>
      </c>
      <c r="C1041" s="17" t="n">
        <v>-0.681103124982707</v>
      </c>
      <c r="D1041" s="17" t="n">
        <f aca="false">(C1041-$B$4)/($B$6/SQRT($B$7))</f>
        <v>-3.40551562491353</v>
      </c>
      <c r="E1041" s="0" t="str">
        <f aca="false">IF(OR(AND($B$9="superior",D1041&gt;$B$10),AND($B$9="inferior",D1041&lt;-$B$10)),"Rechazar H0","No rechazar H0")</f>
        <v>Rechazar H0</v>
      </c>
      <c r="F1041" s="0" t="str">
        <f aca="false">IF(AND(B1041="H0 verdadera",E1041="Rechazar H0"),"Error tipo I",IF(AND(B1041="Ha verdadera",E1041="No rechazar H0"),"Error tipo II","Decisión correcta"))</f>
        <v>Decisión correcta</v>
      </c>
    </row>
    <row r="1042" customFormat="false" ht="15" hidden="false" customHeight="false" outlineLevel="0" collapsed="false">
      <c r="A1042" s="0" t="n">
        <v>1021</v>
      </c>
      <c r="B1042" s="0" t="s">
        <v>85</v>
      </c>
      <c r="C1042" s="17" t="n">
        <v>0.0215034890008651</v>
      </c>
      <c r="D1042" s="17" t="n">
        <f aca="false">(C1042-$B$4)/($B$6/SQRT($B$7))</f>
        <v>0.107517445004326</v>
      </c>
      <c r="E1042" s="0" t="str">
        <f aca="false">IF(OR(AND($B$9="superior",D1042&gt;$B$10),AND($B$9="inferior",D1042&lt;-$B$10)),"Rechazar H0","No rechazar H0")</f>
        <v>No rechazar H0</v>
      </c>
      <c r="F1042" s="0" t="str">
        <f aca="false">IF(AND(B1042="H0 verdadera",E1042="Rechazar H0"),"Error tipo I",IF(AND(B1042="Ha verdadera",E1042="No rechazar H0"),"Error tipo II","Decisión correcta"))</f>
        <v>Decisión correcta</v>
      </c>
    </row>
    <row r="1043" customFormat="false" ht="15" hidden="false" customHeight="false" outlineLevel="0" collapsed="false">
      <c r="A1043" s="0" t="n">
        <v>1022</v>
      </c>
      <c r="B1043" s="0" t="s">
        <v>86</v>
      </c>
      <c r="C1043" s="17" t="n">
        <v>-0.431877002016845</v>
      </c>
      <c r="D1043" s="17" t="n">
        <f aca="false">(C1043-$B$4)/($B$6/SQRT($B$7))</f>
        <v>-2.15938501008422</v>
      </c>
      <c r="E1043" s="0" t="str">
        <f aca="false">IF(OR(AND($B$9="superior",D1043&gt;$B$10),AND($B$9="inferior",D1043&lt;-$B$10)),"Rechazar H0","No rechazar H0")</f>
        <v>Rechazar H0</v>
      </c>
      <c r="F1043" s="0" t="str">
        <f aca="false">IF(AND(B1043="H0 verdadera",E1043="Rechazar H0"),"Error tipo I",IF(AND(B1043="Ha verdadera",E1043="No rechazar H0"),"Error tipo II","Decisión correcta"))</f>
        <v>Decisión correcta</v>
      </c>
    </row>
    <row r="1044" customFormat="false" ht="15" hidden="false" customHeight="false" outlineLevel="0" collapsed="false">
      <c r="A1044" s="0" t="n">
        <v>1023</v>
      </c>
      <c r="B1044" s="0" t="s">
        <v>85</v>
      </c>
      <c r="C1044" s="17" t="n">
        <v>0.151027009827507</v>
      </c>
      <c r="D1044" s="17" t="n">
        <f aca="false">(C1044-$B$4)/($B$6/SQRT($B$7))</f>
        <v>0.755135049137536</v>
      </c>
      <c r="E1044" s="0" t="str">
        <f aca="false">IF(OR(AND($B$9="superior",D1044&gt;$B$10),AND($B$9="inferior",D1044&lt;-$B$10)),"Rechazar H0","No rechazar H0")</f>
        <v>No rechazar H0</v>
      </c>
      <c r="F1044" s="0" t="str">
        <f aca="false">IF(AND(B1044="H0 verdadera",E1044="Rechazar H0"),"Error tipo I",IF(AND(B1044="Ha verdadera",E1044="No rechazar H0"),"Error tipo II","Decisión correcta"))</f>
        <v>Decisión correcta</v>
      </c>
    </row>
    <row r="1045" customFormat="false" ht="15" hidden="false" customHeight="false" outlineLevel="0" collapsed="false">
      <c r="A1045" s="0" t="n">
        <v>1024</v>
      </c>
      <c r="B1045" s="0" t="s">
        <v>86</v>
      </c>
      <c r="C1045" s="17" t="n">
        <v>-0.744153321943414</v>
      </c>
      <c r="D1045" s="17" t="n">
        <f aca="false">(C1045-$B$4)/($B$6/SQRT($B$7))</f>
        <v>-3.72076660971707</v>
      </c>
      <c r="E1045" s="0" t="str">
        <f aca="false">IF(OR(AND($B$9="superior",D1045&gt;$B$10),AND($B$9="inferior",D1045&lt;-$B$10)),"Rechazar H0","No rechazar H0")</f>
        <v>Rechazar H0</v>
      </c>
      <c r="F1045" s="0" t="str">
        <f aca="false">IF(AND(B1045="H0 verdadera",E1045="Rechazar H0"),"Error tipo I",IF(AND(B1045="Ha verdadera",E1045="No rechazar H0"),"Error tipo II","Decisión correcta"))</f>
        <v>Decisión correcta</v>
      </c>
    </row>
    <row r="1046" customFormat="false" ht="15" hidden="false" customHeight="false" outlineLevel="0" collapsed="false">
      <c r="A1046" s="0" t="n">
        <v>1025</v>
      </c>
      <c r="B1046" s="0" t="s">
        <v>85</v>
      </c>
      <c r="C1046" s="17" t="n">
        <v>-0.0698670932211615</v>
      </c>
      <c r="D1046" s="17" t="n">
        <f aca="false">(C1046-$B$4)/($B$6/SQRT($B$7))</f>
        <v>-0.349335466105807</v>
      </c>
      <c r="E1046" s="0" t="str">
        <f aca="false">IF(OR(AND($B$9="superior",D1046&gt;$B$10),AND($B$9="inferior",D1046&lt;-$B$10)),"Rechazar H0","No rechazar H0")</f>
        <v>No rechazar H0</v>
      </c>
      <c r="F1046" s="0" t="str">
        <f aca="false">IF(AND(B1046="H0 verdadera",E1046="Rechazar H0"),"Error tipo I",IF(AND(B1046="Ha verdadera",E1046="No rechazar H0"),"Error tipo II","Decisión correcta"))</f>
        <v>Decisión correcta</v>
      </c>
    </row>
    <row r="1047" customFormat="false" ht="15" hidden="false" customHeight="false" outlineLevel="0" collapsed="false">
      <c r="A1047" s="0" t="n">
        <v>1026</v>
      </c>
      <c r="B1047" s="0" t="s">
        <v>85</v>
      </c>
      <c r="C1047" s="17" t="n">
        <v>-0.0328514098458576</v>
      </c>
      <c r="D1047" s="17" t="n">
        <f aca="false">(C1047-$B$4)/($B$6/SQRT($B$7))</f>
        <v>-0.164257049229288</v>
      </c>
      <c r="E1047" s="0" t="str">
        <f aca="false">IF(OR(AND($B$9="superior",D1047&gt;$B$10),AND($B$9="inferior",D1047&lt;-$B$10)),"Rechazar H0","No rechazar H0")</f>
        <v>No rechazar H0</v>
      </c>
      <c r="F1047" s="0" t="str">
        <f aca="false">IF(AND(B1047="H0 verdadera",E1047="Rechazar H0"),"Error tipo I",IF(AND(B1047="Ha verdadera",E1047="No rechazar H0"),"Error tipo II","Decisión correcta"))</f>
        <v>Decisión correcta</v>
      </c>
    </row>
    <row r="1048" customFormat="false" ht="15" hidden="false" customHeight="false" outlineLevel="0" collapsed="false">
      <c r="A1048" s="0" t="n">
        <v>1027</v>
      </c>
      <c r="B1048" s="0" t="s">
        <v>86</v>
      </c>
      <c r="C1048" s="17" t="n">
        <v>-0.502235701780828</v>
      </c>
      <c r="D1048" s="17" t="n">
        <f aca="false">(C1048-$B$4)/($B$6/SQRT($B$7))</f>
        <v>-2.51117850890414</v>
      </c>
      <c r="E1048" s="0" t="str">
        <f aca="false">IF(OR(AND($B$9="superior",D1048&gt;$B$10),AND($B$9="inferior",D1048&lt;-$B$10)),"Rechazar H0","No rechazar H0")</f>
        <v>Rechazar H0</v>
      </c>
      <c r="F1048" s="0" t="str">
        <f aca="false">IF(AND(B1048="H0 verdadera",E1048="Rechazar H0"),"Error tipo I",IF(AND(B1048="Ha verdadera",E1048="No rechazar H0"),"Error tipo II","Decisión correcta"))</f>
        <v>Decisión correcta</v>
      </c>
    </row>
    <row r="1049" customFormat="false" ht="15" hidden="false" customHeight="false" outlineLevel="0" collapsed="false">
      <c r="A1049" s="0" t="n">
        <v>1028</v>
      </c>
      <c r="B1049" s="0" t="s">
        <v>85</v>
      </c>
      <c r="C1049" s="17" t="n">
        <v>0.293543794065806</v>
      </c>
      <c r="D1049" s="17" t="n">
        <f aca="false">(C1049-$B$4)/($B$6/SQRT($B$7))</f>
        <v>1.46771897032903</v>
      </c>
      <c r="E1049" s="0" t="str">
        <f aca="false">IF(OR(AND($B$9="superior",D1049&gt;$B$10),AND($B$9="inferior",D1049&lt;-$B$10)),"Rechazar H0","No rechazar H0")</f>
        <v>No rechazar H0</v>
      </c>
      <c r="F1049" s="0" t="str">
        <f aca="false">IF(AND(B1049="H0 verdadera",E1049="Rechazar H0"),"Error tipo I",IF(AND(B1049="Ha verdadera",E1049="No rechazar H0"),"Error tipo II","Decisión correcta"))</f>
        <v>Decisión correcta</v>
      </c>
    </row>
    <row r="1050" customFormat="false" ht="15" hidden="false" customHeight="false" outlineLevel="0" collapsed="false">
      <c r="A1050" s="0" t="n">
        <v>1029</v>
      </c>
      <c r="B1050" s="0" t="s">
        <v>86</v>
      </c>
      <c r="C1050" s="17" t="n">
        <v>-0.425088434426404</v>
      </c>
      <c r="D1050" s="17" t="n">
        <f aca="false">(C1050-$B$4)/($B$6/SQRT($B$7))</f>
        <v>-2.12544217213202</v>
      </c>
      <c r="E1050" s="0" t="str">
        <f aca="false">IF(OR(AND($B$9="superior",D1050&gt;$B$10),AND($B$9="inferior",D1050&lt;-$B$10)),"Rechazar H0","No rechazar H0")</f>
        <v>Rechazar H0</v>
      </c>
      <c r="F1050" s="0" t="str">
        <f aca="false">IF(AND(B1050="H0 verdadera",E1050="Rechazar H0"),"Error tipo I",IF(AND(B1050="Ha verdadera",E1050="No rechazar H0"),"Error tipo II","Decisión correcta"))</f>
        <v>Decisión correcta</v>
      </c>
    </row>
    <row r="1051" customFormat="false" ht="15" hidden="false" customHeight="false" outlineLevel="0" collapsed="false">
      <c r="A1051" s="0" t="n">
        <v>1030</v>
      </c>
      <c r="B1051" s="0" t="s">
        <v>86</v>
      </c>
      <c r="C1051" s="17" t="n">
        <v>-0.465532766001939</v>
      </c>
      <c r="D1051" s="17" t="n">
        <f aca="false">(C1051-$B$4)/($B$6/SQRT($B$7))</f>
        <v>-2.3276638300097</v>
      </c>
      <c r="E1051" s="0" t="str">
        <f aca="false">IF(OR(AND($B$9="superior",D1051&gt;$B$10),AND($B$9="inferior",D1051&lt;-$B$10)),"Rechazar H0","No rechazar H0")</f>
        <v>Rechazar H0</v>
      </c>
      <c r="F1051" s="0" t="str">
        <f aca="false">IF(AND(B1051="H0 verdadera",E1051="Rechazar H0"),"Error tipo I",IF(AND(B1051="Ha verdadera",E1051="No rechazar H0"),"Error tipo II","Decisión correcta"))</f>
        <v>Decisión correcta</v>
      </c>
    </row>
    <row r="1052" customFormat="false" ht="15" hidden="false" customHeight="false" outlineLevel="0" collapsed="false">
      <c r="A1052" s="0" t="n">
        <v>1031</v>
      </c>
      <c r="B1052" s="0" t="s">
        <v>85</v>
      </c>
      <c r="C1052" s="17" t="n">
        <v>0.121276511003922</v>
      </c>
      <c r="D1052" s="17" t="n">
        <f aca="false">(C1052-$B$4)/($B$6/SQRT($B$7))</f>
        <v>0.606382555019609</v>
      </c>
      <c r="E1052" s="0" t="str">
        <f aca="false">IF(OR(AND($B$9="superior",D1052&gt;$B$10),AND($B$9="inferior",D1052&lt;-$B$10)),"Rechazar H0","No rechazar H0")</f>
        <v>No rechazar H0</v>
      </c>
      <c r="F1052" s="0" t="str">
        <f aca="false">IF(AND(B1052="H0 verdadera",E1052="Rechazar H0"),"Error tipo I",IF(AND(B1052="Ha verdadera",E1052="No rechazar H0"),"Error tipo II","Decisión correcta"))</f>
        <v>Decisión correcta</v>
      </c>
    </row>
    <row r="1053" customFormat="false" ht="15" hidden="false" customHeight="false" outlineLevel="0" collapsed="false">
      <c r="A1053" s="0" t="n">
        <v>1032</v>
      </c>
      <c r="B1053" s="0" t="s">
        <v>86</v>
      </c>
      <c r="C1053" s="17" t="n">
        <v>-0.0974502771410885</v>
      </c>
      <c r="D1053" s="17" t="n">
        <f aca="false">(C1053-$B$4)/($B$6/SQRT($B$7))</f>
        <v>-0.487251385705442</v>
      </c>
      <c r="E1053" s="0" t="str">
        <f aca="false">IF(OR(AND($B$9="superior",D1053&gt;$B$10),AND($B$9="inferior",D1053&lt;-$B$10)),"Rechazar H0","No rechazar H0")</f>
        <v>No rechazar H0</v>
      </c>
      <c r="F1053" s="0" t="str">
        <f aca="false">IF(AND(B1053="H0 verdadera",E1053="Rechazar H0"),"Error tipo I",IF(AND(B1053="Ha verdadera",E1053="No rechazar H0"),"Error tipo II","Decisión correcta"))</f>
        <v>Error tipo II</v>
      </c>
    </row>
    <row r="1054" customFormat="false" ht="15" hidden="false" customHeight="false" outlineLevel="0" collapsed="false">
      <c r="A1054" s="0" t="n">
        <v>1033</v>
      </c>
      <c r="B1054" s="0" t="s">
        <v>85</v>
      </c>
      <c r="C1054" s="17" t="n">
        <v>-0.0257116057563126</v>
      </c>
      <c r="D1054" s="17" t="n">
        <f aca="false">(C1054-$B$4)/($B$6/SQRT($B$7))</f>
        <v>-0.128558028781563</v>
      </c>
      <c r="E1054" s="0" t="str">
        <f aca="false">IF(OR(AND($B$9="superior",D1054&gt;$B$10),AND($B$9="inferior",D1054&lt;-$B$10)),"Rechazar H0","No rechazar H0")</f>
        <v>No rechazar H0</v>
      </c>
      <c r="F1054" s="0" t="str">
        <f aca="false">IF(AND(B1054="H0 verdadera",E1054="Rechazar H0"),"Error tipo I",IF(AND(B1054="Ha verdadera",E1054="No rechazar H0"),"Error tipo II","Decisión correcta"))</f>
        <v>Decisión correcta</v>
      </c>
    </row>
    <row r="1055" customFormat="false" ht="15" hidden="false" customHeight="false" outlineLevel="0" collapsed="false">
      <c r="A1055" s="0" t="n">
        <v>1034</v>
      </c>
      <c r="B1055" s="0" t="s">
        <v>86</v>
      </c>
      <c r="C1055" s="17" t="n">
        <v>-0.333132063843184</v>
      </c>
      <c r="D1055" s="17" t="n">
        <f aca="false">(C1055-$B$4)/($B$6/SQRT($B$7))</f>
        <v>-1.66566031921592</v>
      </c>
      <c r="E1055" s="0" t="str">
        <f aca="false">IF(OR(AND($B$9="superior",D1055&gt;$B$10),AND($B$9="inferior",D1055&lt;-$B$10)),"Rechazar H0","No rechazar H0")</f>
        <v>Rechazar H0</v>
      </c>
      <c r="F1055" s="0" t="str">
        <f aca="false">IF(AND(B1055="H0 verdadera",E1055="Rechazar H0"),"Error tipo I",IF(AND(B1055="Ha verdadera",E1055="No rechazar H0"),"Error tipo II","Decisión correcta"))</f>
        <v>Decisión correcta</v>
      </c>
    </row>
    <row r="1056" customFormat="false" ht="15" hidden="false" customHeight="false" outlineLevel="0" collapsed="false">
      <c r="A1056" s="0" t="n">
        <v>1035</v>
      </c>
      <c r="B1056" s="0" t="s">
        <v>86</v>
      </c>
      <c r="C1056" s="17" t="n">
        <v>-0.538096845543408</v>
      </c>
      <c r="D1056" s="17" t="n">
        <f aca="false">(C1056-$B$4)/($B$6/SQRT($B$7))</f>
        <v>-2.69048422771704</v>
      </c>
      <c r="E1056" s="0" t="str">
        <f aca="false">IF(OR(AND($B$9="superior",D1056&gt;$B$10),AND($B$9="inferior",D1056&lt;-$B$10)),"Rechazar H0","No rechazar H0")</f>
        <v>Rechazar H0</v>
      </c>
      <c r="F1056" s="0" t="str">
        <f aca="false">IF(AND(B1056="H0 verdadera",E1056="Rechazar H0"),"Error tipo I",IF(AND(B1056="Ha verdadera",E1056="No rechazar H0"),"Error tipo II","Decisión correcta"))</f>
        <v>Decisión correcta</v>
      </c>
    </row>
    <row r="1057" customFormat="false" ht="15" hidden="false" customHeight="false" outlineLevel="0" collapsed="false">
      <c r="A1057" s="0" t="n">
        <v>1036</v>
      </c>
      <c r="B1057" s="0" t="s">
        <v>86</v>
      </c>
      <c r="C1057" s="17" t="n">
        <v>0.0278464444471457</v>
      </c>
      <c r="D1057" s="17" t="n">
        <f aca="false">(C1057-$B$4)/($B$6/SQRT($B$7))</f>
        <v>0.139232222235728</v>
      </c>
      <c r="E1057" s="0" t="str">
        <f aca="false">IF(OR(AND($B$9="superior",D1057&gt;$B$10),AND($B$9="inferior",D1057&lt;-$B$10)),"Rechazar H0","No rechazar H0")</f>
        <v>No rechazar H0</v>
      </c>
      <c r="F1057" s="0" t="str">
        <f aca="false">IF(AND(B1057="H0 verdadera",E1057="Rechazar H0"),"Error tipo I",IF(AND(B1057="Ha verdadera",E1057="No rechazar H0"),"Error tipo II","Decisión correcta"))</f>
        <v>Error tipo II</v>
      </c>
    </row>
    <row r="1058" customFormat="false" ht="15" hidden="false" customHeight="false" outlineLevel="0" collapsed="false">
      <c r="A1058" s="0" t="n">
        <v>1037</v>
      </c>
      <c r="B1058" s="0" t="s">
        <v>85</v>
      </c>
      <c r="C1058" s="17" t="n">
        <v>0.0315537092211855</v>
      </c>
      <c r="D1058" s="17" t="n">
        <f aca="false">(C1058-$B$4)/($B$6/SQRT($B$7))</f>
        <v>0.157768546105928</v>
      </c>
      <c r="E1058" s="0" t="str">
        <f aca="false">IF(OR(AND($B$9="superior",D1058&gt;$B$10),AND($B$9="inferior",D1058&lt;-$B$10)),"Rechazar H0","No rechazar H0")</f>
        <v>No rechazar H0</v>
      </c>
      <c r="F1058" s="0" t="str">
        <f aca="false">IF(AND(B1058="H0 verdadera",E1058="Rechazar H0"),"Error tipo I",IF(AND(B1058="Ha verdadera",E1058="No rechazar H0"),"Error tipo II","Decisión correcta"))</f>
        <v>Decisión correcta</v>
      </c>
    </row>
    <row r="1059" customFormat="false" ht="15" hidden="false" customHeight="false" outlineLevel="0" collapsed="false">
      <c r="A1059" s="0" t="n">
        <v>1038</v>
      </c>
      <c r="B1059" s="0" t="s">
        <v>85</v>
      </c>
      <c r="C1059" s="17" t="n">
        <v>-0.0200191560852141</v>
      </c>
      <c r="D1059" s="17" t="n">
        <f aca="false">(C1059-$B$4)/($B$6/SQRT($B$7))</f>
        <v>-0.100095780426071</v>
      </c>
      <c r="E1059" s="0" t="str">
        <f aca="false">IF(OR(AND($B$9="superior",D1059&gt;$B$10),AND($B$9="inferior",D1059&lt;-$B$10)),"Rechazar H0","No rechazar H0")</f>
        <v>No rechazar H0</v>
      </c>
      <c r="F1059" s="0" t="str">
        <f aca="false">IF(AND(B1059="H0 verdadera",E1059="Rechazar H0"),"Error tipo I",IF(AND(B1059="Ha verdadera",E1059="No rechazar H0"),"Error tipo II","Decisión correcta"))</f>
        <v>Decisión correcta</v>
      </c>
    </row>
    <row r="1060" customFormat="false" ht="15" hidden="false" customHeight="false" outlineLevel="0" collapsed="false">
      <c r="A1060" s="0" t="n">
        <v>1039</v>
      </c>
      <c r="B1060" s="0" t="s">
        <v>86</v>
      </c>
      <c r="C1060" s="17" t="n">
        <v>-0.413571430889719</v>
      </c>
      <c r="D1060" s="17" t="n">
        <f aca="false">(C1060-$B$4)/($B$6/SQRT($B$7))</f>
        <v>-2.06785715444859</v>
      </c>
      <c r="E1060" s="0" t="str">
        <f aca="false">IF(OR(AND($B$9="superior",D1060&gt;$B$10),AND($B$9="inferior",D1060&lt;-$B$10)),"Rechazar H0","No rechazar H0")</f>
        <v>Rechazar H0</v>
      </c>
      <c r="F1060" s="0" t="str">
        <f aca="false">IF(AND(B1060="H0 verdadera",E1060="Rechazar H0"),"Error tipo I",IF(AND(B1060="Ha verdadera",E1060="No rechazar H0"),"Error tipo II","Decisión correcta"))</f>
        <v>Decisión correcta</v>
      </c>
    </row>
    <row r="1061" customFormat="false" ht="15" hidden="false" customHeight="false" outlineLevel="0" collapsed="false">
      <c r="A1061" s="0" t="n">
        <v>1040</v>
      </c>
      <c r="B1061" s="0" t="s">
        <v>85</v>
      </c>
      <c r="C1061" s="17" t="n">
        <v>0.18025986806075</v>
      </c>
      <c r="D1061" s="17" t="n">
        <f aca="false">(C1061-$B$4)/($B$6/SQRT($B$7))</f>
        <v>0.901299340303749</v>
      </c>
      <c r="E1061" s="0" t="str">
        <f aca="false">IF(OR(AND($B$9="superior",D1061&gt;$B$10),AND($B$9="inferior",D1061&lt;-$B$10)),"Rechazar H0","No rechazar H0")</f>
        <v>No rechazar H0</v>
      </c>
      <c r="F1061" s="0" t="str">
        <f aca="false">IF(AND(B1061="H0 verdadera",E1061="Rechazar H0"),"Error tipo I",IF(AND(B1061="Ha verdadera",E1061="No rechazar H0"),"Error tipo II","Decisión correcta"))</f>
        <v>Decisión correcta</v>
      </c>
    </row>
    <row r="1062" customFormat="false" ht="15" hidden="false" customHeight="false" outlineLevel="0" collapsed="false">
      <c r="A1062" s="0" t="n">
        <v>1041</v>
      </c>
      <c r="B1062" s="0" t="s">
        <v>86</v>
      </c>
      <c r="C1062" s="17" t="n">
        <v>-0.421343206048286</v>
      </c>
      <c r="D1062" s="17" t="n">
        <f aca="false">(C1062-$B$4)/($B$6/SQRT($B$7))</f>
        <v>-2.10671603024143</v>
      </c>
      <c r="E1062" s="0" t="str">
        <f aca="false">IF(OR(AND($B$9="superior",D1062&gt;$B$10),AND($B$9="inferior",D1062&lt;-$B$10)),"Rechazar H0","No rechazar H0")</f>
        <v>Rechazar H0</v>
      </c>
      <c r="F1062" s="0" t="str">
        <f aca="false">IF(AND(B1062="H0 verdadera",E1062="Rechazar H0"),"Error tipo I",IF(AND(B1062="Ha verdadera",E1062="No rechazar H0"),"Error tipo II","Decisión correcta"))</f>
        <v>Decisión correcta</v>
      </c>
    </row>
    <row r="1063" customFormat="false" ht="15" hidden="false" customHeight="false" outlineLevel="0" collapsed="false">
      <c r="A1063" s="0" t="n">
        <v>1042</v>
      </c>
      <c r="B1063" s="0" t="s">
        <v>86</v>
      </c>
      <c r="C1063" s="17" t="n">
        <v>-0.340987205585988</v>
      </c>
      <c r="D1063" s="17" t="n">
        <f aca="false">(C1063-$B$4)/($B$6/SQRT($B$7))</f>
        <v>-1.70493602792994</v>
      </c>
      <c r="E1063" s="0" t="str">
        <f aca="false">IF(OR(AND($B$9="superior",D1063&gt;$B$10),AND($B$9="inferior",D1063&lt;-$B$10)),"Rechazar H0","No rechazar H0")</f>
        <v>Rechazar H0</v>
      </c>
      <c r="F1063" s="0" t="str">
        <f aca="false">IF(AND(B1063="H0 verdadera",E1063="Rechazar H0"),"Error tipo I",IF(AND(B1063="Ha verdadera",E1063="No rechazar H0"),"Error tipo II","Decisión correcta"))</f>
        <v>Decisión correcta</v>
      </c>
    </row>
    <row r="1064" customFormat="false" ht="15" hidden="false" customHeight="false" outlineLevel="0" collapsed="false">
      <c r="A1064" s="0" t="n">
        <v>1043</v>
      </c>
      <c r="B1064" s="0" t="s">
        <v>86</v>
      </c>
      <c r="C1064" s="17" t="n">
        <v>-0.256409162054215</v>
      </c>
      <c r="D1064" s="17" t="n">
        <f aca="false">(C1064-$B$4)/($B$6/SQRT($B$7))</f>
        <v>-1.28204581027108</v>
      </c>
      <c r="E1064" s="0" t="str">
        <f aca="false">IF(OR(AND($B$9="superior",D1064&gt;$B$10),AND($B$9="inferior",D1064&lt;-$B$10)),"Rechazar H0","No rechazar H0")</f>
        <v>No rechazar H0</v>
      </c>
      <c r="F1064" s="0" t="str">
        <f aca="false">IF(AND(B1064="H0 verdadera",E1064="Rechazar H0"),"Error tipo I",IF(AND(B1064="Ha verdadera",E1064="No rechazar H0"),"Error tipo II","Decisión correcta"))</f>
        <v>Error tipo II</v>
      </c>
    </row>
    <row r="1065" customFormat="false" ht="15" hidden="false" customHeight="false" outlineLevel="0" collapsed="false">
      <c r="A1065" s="0" t="n">
        <v>1044</v>
      </c>
      <c r="B1065" s="0" t="s">
        <v>86</v>
      </c>
      <c r="C1065" s="17" t="n">
        <v>-0.537070424932834</v>
      </c>
      <c r="D1065" s="17" t="n">
        <f aca="false">(C1065-$B$4)/($B$6/SQRT($B$7))</f>
        <v>-2.68535212466417</v>
      </c>
      <c r="E1065" s="0" t="str">
        <f aca="false">IF(OR(AND($B$9="superior",D1065&gt;$B$10),AND($B$9="inferior",D1065&lt;-$B$10)),"Rechazar H0","No rechazar H0")</f>
        <v>Rechazar H0</v>
      </c>
      <c r="F1065" s="0" t="str">
        <f aca="false">IF(AND(B1065="H0 verdadera",E1065="Rechazar H0"),"Error tipo I",IF(AND(B1065="Ha verdadera",E1065="No rechazar H0"),"Error tipo II","Decisión correcta"))</f>
        <v>Decisión correcta</v>
      </c>
    </row>
    <row r="1066" customFormat="false" ht="15" hidden="false" customHeight="false" outlineLevel="0" collapsed="false">
      <c r="A1066" s="0" t="n">
        <v>1045</v>
      </c>
      <c r="B1066" s="0" t="s">
        <v>86</v>
      </c>
      <c r="C1066" s="17" t="n">
        <v>-0.357837050246512</v>
      </c>
      <c r="D1066" s="17" t="n">
        <f aca="false">(C1066-$B$4)/($B$6/SQRT($B$7))</f>
        <v>-1.78918525123256</v>
      </c>
      <c r="E1066" s="0" t="str">
        <f aca="false">IF(OR(AND($B$9="superior",D1066&gt;$B$10),AND($B$9="inferior",D1066&lt;-$B$10)),"Rechazar H0","No rechazar H0")</f>
        <v>Rechazar H0</v>
      </c>
      <c r="F1066" s="0" t="str">
        <f aca="false">IF(AND(B1066="H0 verdadera",E1066="Rechazar H0"),"Error tipo I",IF(AND(B1066="Ha verdadera",E1066="No rechazar H0"),"Error tipo II","Decisión correcta"))</f>
        <v>Decisión correcta</v>
      </c>
    </row>
    <row r="1067" customFormat="false" ht="15" hidden="false" customHeight="false" outlineLevel="0" collapsed="false">
      <c r="A1067" s="0" t="n">
        <v>1046</v>
      </c>
      <c r="B1067" s="0" t="s">
        <v>85</v>
      </c>
      <c r="C1067" s="17" t="n">
        <v>-0.355235892373619</v>
      </c>
      <c r="D1067" s="17" t="n">
        <f aca="false">(C1067-$B$4)/($B$6/SQRT($B$7))</f>
        <v>-1.77617946186809</v>
      </c>
      <c r="E1067" s="0" t="str">
        <f aca="false">IF(OR(AND($B$9="superior",D1067&gt;$B$10),AND($B$9="inferior",D1067&lt;-$B$10)),"Rechazar H0","No rechazar H0")</f>
        <v>Rechazar H0</v>
      </c>
      <c r="F1067" s="0" t="str">
        <f aca="false">IF(AND(B1067="H0 verdadera",E1067="Rechazar H0"),"Error tipo I",IF(AND(B1067="Ha verdadera",E1067="No rechazar H0"),"Error tipo II","Decisión correcta"))</f>
        <v>Error tipo I</v>
      </c>
    </row>
    <row r="1068" customFormat="false" ht="15" hidden="false" customHeight="false" outlineLevel="0" collapsed="false">
      <c r="A1068" s="0" t="n">
        <v>1047</v>
      </c>
      <c r="B1068" s="0" t="s">
        <v>86</v>
      </c>
      <c r="C1068" s="17" t="n">
        <v>-0.600618392061487</v>
      </c>
      <c r="D1068" s="17" t="n">
        <f aca="false">(C1068-$B$4)/($B$6/SQRT($B$7))</f>
        <v>-3.00309196030743</v>
      </c>
      <c r="E1068" s="0" t="str">
        <f aca="false">IF(OR(AND($B$9="superior",D1068&gt;$B$10),AND($B$9="inferior",D1068&lt;-$B$10)),"Rechazar H0","No rechazar H0")</f>
        <v>Rechazar H0</v>
      </c>
      <c r="F1068" s="0" t="str">
        <f aca="false">IF(AND(B1068="H0 verdadera",E1068="Rechazar H0"),"Error tipo I",IF(AND(B1068="Ha verdadera",E1068="No rechazar H0"),"Error tipo II","Decisión correcta"))</f>
        <v>Decisión correcta</v>
      </c>
    </row>
    <row r="1069" customFormat="false" ht="15" hidden="false" customHeight="false" outlineLevel="0" collapsed="false">
      <c r="A1069" s="0" t="n">
        <v>1048</v>
      </c>
      <c r="B1069" s="0" t="s">
        <v>85</v>
      </c>
      <c r="C1069" s="17" t="n">
        <v>0.0756687387044135</v>
      </c>
      <c r="D1069" s="17" t="n">
        <f aca="false">(C1069-$B$4)/($B$6/SQRT($B$7))</f>
        <v>0.378343693522068</v>
      </c>
      <c r="E1069" s="0" t="str">
        <f aca="false">IF(OR(AND($B$9="superior",D1069&gt;$B$10),AND($B$9="inferior",D1069&lt;-$B$10)),"Rechazar H0","No rechazar H0")</f>
        <v>No rechazar H0</v>
      </c>
      <c r="F1069" s="0" t="str">
        <f aca="false">IF(AND(B1069="H0 verdadera",E1069="Rechazar H0"),"Error tipo I",IF(AND(B1069="Ha verdadera",E1069="No rechazar H0"),"Error tipo II","Decisión correcta"))</f>
        <v>Decisión correcta</v>
      </c>
    </row>
    <row r="1070" customFormat="false" ht="15" hidden="false" customHeight="false" outlineLevel="0" collapsed="false">
      <c r="A1070" s="0" t="n">
        <v>1049</v>
      </c>
      <c r="B1070" s="0" t="s">
        <v>86</v>
      </c>
      <c r="C1070" s="17" t="n">
        <v>-0.341134632145293</v>
      </c>
      <c r="D1070" s="17" t="n">
        <f aca="false">(C1070-$B$4)/($B$6/SQRT($B$7))</f>
        <v>-1.70567316072647</v>
      </c>
      <c r="E1070" s="0" t="str">
        <f aca="false">IF(OR(AND($B$9="superior",D1070&gt;$B$10),AND($B$9="inferior",D1070&lt;-$B$10)),"Rechazar H0","No rechazar H0")</f>
        <v>Rechazar H0</v>
      </c>
      <c r="F1070" s="0" t="str">
        <f aca="false">IF(AND(B1070="H0 verdadera",E1070="Rechazar H0"),"Error tipo I",IF(AND(B1070="Ha verdadera",E1070="No rechazar H0"),"Error tipo II","Decisión correcta"))</f>
        <v>Decisión correcta</v>
      </c>
    </row>
    <row r="1071" customFormat="false" ht="15" hidden="false" customHeight="false" outlineLevel="0" collapsed="false">
      <c r="A1071" s="0" t="n">
        <v>1050</v>
      </c>
      <c r="B1071" s="0" t="s">
        <v>86</v>
      </c>
      <c r="C1071" s="17" t="n">
        <v>-0.373431771617407</v>
      </c>
      <c r="D1071" s="17" t="n">
        <f aca="false">(C1071-$B$4)/($B$6/SQRT($B$7))</f>
        <v>-1.86715885808704</v>
      </c>
      <c r="E1071" s="0" t="str">
        <f aca="false">IF(OR(AND($B$9="superior",D1071&gt;$B$10),AND($B$9="inferior",D1071&lt;-$B$10)),"Rechazar H0","No rechazar H0")</f>
        <v>Rechazar H0</v>
      </c>
      <c r="F1071" s="0" t="str">
        <f aca="false">IF(AND(B1071="H0 verdadera",E1071="Rechazar H0"),"Error tipo I",IF(AND(B1071="Ha verdadera",E1071="No rechazar H0"),"Error tipo II","Decisión correcta"))</f>
        <v>Decisión correcta</v>
      </c>
    </row>
    <row r="1072" customFormat="false" ht="15" hidden="false" customHeight="false" outlineLevel="0" collapsed="false">
      <c r="A1072" s="0" t="n">
        <v>1051</v>
      </c>
      <c r="B1072" s="0" t="s">
        <v>85</v>
      </c>
      <c r="C1072" s="17" t="n">
        <v>0.0403053536263146</v>
      </c>
      <c r="D1072" s="17" t="n">
        <f aca="false">(C1072-$B$4)/($B$6/SQRT($B$7))</f>
        <v>0.201526768131573</v>
      </c>
      <c r="E1072" s="0" t="str">
        <f aca="false">IF(OR(AND($B$9="superior",D1072&gt;$B$10),AND($B$9="inferior",D1072&lt;-$B$10)),"Rechazar H0","No rechazar H0")</f>
        <v>No rechazar H0</v>
      </c>
      <c r="F1072" s="0" t="str">
        <f aca="false">IF(AND(B1072="H0 verdadera",E1072="Rechazar H0"),"Error tipo I",IF(AND(B1072="Ha verdadera",E1072="No rechazar H0"),"Error tipo II","Decisión correcta"))</f>
        <v>Decisión correcta</v>
      </c>
    </row>
    <row r="1073" customFormat="false" ht="15" hidden="false" customHeight="false" outlineLevel="0" collapsed="false">
      <c r="A1073" s="0" t="n">
        <v>1052</v>
      </c>
      <c r="B1073" s="0" t="s">
        <v>85</v>
      </c>
      <c r="C1073" s="17" t="n">
        <v>-0.114612474951121</v>
      </c>
      <c r="D1073" s="17" t="n">
        <f aca="false">(C1073-$B$4)/($B$6/SQRT($B$7))</f>
        <v>-0.573062374755607</v>
      </c>
      <c r="E1073" s="0" t="str">
        <f aca="false">IF(OR(AND($B$9="superior",D1073&gt;$B$10),AND($B$9="inferior",D1073&lt;-$B$10)),"Rechazar H0","No rechazar H0")</f>
        <v>No rechazar H0</v>
      </c>
      <c r="F1073" s="0" t="str">
        <f aca="false">IF(AND(B1073="H0 verdadera",E1073="Rechazar H0"),"Error tipo I",IF(AND(B1073="Ha verdadera",E1073="No rechazar H0"),"Error tipo II","Decisión correcta"))</f>
        <v>Decisión correcta</v>
      </c>
    </row>
    <row r="1074" customFormat="false" ht="15" hidden="false" customHeight="false" outlineLevel="0" collapsed="false">
      <c r="A1074" s="0" t="n">
        <v>1053</v>
      </c>
      <c r="B1074" s="0" t="s">
        <v>86</v>
      </c>
      <c r="C1074" s="17" t="n">
        <v>-0.261246007332168</v>
      </c>
      <c r="D1074" s="17" t="n">
        <f aca="false">(C1074-$B$4)/($B$6/SQRT($B$7))</f>
        <v>-1.30623003666084</v>
      </c>
      <c r="E1074" s="0" t="str">
        <f aca="false">IF(OR(AND($B$9="superior",D1074&gt;$B$10),AND($B$9="inferior",D1074&lt;-$B$10)),"Rechazar H0","No rechazar H0")</f>
        <v>No rechazar H0</v>
      </c>
      <c r="F1074" s="0" t="str">
        <f aca="false">IF(AND(B1074="H0 verdadera",E1074="Rechazar H0"),"Error tipo I",IF(AND(B1074="Ha verdadera",E1074="No rechazar H0"),"Error tipo II","Decisión correcta"))</f>
        <v>Error tipo II</v>
      </c>
    </row>
    <row r="1075" customFormat="false" ht="15" hidden="false" customHeight="false" outlineLevel="0" collapsed="false">
      <c r="A1075" s="0" t="n">
        <v>1054</v>
      </c>
      <c r="B1075" s="0" t="s">
        <v>86</v>
      </c>
      <c r="C1075" s="17" t="n">
        <v>-0.608415292380387</v>
      </c>
      <c r="D1075" s="17" t="n">
        <f aca="false">(C1075-$B$4)/($B$6/SQRT($B$7))</f>
        <v>-3.04207646190193</v>
      </c>
      <c r="E1075" s="0" t="str">
        <f aca="false">IF(OR(AND($B$9="superior",D1075&gt;$B$10),AND($B$9="inferior",D1075&lt;-$B$10)),"Rechazar H0","No rechazar H0")</f>
        <v>Rechazar H0</v>
      </c>
      <c r="F1075" s="0" t="str">
        <f aca="false">IF(AND(B1075="H0 verdadera",E1075="Rechazar H0"),"Error tipo I",IF(AND(B1075="Ha verdadera",E1075="No rechazar H0"),"Error tipo II","Decisión correcta"))</f>
        <v>Decisión correcta</v>
      </c>
    </row>
    <row r="1076" customFormat="false" ht="15" hidden="false" customHeight="false" outlineLevel="0" collapsed="false">
      <c r="A1076" s="0" t="n">
        <v>1055</v>
      </c>
      <c r="B1076" s="0" t="s">
        <v>85</v>
      </c>
      <c r="C1076" s="17" t="n">
        <v>0.0104311434246762</v>
      </c>
      <c r="D1076" s="17" t="n">
        <f aca="false">(C1076-$B$4)/($B$6/SQRT($B$7))</f>
        <v>0.0521557171233808</v>
      </c>
      <c r="E1076" s="0" t="str">
        <f aca="false">IF(OR(AND($B$9="superior",D1076&gt;$B$10),AND($B$9="inferior",D1076&lt;-$B$10)),"Rechazar H0","No rechazar H0")</f>
        <v>No rechazar H0</v>
      </c>
      <c r="F1076" s="0" t="str">
        <f aca="false">IF(AND(B1076="H0 verdadera",E1076="Rechazar H0"),"Error tipo I",IF(AND(B1076="Ha verdadera",E1076="No rechazar H0"),"Error tipo II","Decisión correcta"))</f>
        <v>Decisión correcta</v>
      </c>
    </row>
    <row r="1077" customFormat="false" ht="15" hidden="false" customHeight="false" outlineLevel="0" collapsed="false">
      <c r="A1077" s="0" t="n">
        <v>1056</v>
      </c>
      <c r="B1077" s="0" t="s">
        <v>85</v>
      </c>
      <c r="C1077" s="17" t="n">
        <v>-0.0302551779183435</v>
      </c>
      <c r="D1077" s="17" t="n">
        <f aca="false">(C1077-$B$4)/($B$6/SQRT($B$7))</f>
        <v>-0.151275889591718</v>
      </c>
      <c r="E1077" s="0" t="str">
        <f aca="false">IF(OR(AND($B$9="superior",D1077&gt;$B$10),AND($B$9="inferior",D1077&lt;-$B$10)),"Rechazar H0","No rechazar H0")</f>
        <v>No rechazar H0</v>
      </c>
      <c r="F1077" s="0" t="str">
        <f aca="false">IF(AND(B1077="H0 verdadera",E1077="Rechazar H0"),"Error tipo I",IF(AND(B1077="Ha verdadera",E1077="No rechazar H0"),"Error tipo II","Decisión correcta"))</f>
        <v>Decisión correcta</v>
      </c>
    </row>
    <row r="1078" customFormat="false" ht="15" hidden="false" customHeight="false" outlineLevel="0" collapsed="false">
      <c r="A1078" s="0" t="n">
        <v>1057</v>
      </c>
      <c r="B1078" s="0" t="s">
        <v>86</v>
      </c>
      <c r="C1078" s="17" t="n">
        <v>-0.267775848114429</v>
      </c>
      <c r="D1078" s="17" t="n">
        <f aca="false">(C1078-$B$4)/($B$6/SQRT($B$7))</f>
        <v>-1.33887924057214</v>
      </c>
      <c r="E1078" s="0" t="str">
        <f aca="false">IF(OR(AND($B$9="superior",D1078&gt;$B$10),AND($B$9="inferior",D1078&lt;-$B$10)),"Rechazar H0","No rechazar H0")</f>
        <v>No rechazar H0</v>
      </c>
      <c r="F1078" s="0" t="str">
        <f aca="false">IF(AND(B1078="H0 verdadera",E1078="Rechazar H0"),"Error tipo I",IF(AND(B1078="Ha verdadera",E1078="No rechazar H0"),"Error tipo II","Decisión correcta"))</f>
        <v>Error tipo II</v>
      </c>
    </row>
    <row r="1079" customFormat="false" ht="15" hidden="false" customHeight="false" outlineLevel="0" collapsed="false">
      <c r="A1079" s="0" t="n">
        <v>1058</v>
      </c>
      <c r="B1079" s="0" t="s">
        <v>86</v>
      </c>
      <c r="C1079" s="17" t="n">
        <v>-0.36798926940149</v>
      </c>
      <c r="D1079" s="17" t="n">
        <f aca="false">(C1079-$B$4)/($B$6/SQRT($B$7))</f>
        <v>-1.83994634700745</v>
      </c>
      <c r="E1079" s="0" t="str">
        <f aca="false">IF(OR(AND($B$9="superior",D1079&gt;$B$10),AND($B$9="inferior",D1079&lt;-$B$10)),"Rechazar H0","No rechazar H0")</f>
        <v>Rechazar H0</v>
      </c>
      <c r="F1079" s="0" t="str">
        <f aca="false">IF(AND(B1079="H0 verdadera",E1079="Rechazar H0"),"Error tipo I",IF(AND(B1079="Ha verdadera",E1079="No rechazar H0"),"Error tipo II","Decisión correcta"))</f>
        <v>Decisión correcta</v>
      </c>
    </row>
    <row r="1080" customFormat="false" ht="15" hidden="false" customHeight="false" outlineLevel="0" collapsed="false">
      <c r="A1080" s="0" t="n">
        <v>1059</v>
      </c>
      <c r="B1080" s="0" t="s">
        <v>85</v>
      </c>
      <c r="C1080" s="17" t="n">
        <v>0.0488280979404977</v>
      </c>
      <c r="D1080" s="17" t="n">
        <f aca="false">(C1080-$B$4)/($B$6/SQRT($B$7))</f>
        <v>0.244140489702488</v>
      </c>
      <c r="E1080" s="0" t="str">
        <f aca="false">IF(OR(AND($B$9="superior",D1080&gt;$B$10),AND($B$9="inferior",D1080&lt;-$B$10)),"Rechazar H0","No rechazar H0")</f>
        <v>No rechazar H0</v>
      </c>
      <c r="F1080" s="0" t="str">
        <f aca="false">IF(AND(B1080="H0 verdadera",E1080="Rechazar H0"),"Error tipo I",IF(AND(B1080="Ha verdadera",E1080="No rechazar H0"),"Error tipo II","Decisión correcta"))</f>
        <v>Decisión correcta</v>
      </c>
    </row>
    <row r="1081" customFormat="false" ht="15" hidden="false" customHeight="false" outlineLevel="0" collapsed="false">
      <c r="A1081" s="0" t="n">
        <v>1060</v>
      </c>
      <c r="B1081" s="0" t="s">
        <v>85</v>
      </c>
      <c r="C1081" s="17" t="n">
        <v>-0.267667736555457</v>
      </c>
      <c r="D1081" s="17" t="n">
        <f aca="false">(C1081-$B$4)/($B$6/SQRT($B$7))</f>
        <v>-1.33833868277729</v>
      </c>
      <c r="E1081" s="0" t="str">
        <f aca="false">IF(OR(AND($B$9="superior",D1081&gt;$B$10),AND($B$9="inferior",D1081&lt;-$B$10)),"Rechazar H0","No rechazar H0")</f>
        <v>No rechazar H0</v>
      </c>
      <c r="F1081" s="0" t="str">
        <f aca="false">IF(AND(B1081="H0 verdadera",E1081="Rechazar H0"),"Error tipo I",IF(AND(B1081="Ha verdadera",E1081="No rechazar H0"),"Error tipo II","Decisión correcta"))</f>
        <v>Decisión correcta</v>
      </c>
    </row>
    <row r="1082" customFormat="false" ht="15" hidden="false" customHeight="false" outlineLevel="0" collapsed="false">
      <c r="A1082" s="0" t="n">
        <v>1061</v>
      </c>
      <c r="B1082" s="0" t="s">
        <v>86</v>
      </c>
      <c r="C1082" s="17" t="n">
        <v>-0.608494319734832</v>
      </c>
      <c r="D1082" s="17" t="n">
        <f aca="false">(C1082-$B$4)/($B$6/SQRT($B$7))</f>
        <v>-3.04247159867416</v>
      </c>
      <c r="E1082" s="0" t="str">
        <f aca="false">IF(OR(AND($B$9="superior",D1082&gt;$B$10),AND($B$9="inferior",D1082&lt;-$B$10)),"Rechazar H0","No rechazar H0")</f>
        <v>Rechazar H0</v>
      </c>
      <c r="F1082" s="0" t="str">
        <f aca="false">IF(AND(B1082="H0 verdadera",E1082="Rechazar H0"),"Error tipo I",IF(AND(B1082="Ha verdadera",E1082="No rechazar H0"),"Error tipo II","Decisión correcta"))</f>
        <v>Decisión correcta</v>
      </c>
    </row>
    <row r="1083" customFormat="false" ht="15" hidden="false" customHeight="false" outlineLevel="0" collapsed="false">
      <c r="A1083" s="0" t="n">
        <v>1062</v>
      </c>
      <c r="B1083" s="0" t="s">
        <v>86</v>
      </c>
      <c r="C1083" s="17" t="n">
        <v>-0.550223889323469</v>
      </c>
      <c r="D1083" s="17" t="n">
        <f aca="false">(C1083-$B$4)/($B$6/SQRT($B$7))</f>
        <v>-2.75111944661734</v>
      </c>
      <c r="E1083" s="0" t="str">
        <f aca="false">IF(OR(AND($B$9="superior",D1083&gt;$B$10),AND($B$9="inferior",D1083&lt;-$B$10)),"Rechazar H0","No rechazar H0")</f>
        <v>Rechazar H0</v>
      </c>
      <c r="F1083" s="0" t="str">
        <f aca="false">IF(AND(B1083="H0 verdadera",E1083="Rechazar H0"),"Error tipo I",IF(AND(B1083="Ha verdadera",E1083="No rechazar H0"),"Error tipo II","Decisión correcta"))</f>
        <v>Decisión correcta</v>
      </c>
    </row>
    <row r="1084" customFormat="false" ht="15" hidden="false" customHeight="false" outlineLevel="0" collapsed="false">
      <c r="A1084" s="0" t="n">
        <v>1063</v>
      </c>
      <c r="B1084" s="0" t="s">
        <v>86</v>
      </c>
      <c r="C1084" s="17" t="n">
        <v>-0.36968434077449</v>
      </c>
      <c r="D1084" s="17" t="n">
        <f aca="false">(C1084-$B$4)/($B$6/SQRT($B$7))</f>
        <v>-1.84842170387245</v>
      </c>
      <c r="E1084" s="0" t="str">
        <f aca="false">IF(OR(AND($B$9="superior",D1084&gt;$B$10),AND($B$9="inferior",D1084&lt;-$B$10)),"Rechazar H0","No rechazar H0")</f>
        <v>Rechazar H0</v>
      </c>
      <c r="F1084" s="0" t="str">
        <f aca="false">IF(AND(B1084="H0 verdadera",E1084="Rechazar H0"),"Error tipo I",IF(AND(B1084="Ha verdadera",E1084="No rechazar H0"),"Error tipo II","Decisión correcta"))</f>
        <v>Decisión correcta</v>
      </c>
    </row>
    <row r="1085" customFormat="false" ht="15" hidden="false" customHeight="false" outlineLevel="0" collapsed="false">
      <c r="A1085" s="0" t="n">
        <v>1064</v>
      </c>
      <c r="B1085" s="0" t="s">
        <v>86</v>
      </c>
      <c r="C1085" s="17" t="n">
        <v>-0.217807600071985</v>
      </c>
      <c r="D1085" s="17" t="n">
        <f aca="false">(C1085-$B$4)/($B$6/SQRT($B$7))</f>
        <v>-1.08903800035993</v>
      </c>
      <c r="E1085" s="0" t="str">
        <f aca="false">IF(OR(AND($B$9="superior",D1085&gt;$B$10),AND($B$9="inferior",D1085&lt;-$B$10)),"Rechazar H0","No rechazar H0")</f>
        <v>No rechazar H0</v>
      </c>
      <c r="F1085" s="0" t="str">
        <f aca="false">IF(AND(B1085="H0 verdadera",E1085="Rechazar H0"),"Error tipo I",IF(AND(B1085="Ha verdadera",E1085="No rechazar H0"),"Error tipo II","Decisión correcta"))</f>
        <v>Error tipo II</v>
      </c>
    </row>
    <row r="1086" customFormat="false" ht="15" hidden="false" customHeight="false" outlineLevel="0" collapsed="false">
      <c r="A1086" s="0" t="n">
        <v>1065</v>
      </c>
      <c r="B1086" s="0" t="s">
        <v>86</v>
      </c>
      <c r="C1086" s="17" t="n">
        <v>-0.601498752216329</v>
      </c>
      <c r="D1086" s="17" t="n">
        <f aca="false">(C1086-$B$4)/($B$6/SQRT($B$7))</f>
        <v>-3.00749376108165</v>
      </c>
      <c r="E1086" s="0" t="str">
        <f aca="false">IF(OR(AND($B$9="superior",D1086&gt;$B$10),AND($B$9="inferior",D1086&lt;-$B$10)),"Rechazar H0","No rechazar H0")</f>
        <v>Rechazar H0</v>
      </c>
      <c r="F1086" s="0" t="str">
        <f aca="false">IF(AND(B1086="H0 verdadera",E1086="Rechazar H0"),"Error tipo I",IF(AND(B1086="Ha verdadera",E1086="No rechazar H0"),"Error tipo II","Decisión correcta"))</f>
        <v>Decisión correcta</v>
      </c>
    </row>
    <row r="1087" customFormat="false" ht="15" hidden="false" customHeight="false" outlineLevel="0" collapsed="false">
      <c r="A1087" s="0" t="n">
        <v>1066</v>
      </c>
      <c r="B1087" s="0" t="s">
        <v>86</v>
      </c>
      <c r="C1087" s="17" t="n">
        <v>-0.400031781938997</v>
      </c>
      <c r="D1087" s="17" t="n">
        <f aca="false">(C1087-$B$4)/($B$6/SQRT($B$7))</f>
        <v>-2.00015890969499</v>
      </c>
      <c r="E1087" s="0" t="str">
        <f aca="false">IF(OR(AND($B$9="superior",D1087&gt;$B$10),AND($B$9="inferior",D1087&lt;-$B$10)),"Rechazar H0","No rechazar H0")</f>
        <v>Rechazar H0</v>
      </c>
      <c r="F1087" s="0" t="str">
        <f aca="false">IF(AND(B1087="H0 verdadera",E1087="Rechazar H0"),"Error tipo I",IF(AND(B1087="Ha verdadera",E1087="No rechazar H0"),"Error tipo II","Decisión correcta"))</f>
        <v>Decisión correcta</v>
      </c>
    </row>
    <row r="1088" customFormat="false" ht="15" hidden="false" customHeight="false" outlineLevel="0" collapsed="false">
      <c r="A1088" s="0" t="n">
        <v>1067</v>
      </c>
      <c r="B1088" s="0" t="s">
        <v>85</v>
      </c>
      <c r="C1088" s="17" t="n">
        <v>0.129477621302303</v>
      </c>
      <c r="D1088" s="17" t="n">
        <f aca="false">(C1088-$B$4)/($B$6/SQRT($B$7))</f>
        <v>0.647388106511513</v>
      </c>
      <c r="E1088" s="0" t="str">
        <f aca="false">IF(OR(AND($B$9="superior",D1088&gt;$B$10),AND($B$9="inferior",D1088&lt;-$B$10)),"Rechazar H0","No rechazar H0")</f>
        <v>No rechazar H0</v>
      </c>
      <c r="F1088" s="0" t="str">
        <f aca="false">IF(AND(B1088="H0 verdadera",E1088="Rechazar H0"),"Error tipo I",IF(AND(B1088="Ha verdadera",E1088="No rechazar H0"),"Error tipo II","Decisión correcta"))</f>
        <v>Decisión correcta</v>
      </c>
    </row>
    <row r="1089" customFormat="false" ht="15" hidden="false" customHeight="false" outlineLevel="0" collapsed="false">
      <c r="A1089" s="0" t="n">
        <v>1068</v>
      </c>
      <c r="B1089" s="0" t="s">
        <v>85</v>
      </c>
      <c r="C1089" s="17" t="n">
        <v>-0.357662945250462</v>
      </c>
      <c r="D1089" s="17" t="n">
        <f aca="false">(C1089-$B$4)/($B$6/SQRT($B$7))</f>
        <v>-1.78831472625231</v>
      </c>
      <c r="E1089" s="0" t="str">
        <f aca="false">IF(OR(AND($B$9="superior",D1089&gt;$B$10),AND($B$9="inferior",D1089&lt;-$B$10)),"Rechazar H0","No rechazar H0")</f>
        <v>Rechazar H0</v>
      </c>
      <c r="F1089" s="0" t="str">
        <f aca="false">IF(AND(B1089="H0 verdadera",E1089="Rechazar H0"),"Error tipo I",IF(AND(B1089="Ha verdadera",E1089="No rechazar H0"),"Error tipo II","Decisión correcta"))</f>
        <v>Error tipo I</v>
      </c>
    </row>
    <row r="1090" customFormat="false" ht="15" hidden="false" customHeight="false" outlineLevel="0" collapsed="false">
      <c r="A1090" s="0" t="n">
        <v>1069</v>
      </c>
      <c r="B1090" s="0" t="s">
        <v>85</v>
      </c>
      <c r="C1090" s="17" t="n">
        <v>-0.117513884129624</v>
      </c>
      <c r="D1090" s="17" t="n">
        <f aca="false">(C1090-$B$4)/($B$6/SQRT($B$7))</f>
        <v>-0.587569420648119</v>
      </c>
      <c r="E1090" s="0" t="str">
        <f aca="false">IF(OR(AND($B$9="superior",D1090&gt;$B$10),AND($B$9="inferior",D1090&lt;-$B$10)),"Rechazar H0","No rechazar H0")</f>
        <v>No rechazar H0</v>
      </c>
      <c r="F1090" s="0" t="str">
        <f aca="false">IF(AND(B1090="H0 verdadera",E1090="Rechazar H0"),"Error tipo I",IF(AND(B1090="Ha verdadera",E1090="No rechazar H0"),"Error tipo II","Decisión correcta"))</f>
        <v>Decisión correcta</v>
      </c>
    </row>
    <row r="1091" customFormat="false" ht="15" hidden="false" customHeight="false" outlineLevel="0" collapsed="false">
      <c r="A1091" s="0" t="n">
        <v>1070</v>
      </c>
      <c r="B1091" s="0" t="s">
        <v>86</v>
      </c>
      <c r="C1091" s="17" t="n">
        <v>-0.350115510751755</v>
      </c>
      <c r="D1091" s="17" t="n">
        <f aca="false">(C1091-$B$4)/($B$6/SQRT($B$7))</f>
        <v>-1.75057755375877</v>
      </c>
      <c r="E1091" s="0" t="str">
        <f aca="false">IF(OR(AND($B$9="superior",D1091&gt;$B$10),AND($B$9="inferior",D1091&lt;-$B$10)),"Rechazar H0","No rechazar H0")</f>
        <v>Rechazar H0</v>
      </c>
      <c r="F1091" s="0" t="str">
        <f aca="false">IF(AND(B1091="H0 verdadera",E1091="Rechazar H0"),"Error tipo I",IF(AND(B1091="Ha verdadera",E1091="No rechazar H0"),"Error tipo II","Decisión correcta"))</f>
        <v>Decisión correcta</v>
      </c>
    </row>
    <row r="1092" customFormat="false" ht="15" hidden="false" customHeight="false" outlineLevel="0" collapsed="false">
      <c r="A1092" s="0" t="n">
        <v>1071</v>
      </c>
      <c r="B1092" s="0" t="s">
        <v>85</v>
      </c>
      <c r="C1092" s="17" t="n">
        <v>-0.00930556073782194</v>
      </c>
      <c r="D1092" s="17" t="n">
        <f aca="false">(C1092-$B$4)/($B$6/SQRT($B$7))</f>
        <v>-0.0465278036891097</v>
      </c>
      <c r="E1092" s="0" t="str">
        <f aca="false">IF(OR(AND($B$9="superior",D1092&gt;$B$10),AND($B$9="inferior",D1092&lt;-$B$10)),"Rechazar H0","No rechazar H0")</f>
        <v>No rechazar H0</v>
      </c>
      <c r="F1092" s="0" t="str">
        <f aca="false">IF(AND(B1092="H0 verdadera",E1092="Rechazar H0"),"Error tipo I",IF(AND(B1092="Ha verdadera",E1092="No rechazar H0"),"Error tipo II","Decisión correcta"))</f>
        <v>Decisión correcta</v>
      </c>
    </row>
    <row r="1093" customFormat="false" ht="15" hidden="false" customHeight="false" outlineLevel="0" collapsed="false">
      <c r="A1093" s="0" t="n">
        <v>1072</v>
      </c>
      <c r="B1093" s="0" t="s">
        <v>86</v>
      </c>
      <c r="C1093" s="17" t="n">
        <v>-0.235364420669456</v>
      </c>
      <c r="D1093" s="17" t="n">
        <f aca="false">(C1093-$B$4)/($B$6/SQRT($B$7))</f>
        <v>-1.17682210334728</v>
      </c>
      <c r="E1093" s="0" t="str">
        <f aca="false">IF(OR(AND($B$9="superior",D1093&gt;$B$10),AND($B$9="inferior",D1093&lt;-$B$10)),"Rechazar H0","No rechazar H0")</f>
        <v>No rechazar H0</v>
      </c>
      <c r="F1093" s="0" t="str">
        <f aca="false">IF(AND(B1093="H0 verdadera",E1093="Rechazar H0"),"Error tipo I",IF(AND(B1093="Ha verdadera",E1093="No rechazar H0"),"Error tipo II","Decisión correcta"))</f>
        <v>Error tipo II</v>
      </c>
    </row>
    <row r="1094" customFormat="false" ht="15" hidden="false" customHeight="false" outlineLevel="0" collapsed="false">
      <c r="A1094" s="0" t="n">
        <v>1073</v>
      </c>
      <c r="B1094" s="0" t="s">
        <v>85</v>
      </c>
      <c r="C1094" s="17" t="n">
        <v>-0.229876783864074</v>
      </c>
      <c r="D1094" s="17" t="n">
        <f aca="false">(C1094-$B$4)/($B$6/SQRT($B$7))</f>
        <v>-1.14938391932037</v>
      </c>
      <c r="E1094" s="0" t="str">
        <f aca="false">IF(OR(AND($B$9="superior",D1094&gt;$B$10),AND($B$9="inferior",D1094&lt;-$B$10)),"Rechazar H0","No rechazar H0")</f>
        <v>No rechazar H0</v>
      </c>
      <c r="F1094" s="0" t="str">
        <f aca="false">IF(AND(B1094="H0 verdadera",E1094="Rechazar H0"),"Error tipo I",IF(AND(B1094="Ha verdadera",E1094="No rechazar H0"),"Error tipo II","Decisión correcta"))</f>
        <v>Decisión correcta</v>
      </c>
    </row>
    <row r="1095" customFormat="false" ht="15" hidden="false" customHeight="false" outlineLevel="0" collapsed="false">
      <c r="A1095" s="0" t="n">
        <v>1074</v>
      </c>
      <c r="B1095" s="0" t="s">
        <v>86</v>
      </c>
      <c r="C1095" s="17" t="n">
        <v>-0.521663245262385</v>
      </c>
      <c r="D1095" s="17" t="n">
        <f aca="false">(C1095-$B$4)/($B$6/SQRT($B$7))</f>
        <v>-2.60831622631193</v>
      </c>
      <c r="E1095" s="0" t="str">
        <f aca="false">IF(OR(AND($B$9="superior",D1095&gt;$B$10),AND($B$9="inferior",D1095&lt;-$B$10)),"Rechazar H0","No rechazar H0")</f>
        <v>Rechazar H0</v>
      </c>
      <c r="F1095" s="0" t="str">
        <f aca="false">IF(AND(B1095="H0 verdadera",E1095="Rechazar H0"),"Error tipo I",IF(AND(B1095="Ha verdadera",E1095="No rechazar H0"),"Error tipo II","Decisión correcta"))</f>
        <v>Decisión correcta</v>
      </c>
    </row>
    <row r="1096" customFormat="false" ht="15" hidden="false" customHeight="false" outlineLevel="0" collapsed="false">
      <c r="A1096" s="0" t="n">
        <v>1075</v>
      </c>
      <c r="B1096" s="0" t="s">
        <v>85</v>
      </c>
      <c r="C1096" s="17" t="n">
        <v>0.121702566897687</v>
      </c>
      <c r="D1096" s="17" t="n">
        <f aca="false">(C1096-$B$4)/($B$6/SQRT($B$7))</f>
        <v>0.608512834488437</v>
      </c>
      <c r="E1096" s="0" t="str">
        <f aca="false">IF(OR(AND($B$9="superior",D1096&gt;$B$10),AND($B$9="inferior",D1096&lt;-$B$10)),"Rechazar H0","No rechazar H0")</f>
        <v>No rechazar H0</v>
      </c>
      <c r="F1096" s="0" t="str">
        <f aca="false">IF(AND(B1096="H0 verdadera",E1096="Rechazar H0"),"Error tipo I",IF(AND(B1096="Ha verdadera",E1096="No rechazar H0"),"Error tipo II","Decisión correcta"))</f>
        <v>Decisión correcta</v>
      </c>
    </row>
    <row r="1097" customFormat="false" ht="15" hidden="false" customHeight="false" outlineLevel="0" collapsed="false">
      <c r="A1097" s="0" t="n">
        <v>1076</v>
      </c>
      <c r="B1097" s="0" t="s">
        <v>85</v>
      </c>
      <c r="C1097" s="17" t="n">
        <v>-0.0493197050772956</v>
      </c>
      <c r="D1097" s="17" t="n">
        <f aca="false">(C1097-$B$4)/($B$6/SQRT($B$7))</f>
        <v>-0.246598525386478</v>
      </c>
      <c r="E1097" s="0" t="str">
        <f aca="false">IF(OR(AND($B$9="superior",D1097&gt;$B$10),AND($B$9="inferior",D1097&lt;-$B$10)),"Rechazar H0","No rechazar H0")</f>
        <v>No rechazar H0</v>
      </c>
      <c r="F1097" s="0" t="str">
        <f aca="false">IF(AND(B1097="H0 verdadera",E1097="Rechazar H0"),"Error tipo I",IF(AND(B1097="Ha verdadera",E1097="No rechazar H0"),"Error tipo II","Decisión correcta"))</f>
        <v>Decisión correcta</v>
      </c>
    </row>
    <row r="1098" customFormat="false" ht="15" hidden="false" customHeight="false" outlineLevel="0" collapsed="false">
      <c r="A1098" s="0" t="n">
        <v>1077</v>
      </c>
      <c r="B1098" s="0" t="s">
        <v>85</v>
      </c>
      <c r="C1098" s="17" t="n">
        <v>0.164745706461171</v>
      </c>
      <c r="D1098" s="17" t="n">
        <f aca="false">(C1098-$B$4)/($B$6/SQRT($B$7))</f>
        <v>0.823728532305854</v>
      </c>
      <c r="E1098" s="0" t="str">
        <f aca="false">IF(OR(AND($B$9="superior",D1098&gt;$B$10),AND($B$9="inferior",D1098&lt;-$B$10)),"Rechazar H0","No rechazar H0")</f>
        <v>No rechazar H0</v>
      </c>
      <c r="F1098" s="0" t="str">
        <f aca="false">IF(AND(B1098="H0 verdadera",E1098="Rechazar H0"),"Error tipo I",IF(AND(B1098="Ha verdadera",E1098="No rechazar H0"),"Error tipo II","Decisión correcta"))</f>
        <v>Decisión correcta</v>
      </c>
    </row>
    <row r="1099" customFormat="false" ht="15" hidden="false" customHeight="false" outlineLevel="0" collapsed="false">
      <c r="A1099" s="0" t="n">
        <v>1078</v>
      </c>
      <c r="B1099" s="0" t="s">
        <v>85</v>
      </c>
      <c r="C1099" s="17" t="n">
        <v>0.202202951800758</v>
      </c>
      <c r="D1099" s="17" t="n">
        <f aca="false">(C1099-$B$4)/($B$6/SQRT($B$7))</f>
        <v>1.01101475900379</v>
      </c>
      <c r="E1099" s="0" t="str">
        <f aca="false">IF(OR(AND($B$9="superior",D1099&gt;$B$10),AND($B$9="inferior",D1099&lt;-$B$10)),"Rechazar H0","No rechazar H0")</f>
        <v>No rechazar H0</v>
      </c>
      <c r="F1099" s="0" t="str">
        <f aca="false">IF(AND(B1099="H0 verdadera",E1099="Rechazar H0"),"Error tipo I",IF(AND(B1099="Ha verdadera",E1099="No rechazar H0"),"Error tipo II","Decisión correcta"))</f>
        <v>Decisión correcta</v>
      </c>
    </row>
    <row r="1100" customFormat="false" ht="15" hidden="false" customHeight="false" outlineLevel="0" collapsed="false">
      <c r="A1100" s="0" t="n">
        <v>1079</v>
      </c>
      <c r="B1100" s="0" t="s">
        <v>85</v>
      </c>
      <c r="C1100" s="17" t="n">
        <v>0.0668395912279849</v>
      </c>
      <c r="D1100" s="17" t="n">
        <f aca="false">(C1100-$B$4)/($B$6/SQRT($B$7))</f>
        <v>0.334197956139925</v>
      </c>
      <c r="E1100" s="0" t="str">
        <f aca="false">IF(OR(AND($B$9="superior",D1100&gt;$B$10),AND($B$9="inferior",D1100&lt;-$B$10)),"Rechazar H0","No rechazar H0")</f>
        <v>No rechazar H0</v>
      </c>
      <c r="F1100" s="0" t="str">
        <f aca="false">IF(AND(B1100="H0 verdadera",E1100="Rechazar H0"),"Error tipo I",IF(AND(B1100="Ha verdadera",E1100="No rechazar H0"),"Error tipo II","Decisión correcta"))</f>
        <v>Decisión correcta</v>
      </c>
    </row>
    <row r="1101" customFormat="false" ht="15" hidden="false" customHeight="false" outlineLevel="0" collapsed="false">
      <c r="A1101" s="0" t="n">
        <v>1080</v>
      </c>
      <c r="B1101" s="0" t="s">
        <v>85</v>
      </c>
      <c r="C1101" s="17" t="n">
        <v>-0.0371496038140199</v>
      </c>
      <c r="D1101" s="17" t="n">
        <f aca="false">(C1101-$B$4)/($B$6/SQRT($B$7))</f>
        <v>-0.185748019070099</v>
      </c>
      <c r="E1101" s="0" t="str">
        <f aca="false">IF(OR(AND($B$9="superior",D1101&gt;$B$10),AND($B$9="inferior",D1101&lt;-$B$10)),"Rechazar H0","No rechazar H0")</f>
        <v>No rechazar H0</v>
      </c>
      <c r="F1101" s="0" t="str">
        <f aca="false">IF(AND(B1101="H0 verdadera",E1101="Rechazar H0"),"Error tipo I",IF(AND(B1101="Ha verdadera",E1101="No rechazar H0"),"Error tipo II","Decisión correcta"))</f>
        <v>Decisión correcta</v>
      </c>
    </row>
    <row r="1102" customFormat="false" ht="15" hidden="false" customHeight="false" outlineLevel="0" collapsed="false">
      <c r="A1102" s="0" t="n">
        <v>1081</v>
      </c>
      <c r="B1102" s="0" t="s">
        <v>86</v>
      </c>
      <c r="C1102" s="17" t="n">
        <v>-0.200158189637273</v>
      </c>
      <c r="D1102" s="17" t="n">
        <f aca="false">(C1102-$B$4)/($B$6/SQRT($B$7))</f>
        <v>-1.00079094818637</v>
      </c>
      <c r="E1102" s="0" t="str">
        <f aca="false">IF(OR(AND($B$9="superior",D1102&gt;$B$10),AND($B$9="inferior",D1102&lt;-$B$10)),"Rechazar H0","No rechazar H0")</f>
        <v>No rechazar H0</v>
      </c>
      <c r="F1102" s="0" t="str">
        <f aca="false">IF(AND(B1102="H0 verdadera",E1102="Rechazar H0"),"Error tipo I",IF(AND(B1102="Ha verdadera",E1102="No rechazar H0"),"Error tipo II","Decisión correcta"))</f>
        <v>Error tipo II</v>
      </c>
    </row>
    <row r="1103" customFormat="false" ht="15" hidden="false" customHeight="false" outlineLevel="0" collapsed="false">
      <c r="A1103" s="0" t="n">
        <v>1082</v>
      </c>
      <c r="B1103" s="0" t="s">
        <v>85</v>
      </c>
      <c r="C1103" s="17" t="n">
        <v>-0.0992111939717015</v>
      </c>
      <c r="D1103" s="17" t="n">
        <f aca="false">(C1103-$B$4)/($B$6/SQRT($B$7))</f>
        <v>-0.496055969858507</v>
      </c>
      <c r="E1103" s="0" t="str">
        <f aca="false">IF(OR(AND($B$9="superior",D1103&gt;$B$10),AND($B$9="inferior",D1103&lt;-$B$10)),"Rechazar H0","No rechazar H0")</f>
        <v>No rechazar H0</v>
      </c>
      <c r="F1103" s="0" t="str">
        <f aca="false">IF(AND(B1103="H0 verdadera",E1103="Rechazar H0"),"Error tipo I",IF(AND(B1103="Ha verdadera",E1103="No rechazar H0"),"Error tipo II","Decisión correcta"))</f>
        <v>Decisión correcta</v>
      </c>
    </row>
    <row r="1104" customFormat="false" ht="15" hidden="false" customHeight="false" outlineLevel="0" collapsed="false">
      <c r="A1104" s="0" t="n">
        <v>1083</v>
      </c>
      <c r="B1104" s="0" t="s">
        <v>86</v>
      </c>
      <c r="C1104" s="17" t="n">
        <v>-0.18312821915109</v>
      </c>
      <c r="D1104" s="17" t="n">
        <f aca="false">(C1104-$B$4)/($B$6/SQRT($B$7))</f>
        <v>-0.915641095755449</v>
      </c>
      <c r="E1104" s="0" t="str">
        <f aca="false">IF(OR(AND($B$9="superior",D1104&gt;$B$10),AND($B$9="inferior",D1104&lt;-$B$10)),"Rechazar H0","No rechazar H0")</f>
        <v>No rechazar H0</v>
      </c>
      <c r="F1104" s="0" t="str">
        <f aca="false">IF(AND(B1104="H0 verdadera",E1104="Rechazar H0"),"Error tipo I",IF(AND(B1104="Ha verdadera",E1104="No rechazar H0"),"Error tipo II","Decisión correcta"))</f>
        <v>Error tipo II</v>
      </c>
    </row>
    <row r="1105" customFormat="false" ht="15" hidden="false" customHeight="false" outlineLevel="0" collapsed="false">
      <c r="A1105" s="0" t="n">
        <v>1084</v>
      </c>
      <c r="B1105" s="0" t="s">
        <v>85</v>
      </c>
      <c r="C1105" s="17" t="n">
        <v>-0.16897105612472</v>
      </c>
      <c r="D1105" s="17" t="n">
        <f aca="false">(C1105-$B$4)/($B$6/SQRT($B$7))</f>
        <v>-0.844855280623602</v>
      </c>
      <c r="E1105" s="0" t="str">
        <f aca="false">IF(OR(AND($B$9="superior",D1105&gt;$B$10),AND($B$9="inferior",D1105&lt;-$B$10)),"Rechazar H0","No rechazar H0")</f>
        <v>No rechazar H0</v>
      </c>
      <c r="F1105" s="0" t="str">
        <f aca="false">IF(AND(B1105="H0 verdadera",E1105="Rechazar H0"),"Error tipo I",IF(AND(B1105="Ha verdadera",E1105="No rechazar H0"),"Error tipo II","Decisión correcta"))</f>
        <v>Decisión correcta</v>
      </c>
    </row>
    <row r="1106" customFormat="false" ht="15" hidden="false" customHeight="false" outlineLevel="0" collapsed="false">
      <c r="A1106" s="0" t="n">
        <v>1085</v>
      </c>
      <c r="B1106" s="0" t="s">
        <v>85</v>
      </c>
      <c r="C1106" s="17" t="n">
        <v>0.550379761141791</v>
      </c>
      <c r="D1106" s="17" t="n">
        <f aca="false">(C1106-$B$4)/($B$6/SQRT($B$7))</f>
        <v>2.75189880570896</v>
      </c>
      <c r="E1106" s="0" t="str">
        <f aca="false">IF(OR(AND($B$9="superior",D1106&gt;$B$10),AND($B$9="inferior",D1106&lt;-$B$10)),"Rechazar H0","No rechazar H0")</f>
        <v>No rechazar H0</v>
      </c>
      <c r="F1106" s="0" t="str">
        <f aca="false">IF(AND(B1106="H0 verdadera",E1106="Rechazar H0"),"Error tipo I",IF(AND(B1106="Ha verdadera",E1106="No rechazar H0"),"Error tipo II","Decisión correcta"))</f>
        <v>Decisión correcta</v>
      </c>
    </row>
    <row r="1107" customFormat="false" ht="15" hidden="false" customHeight="false" outlineLevel="0" collapsed="false">
      <c r="A1107" s="0" t="n">
        <v>1086</v>
      </c>
      <c r="B1107" s="0" t="s">
        <v>86</v>
      </c>
      <c r="C1107" s="17" t="n">
        <v>-0.673023346258269</v>
      </c>
      <c r="D1107" s="17" t="n">
        <f aca="false">(C1107-$B$4)/($B$6/SQRT($B$7))</f>
        <v>-3.36511673129134</v>
      </c>
      <c r="E1107" s="0" t="str">
        <f aca="false">IF(OR(AND($B$9="superior",D1107&gt;$B$10),AND($B$9="inferior",D1107&lt;-$B$10)),"Rechazar H0","No rechazar H0")</f>
        <v>Rechazar H0</v>
      </c>
      <c r="F1107" s="0" t="str">
        <f aca="false">IF(AND(B1107="H0 verdadera",E1107="Rechazar H0"),"Error tipo I",IF(AND(B1107="Ha verdadera",E1107="No rechazar H0"),"Error tipo II","Decisión correcta"))</f>
        <v>Decisión correcta</v>
      </c>
    </row>
    <row r="1108" customFormat="false" ht="15" hidden="false" customHeight="false" outlineLevel="0" collapsed="false">
      <c r="A1108" s="0" t="n">
        <v>1087</v>
      </c>
      <c r="B1108" s="0" t="s">
        <v>85</v>
      </c>
      <c r="C1108" s="17" t="n">
        <v>0.0162391444266665</v>
      </c>
      <c r="D1108" s="17" t="n">
        <f aca="false">(C1108-$B$4)/($B$6/SQRT($B$7))</f>
        <v>0.0811957221333323</v>
      </c>
      <c r="E1108" s="0" t="str">
        <f aca="false">IF(OR(AND($B$9="superior",D1108&gt;$B$10),AND($B$9="inferior",D1108&lt;-$B$10)),"Rechazar H0","No rechazar H0")</f>
        <v>No rechazar H0</v>
      </c>
      <c r="F1108" s="0" t="str">
        <f aca="false">IF(AND(B1108="H0 verdadera",E1108="Rechazar H0"),"Error tipo I",IF(AND(B1108="Ha verdadera",E1108="No rechazar H0"),"Error tipo II","Decisión correcta"))</f>
        <v>Decisión correcta</v>
      </c>
    </row>
    <row r="1109" customFormat="false" ht="15" hidden="false" customHeight="false" outlineLevel="0" collapsed="false">
      <c r="A1109" s="0" t="n">
        <v>1088</v>
      </c>
      <c r="B1109" s="0" t="s">
        <v>85</v>
      </c>
      <c r="C1109" s="17" t="n">
        <v>0.407443946164889</v>
      </c>
      <c r="D1109" s="17" t="n">
        <f aca="false">(C1109-$B$4)/($B$6/SQRT($B$7))</f>
        <v>2.03721973082445</v>
      </c>
      <c r="E1109" s="0" t="str">
        <f aca="false">IF(OR(AND($B$9="superior",D1109&gt;$B$10),AND($B$9="inferior",D1109&lt;-$B$10)),"Rechazar H0","No rechazar H0")</f>
        <v>No rechazar H0</v>
      </c>
      <c r="F1109" s="0" t="str">
        <f aca="false">IF(AND(B1109="H0 verdadera",E1109="Rechazar H0"),"Error tipo I",IF(AND(B1109="Ha verdadera",E1109="No rechazar H0"),"Error tipo II","Decisión correcta"))</f>
        <v>Decisión correcta</v>
      </c>
    </row>
    <row r="1110" customFormat="false" ht="15" hidden="false" customHeight="false" outlineLevel="0" collapsed="false">
      <c r="A1110" s="0" t="n">
        <v>1089</v>
      </c>
      <c r="B1110" s="0" t="s">
        <v>85</v>
      </c>
      <c r="C1110" s="17" t="n">
        <v>0.297977588441546</v>
      </c>
      <c r="D1110" s="17" t="n">
        <f aca="false">(C1110-$B$4)/($B$6/SQRT($B$7))</f>
        <v>1.48988794220773</v>
      </c>
      <c r="E1110" s="0" t="str">
        <f aca="false">IF(OR(AND($B$9="superior",D1110&gt;$B$10),AND($B$9="inferior",D1110&lt;-$B$10)),"Rechazar H0","No rechazar H0")</f>
        <v>No rechazar H0</v>
      </c>
      <c r="F1110" s="0" t="str">
        <f aca="false">IF(AND(B1110="H0 verdadera",E1110="Rechazar H0"),"Error tipo I",IF(AND(B1110="Ha verdadera",E1110="No rechazar H0"),"Error tipo II","Decisión correcta"))</f>
        <v>Decisión correcta</v>
      </c>
    </row>
    <row r="1111" customFormat="false" ht="15" hidden="false" customHeight="false" outlineLevel="0" collapsed="false">
      <c r="A1111" s="0" t="n">
        <v>1090</v>
      </c>
      <c r="B1111" s="0" t="s">
        <v>86</v>
      </c>
      <c r="C1111" s="17" t="n">
        <v>-0.44180697257262</v>
      </c>
      <c r="D1111" s="17" t="n">
        <f aca="false">(C1111-$B$4)/($B$6/SQRT($B$7))</f>
        <v>-2.2090348628631</v>
      </c>
      <c r="E1111" s="0" t="str">
        <f aca="false">IF(OR(AND($B$9="superior",D1111&gt;$B$10),AND($B$9="inferior",D1111&lt;-$B$10)),"Rechazar H0","No rechazar H0")</f>
        <v>Rechazar H0</v>
      </c>
      <c r="F1111" s="0" t="str">
        <f aca="false">IF(AND(B1111="H0 verdadera",E1111="Rechazar H0"),"Error tipo I",IF(AND(B1111="Ha verdadera",E1111="No rechazar H0"),"Error tipo II","Decisión correcta"))</f>
        <v>Decisión correcta</v>
      </c>
    </row>
    <row r="1112" customFormat="false" ht="15" hidden="false" customHeight="false" outlineLevel="0" collapsed="false">
      <c r="A1112" s="0" t="n">
        <v>1091</v>
      </c>
      <c r="B1112" s="0" t="s">
        <v>86</v>
      </c>
      <c r="C1112" s="17" t="n">
        <v>-0.647026616685928</v>
      </c>
      <c r="D1112" s="17" t="n">
        <f aca="false">(C1112-$B$4)/($B$6/SQRT($B$7))</f>
        <v>-3.23513308342964</v>
      </c>
      <c r="E1112" s="0" t="str">
        <f aca="false">IF(OR(AND($B$9="superior",D1112&gt;$B$10),AND($B$9="inferior",D1112&lt;-$B$10)),"Rechazar H0","No rechazar H0")</f>
        <v>Rechazar H0</v>
      </c>
      <c r="F1112" s="0" t="str">
        <f aca="false">IF(AND(B1112="H0 verdadera",E1112="Rechazar H0"),"Error tipo I",IF(AND(B1112="Ha verdadera",E1112="No rechazar H0"),"Error tipo II","Decisión correcta"))</f>
        <v>Decisión correcta</v>
      </c>
    </row>
    <row r="1113" customFormat="false" ht="15" hidden="false" customHeight="false" outlineLevel="0" collapsed="false">
      <c r="A1113" s="0" t="n">
        <v>1092</v>
      </c>
      <c r="B1113" s="0" t="s">
        <v>85</v>
      </c>
      <c r="C1113" s="17" t="n">
        <v>0.0820024134577097</v>
      </c>
      <c r="D1113" s="17" t="n">
        <f aca="false">(C1113-$B$4)/($B$6/SQRT($B$7))</f>
        <v>0.410012067288549</v>
      </c>
      <c r="E1113" s="0" t="str">
        <f aca="false">IF(OR(AND($B$9="superior",D1113&gt;$B$10),AND($B$9="inferior",D1113&lt;-$B$10)),"Rechazar H0","No rechazar H0")</f>
        <v>No rechazar H0</v>
      </c>
      <c r="F1113" s="0" t="str">
        <f aca="false">IF(AND(B1113="H0 verdadera",E1113="Rechazar H0"),"Error tipo I",IF(AND(B1113="Ha verdadera",E1113="No rechazar H0"),"Error tipo II","Decisión correcta"))</f>
        <v>Decisión correcta</v>
      </c>
    </row>
    <row r="1114" customFormat="false" ht="15" hidden="false" customHeight="false" outlineLevel="0" collapsed="false">
      <c r="A1114" s="0" t="n">
        <v>1093</v>
      </c>
      <c r="B1114" s="0" t="s">
        <v>85</v>
      </c>
      <c r="C1114" s="17" t="n">
        <v>0.0751896777455116</v>
      </c>
      <c r="D1114" s="17" t="n">
        <f aca="false">(C1114-$B$4)/($B$6/SQRT($B$7))</f>
        <v>0.375948388727558</v>
      </c>
      <c r="E1114" s="0" t="str">
        <f aca="false">IF(OR(AND($B$9="superior",D1114&gt;$B$10),AND($B$9="inferior",D1114&lt;-$B$10)),"Rechazar H0","No rechazar H0")</f>
        <v>No rechazar H0</v>
      </c>
      <c r="F1114" s="0" t="str">
        <f aca="false">IF(AND(B1114="H0 verdadera",E1114="Rechazar H0"),"Error tipo I",IF(AND(B1114="Ha verdadera",E1114="No rechazar H0"),"Error tipo II","Decisión correcta"))</f>
        <v>Decisión correcta</v>
      </c>
    </row>
    <row r="1115" customFormat="false" ht="15" hidden="false" customHeight="false" outlineLevel="0" collapsed="false">
      <c r="A1115" s="0" t="n">
        <v>1094</v>
      </c>
      <c r="B1115" s="0" t="s">
        <v>85</v>
      </c>
      <c r="C1115" s="17" t="n">
        <v>-0.106815698701537</v>
      </c>
      <c r="D1115" s="17" t="n">
        <f aca="false">(C1115-$B$4)/($B$6/SQRT($B$7))</f>
        <v>-0.534078493507684</v>
      </c>
      <c r="E1115" s="0" t="str">
        <f aca="false">IF(OR(AND($B$9="superior",D1115&gt;$B$10),AND($B$9="inferior",D1115&lt;-$B$10)),"Rechazar H0","No rechazar H0")</f>
        <v>No rechazar H0</v>
      </c>
      <c r="F1115" s="0" t="str">
        <f aca="false">IF(AND(B1115="H0 verdadera",E1115="Rechazar H0"),"Error tipo I",IF(AND(B1115="Ha verdadera",E1115="No rechazar H0"),"Error tipo II","Decisión correcta"))</f>
        <v>Decisión correcta</v>
      </c>
    </row>
    <row r="1116" customFormat="false" ht="15" hidden="false" customHeight="false" outlineLevel="0" collapsed="false">
      <c r="A1116" s="0" t="n">
        <v>1095</v>
      </c>
      <c r="B1116" s="0" t="s">
        <v>85</v>
      </c>
      <c r="C1116" s="17" t="n">
        <v>0.283270849747917</v>
      </c>
      <c r="D1116" s="17" t="n">
        <f aca="false">(C1116-$B$4)/($B$6/SQRT($B$7))</f>
        <v>1.41635424873959</v>
      </c>
      <c r="E1116" s="0" t="str">
        <f aca="false">IF(OR(AND($B$9="superior",D1116&gt;$B$10),AND($B$9="inferior",D1116&lt;-$B$10)),"Rechazar H0","No rechazar H0")</f>
        <v>No rechazar H0</v>
      </c>
      <c r="F1116" s="0" t="str">
        <f aca="false">IF(AND(B1116="H0 verdadera",E1116="Rechazar H0"),"Error tipo I",IF(AND(B1116="Ha verdadera",E1116="No rechazar H0"),"Error tipo II","Decisión correcta"))</f>
        <v>Decisión correcta</v>
      </c>
    </row>
    <row r="1117" customFormat="false" ht="15" hidden="false" customHeight="false" outlineLevel="0" collapsed="false">
      <c r="A1117" s="0" t="n">
        <v>1096</v>
      </c>
      <c r="B1117" s="0" t="s">
        <v>85</v>
      </c>
      <c r="C1117" s="17" t="n">
        <v>-0.282331241299195</v>
      </c>
      <c r="D1117" s="17" t="n">
        <f aca="false">(C1117-$B$4)/($B$6/SQRT($B$7))</f>
        <v>-1.41165620649598</v>
      </c>
      <c r="E1117" s="0" t="str">
        <f aca="false">IF(OR(AND($B$9="superior",D1117&gt;$B$10),AND($B$9="inferior",D1117&lt;-$B$10)),"Rechazar H0","No rechazar H0")</f>
        <v>No rechazar H0</v>
      </c>
      <c r="F1117" s="0" t="str">
        <f aca="false">IF(AND(B1117="H0 verdadera",E1117="Rechazar H0"),"Error tipo I",IF(AND(B1117="Ha verdadera",E1117="No rechazar H0"),"Error tipo II","Decisión correcta"))</f>
        <v>Decisión correcta</v>
      </c>
    </row>
    <row r="1118" customFormat="false" ht="15" hidden="false" customHeight="false" outlineLevel="0" collapsed="false">
      <c r="A1118" s="0" t="n">
        <v>1097</v>
      </c>
      <c r="B1118" s="0" t="s">
        <v>86</v>
      </c>
      <c r="C1118" s="17" t="n">
        <v>-0.845850090902718</v>
      </c>
      <c r="D1118" s="17" t="n">
        <f aca="false">(C1118-$B$4)/($B$6/SQRT($B$7))</f>
        <v>-4.22925045451359</v>
      </c>
      <c r="E1118" s="0" t="str">
        <f aca="false">IF(OR(AND($B$9="superior",D1118&gt;$B$10),AND($B$9="inferior",D1118&lt;-$B$10)),"Rechazar H0","No rechazar H0")</f>
        <v>Rechazar H0</v>
      </c>
      <c r="F1118" s="0" t="str">
        <f aca="false">IF(AND(B1118="H0 verdadera",E1118="Rechazar H0"),"Error tipo I",IF(AND(B1118="Ha verdadera",E1118="No rechazar H0"),"Error tipo II","Decisión correcta"))</f>
        <v>Decisión correcta</v>
      </c>
    </row>
    <row r="1119" customFormat="false" ht="15" hidden="false" customHeight="false" outlineLevel="0" collapsed="false">
      <c r="A1119" s="0" t="n">
        <v>1098</v>
      </c>
      <c r="B1119" s="0" t="s">
        <v>85</v>
      </c>
      <c r="C1119" s="17" t="n">
        <v>0.198474180661712</v>
      </c>
      <c r="D1119" s="17" t="n">
        <f aca="false">(C1119-$B$4)/($B$6/SQRT($B$7))</f>
        <v>0.992370903308557</v>
      </c>
      <c r="E1119" s="0" t="str">
        <f aca="false">IF(OR(AND($B$9="superior",D1119&gt;$B$10),AND($B$9="inferior",D1119&lt;-$B$10)),"Rechazar H0","No rechazar H0")</f>
        <v>No rechazar H0</v>
      </c>
      <c r="F1119" s="0" t="str">
        <f aca="false">IF(AND(B1119="H0 verdadera",E1119="Rechazar H0"),"Error tipo I",IF(AND(B1119="Ha verdadera",E1119="No rechazar H0"),"Error tipo II","Decisión correcta"))</f>
        <v>Decisión correcta</v>
      </c>
    </row>
    <row r="1120" customFormat="false" ht="15" hidden="false" customHeight="false" outlineLevel="0" collapsed="false">
      <c r="A1120" s="0" t="n">
        <v>1099</v>
      </c>
      <c r="B1120" s="0" t="s">
        <v>86</v>
      </c>
      <c r="C1120" s="17" t="n">
        <v>-0.430539859989644</v>
      </c>
      <c r="D1120" s="17" t="n">
        <f aca="false">(C1120-$B$4)/($B$6/SQRT($B$7))</f>
        <v>-2.15269929994822</v>
      </c>
      <c r="E1120" s="0" t="str">
        <f aca="false">IF(OR(AND($B$9="superior",D1120&gt;$B$10),AND($B$9="inferior",D1120&lt;-$B$10)),"Rechazar H0","No rechazar H0")</f>
        <v>Rechazar H0</v>
      </c>
      <c r="F1120" s="0" t="str">
        <f aca="false">IF(AND(B1120="H0 verdadera",E1120="Rechazar H0"),"Error tipo I",IF(AND(B1120="Ha verdadera",E1120="No rechazar H0"),"Error tipo II","Decisión correcta"))</f>
        <v>Decisión correcta</v>
      </c>
    </row>
    <row r="1121" customFormat="false" ht="15" hidden="false" customHeight="false" outlineLevel="0" collapsed="false">
      <c r="A1121" s="0" t="n">
        <v>1100</v>
      </c>
      <c r="B1121" s="0" t="s">
        <v>85</v>
      </c>
      <c r="C1121" s="17" t="n">
        <v>-0.097874354169033</v>
      </c>
      <c r="D1121" s="17" t="n">
        <f aca="false">(C1121-$B$4)/($B$6/SQRT($B$7))</f>
        <v>-0.489371770845165</v>
      </c>
      <c r="E1121" s="0" t="str">
        <f aca="false">IF(OR(AND($B$9="superior",D1121&gt;$B$10),AND($B$9="inferior",D1121&lt;-$B$10)),"Rechazar H0","No rechazar H0")</f>
        <v>No rechazar H0</v>
      </c>
      <c r="F1121" s="0" t="str">
        <f aca="false">IF(AND(B1121="H0 verdadera",E1121="Rechazar H0"),"Error tipo I",IF(AND(B1121="Ha verdadera",E1121="No rechazar H0"),"Error tipo II","Decisión correcta"))</f>
        <v>Decisión correcta</v>
      </c>
    </row>
    <row r="1122" customFormat="false" ht="15" hidden="false" customHeight="false" outlineLevel="0" collapsed="false">
      <c r="A1122" s="0" t="n">
        <v>1101</v>
      </c>
      <c r="B1122" s="0" t="s">
        <v>86</v>
      </c>
      <c r="C1122" s="17" t="n">
        <v>-0.177234719703704</v>
      </c>
      <c r="D1122" s="17" t="n">
        <f aca="false">(C1122-$B$4)/($B$6/SQRT($B$7))</f>
        <v>-0.886173598518522</v>
      </c>
      <c r="E1122" s="0" t="str">
        <f aca="false">IF(OR(AND($B$9="superior",D1122&gt;$B$10),AND($B$9="inferior",D1122&lt;-$B$10)),"Rechazar H0","No rechazar H0")</f>
        <v>No rechazar H0</v>
      </c>
      <c r="F1122" s="0" t="str">
        <f aca="false">IF(AND(B1122="H0 verdadera",E1122="Rechazar H0"),"Error tipo I",IF(AND(B1122="Ha verdadera",E1122="No rechazar H0"),"Error tipo II","Decisión correcta"))</f>
        <v>Error tipo II</v>
      </c>
    </row>
    <row r="1123" customFormat="false" ht="15" hidden="false" customHeight="false" outlineLevel="0" collapsed="false">
      <c r="A1123" s="0" t="n">
        <v>1102</v>
      </c>
      <c r="B1123" s="0" t="s">
        <v>86</v>
      </c>
      <c r="C1123" s="17" t="n">
        <v>-0.0183994845105682</v>
      </c>
      <c r="D1123" s="17" t="n">
        <f aca="false">(C1123-$B$4)/($B$6/SQRT($B$7))</f>
        <v>-0.0919974225528409</v>
      </c>
      <c r="E1123" s="0" t="str">
        <f aca="false">IF(OR(AND($B$9="superior",D1123&gt;$B$10),AND($B$9="inferior",D1123&lt;-$B$10)),"Rechazar H0","No rechazar H0")</f>
        <v>No rechazar H0</v>
      </c>
      <c r="F1123" s="0" t="str">
        <f aca="false">IF(AND(B1123="H0 verdadera",E1123="Rechazar H0"),"Error tipo I",IF(AND(B1123="Ha verdadera",E1123="No rechazar H0"),"Error tipo II","Decisión correcta"))</f>
        <v>Error tipo II</v>
      </c>
    </row>
    <row r="1124" customFormat="false" ht="15" hidden="false" customHeight="false" outlineLevel="0" collapsed="false">
      <c r="A1124" s="0" t="n">
        <v>1103</v>
      </c>
      <c r="B1124" s="0" t="s">
        <v>85</v>
      </c>
      <c r="C1124" s="17" t="n">
        <v>-0.0125568507114584</v>
      </c>
      <c r="D1124" s="17" t="n">
        <f aca="false">(C1124-$B$4)/($B$6/SQRT($B$7))</f>
        <v>-0.0627842535572922</v>
      </c>
      <c r="E1124" s="0" t="str">
        <f aca="false">IF(OR(AND($B$9="superior",D1124&gt;$B$10),AND($B$9="inferior",D1124&lt;-$B$10)),"Rechazar H0","No rechazar H0")</f>
        <v>No rechazar H0</v>
      </c>
      <c r="F1124" s="0" t="str">
        <f aca="false">IF(AND(B1124="H0 verdadera",E1124="Rechazar H0"),"Error tipo I",IF(AND(B1124="Ha verdadera",E1124="No rechazar H0"),"Error tipo II","Decisión correcta"))</f>
        <v>Decisión correcta</v>
      </c>
    </row>
    <row r="1125" customFormat="false" ht="15" hidden="false" customHeight="false" outlineLevel="0" collapsed="false">
      <c r="A1125" s="0" t="n">
        <v>1104</v>
      </c>
      <c r="B1125" s="0" t="s">
        <v>86</v>
      </c>
      <c r="C1125" s="17" t="n">
        <v>-0.476410159872773</v>
      </c>
      <c r="D1125" s="17" t="n">
        <f aca="false">(C1125-$B$4)/($B$6/SQRT($B$7))</f>
        <v>-2.38205079936387</v>
      </c>
      <c r="E1125" s="0" t="str">
        <f aca="false">IF(OR(AND($B$9="superior",D1125&gt;$B$10),AND($B$9="inferior",D1125&lt;-$B$10)),"Rechazar H0","No rechazar H0")</f>
        <v>Rechazar H0</v>
      </c>
      <c r="F1125" s="0" t="str">
        <f aca="false">IF(AND(B1125="H0 verdadera",E1125="Rechazar H0"),"Error tipo I",IF(AND(B1125="Ha verdadera",E1125="No rechazar H0"),"Error tipo II","Decisión correcta"))</f>
        <v>Decisión correcta</v>
      </c>
    </row>
    <row r="1126" customFormat="false" ht="15" hidden="false" customHeight="false" outlineLevel="0" collapsed="false">
      <c r="A1126" s="0" t="n">
        <v>1105</v>
      </c>
      <c r="B1126" s="0" t="s">
        <v>86</v>
      </c>
      <c r="C1126" s="17" t="n">
        <v>-0.248393192498764</v>
      </c>
      <c r="D1126" s="17" t="n">
        <f aca="false">(C1126-$B$4)/($B$6/SQRT($B$7))</f>
        <v>-1.24196596249382</v>
      </c>
      <c r="E1126" s="0" t="str">
        <f aca="false">IF(OR(AND($B$9="superior",D1126&gt;$B$10),AND($B$9="inferior",D1126&lt;-$B$10)),"Rechazar H0","No rechazar H0")</f>
        <v>No rechazar H0</v>
      </c>
      <c r="F1126" s="0" t="str">
        <f aca="false">IF(AND(B1126="H0 verdadera",E1126="Rechazar H0"),"Error tipo I",IF(AND(B1126="Ha verdadera",E1126="No rechazar H0"),"Error tipo II","Decisión correcta"))</f>
        <v>Error tipo II</v>
      </c>
    </row>
    <row r="1127" customFormat="false" ht="15" hidden="false" customHeight="false" outlineLevel="0" collapsed="false">
      <c r="A1127" s="0" t="n">
        <v>1106</v>
      </c>
      <c r="B1127" s="0" t="s">
        <v>86</v>
      </c>
      <c r="C1127" s="17" t="n">
        <v>-0.119962959732085</v>
      </c>
      <c r="D1127" s="17" t="n">
        <f aca="false">(C1127-$B$4)/($B$6/SQRT($B$7))</f>
        <v>-0.599814798660426</v>
      </c>
      <c r="E1127" s="0" t="str">
        <f aca="false">IF(OR(AND($B$9="superior",D1127&gt;$B$10),AND($B$9="inferior",D1127&lt;-$B$10)),"Rechazar H0","No rechazar H0")</f>
        <v>No rechazar H0</v>
      </c>
      <c r="F1127" s="0" t="str">
        <f aca="false">IF(AND(B1127="H0 verdadera",E1127="Rechazar H0"),"Error tipo I",IF(AND(B1127="Ha verdadera",E1127="No rechazar H0"),"Error tipo II","Decisión correcta"))</f>
        <v>Error tipo II</v>
      </c>
    </row>
    <row r="1128" customFormat="false" ht="15" hidden="false" customHeight="false" outlineLevel="0" collapsed="false">
      <c r="A1128" s="0" t="n">
        <v>1107</v>
      </c>
      <c r="B1128" s="0" t="s">
        <v>85</v>
      </c>
      <c r="C1128" s="17" t="n">
        <v>-0.119942159896891</v>
      </c>
      <c r="D1128" s="17" t="n">
        <f aca="false">(C1128-$B$4)/($B$6/SQRT($B$7))</f>
        <v>-0.599710799484454</v>
      </c>
      <c r="E1128" s="0" t="str">
        <f aca="false">IF(OR(AND($B$9="superior",D1128&gt;$B$10),AND($B$9="inferior",D1128&lt;-$B$10)),"Rechazar H0","No rechazar H0")</f>
        <v>No rechazar H0</v>
      </c>
      <c r="F1128" s="0" t="str">
        <f aca="false">IF(AND(B1128="H0 verdadera",E1128="Rechazar H0"),"Error tipo I",IF(AND(B1128="Ha verdadera",E1128="No rechazar H0"),"Error tipo II","Decisión correcta"))</f>
        <v>Decisión correcta</v>
      </c>
    </row>
    <row r="1129" customFormat="false" ht="15" hidden="false" customHeight="false" outlineLevel="0" collapsed="false">
      <c r="A1129" s="0" t="n">
        <v>1108</v>
      </c>
      <c r="B1129" s="0" t="s">
        <v>85</v>
      </c>
      <c r="C1129" s="17" t="n">
        <v>-0.0695756399275005</v>
      </c>
      <c r="D1129" s="17" t="n">
        <f aca="false">(C1129-$B$4)/($B$6/SQRT($B$7))</f>
        <v>-0.347878199637502</v>
      </c>
      <c r="E1129" s="0" t="str">
        <f aca="false">IF(OR(AND($B$9="superior",D1129&gt;$B$10),AND($B$9="inferior",D1129&lt;-$B$10)),"Rechazar H0","No rechazar H0")</f>
        <v>No rechazar H0</v>
      </c>
      <c r="F1129" s="0" t="str">
        <f aca="false">IF(AND(B1129="H0 verdadera",E1129="Rechazar H0"),"Error tipo I",IF(AND(B1129="Ha verdadera",E1129="No rechazar H0"),"Error tipo II","Decisión correcta"))</f>
        <v>Decisión correcta</v>
      </c>
    </row>
    <row r="1130" customFormat="false" ht="15" hidden="false" customHeight="false" outlineLevel="0" collapsed="false">
      <c r="A1130" s="0" t="n">
        <v>1109</v>
      </c>
      <c r="B1130" s="0" t="s">
        <v>86</v>
      </c>
      <c r="C1130" s="17" t="n">
        <v>-0.084564520730785</v>
      </c>
      <c r="D1130" s="17" t="n">
        <f aca="false">(C1130-$B$4)/($B$6/SQRT($B$7))</f>
        <v>-0.422822603653925</v>
      </c>
      <c r="E1130" s="0" t="str">
        <f aca="false">IF(OR(AND($B$9="superior",D1130&gt;$B$10),AND($B$9="inferior",D1130&lt;-$B$10)),"Rechazar H0","No rechazar H0")</f>
        <v>No rechazar H0</v>
      </c>
      <c r="F1130" s="0" t="str">
        <f aca="false">IF(AND(B1130="H0 verdadera",E1130="Rechazar H0"),"Error tipo I",IF(AND(B1130="Ha verdadera",E1130="No rechazar H0"),"Error tipo II","Decisión correcta"))</f>
        <v>Error tipo II</v>
      </c>
    </row>
    <row r="1131" customFormat="false" ht="15" hidden="false" customHeight="false" outlineLevel="0" collapsed="false">
      <c r="A1131" s="0" t="n">
        <v>1110</v>
      </c>
      <c r="B1131" s="0" t="s">
        <v>85</v>
      </c>
      <c r="C1131" s="17" t="n">
        <v>0.00575531769536238</v>
      </c>
      <c r="D1131" s="17" t="n">
        <f aca="false">(C1131-$B$4)/($B$6/SQRT($B$7))</f>
        <v>0.0287765884768119</v>
      </c>
      <c r="E1131" s="0" t="str">
        <f aca="false">IF(OR(AND($B$9="superior",D1131&gt;$B$10),AND($B$9="inferior",D1131&lt;-$B$10)),"Rechazar H0","No rechazar H0")</f>
        <v>No rechazar H0</v>
      </c>
      <c r="F1131" s="0" t="str">
        <f aca="false">IF(AND(B1131="H0 verdadera",E1131="Rechazar H0"),"Error tipo I",IF(AND(B1131="Ha verdadera",E1131="No rechazar H0"),"Error tipo II","Decisión correcta"))</f>
        <v>Decisión correcta</v>
      </c>
    </row>
    <row r="1132" customFormat="false" ht="15" hidden="false" customHeight="false" outlineLevel="0" collapsed="false">
      <c r="A1132" s="0" t="n">
        <v>1111</v>
      </c>
      <c r="B1132" s="0" t="s">
        <v>86</v>
      </c>
      <c r="C1132" s="17" t="n">
        <v>-0.287365658000577</v>
      </c>
      <c r="D1132" s="17" t="n">
        <f aca="false">(C1132-$B$4)/($B$6/SQRT($B$7))</f>
        <v>-1.43682829000288</v>
      </c>
      <c r="E1132" s="0" t="str">
        <f aca="false">IF(OR(AND($B$9="superior",D1132&gt;$B$10),AND($B$9="inferior",D1132&lt;-$B$10)),"Rechazar H0","No rechazar H0")</f>
        <v>No rechazar H0</v>
      </c>
      <c r="F1132" s="0" t="str">
        <f aca="false">IF(AND(B1132="H0 verdadera",E1132="Rechazar H0"),"Error tipo I",IF(AND(B1132="Ha verdadera",E1132="No rechazar H0"),"Error tipo II","Decisión correcta"))</f>
        <v>Error tipo II</v>
      </c>
    </row>
    <row r="1133" customFormat="false" ht="15" hidden="false" customHeight="false" outlineLevel="0" collapsed="false">
      <c r="A1133" s="0" t="n">
        <v>1112</v>
      </c>
      <c r="B1133" s="0" t="s">
        <v>86</v>
      </c>
      <c r="C1133" s="17" t="n">
        <v>-0.486748301911985</v>
      </c>
      <c r="D1133" s="17" t="n">
        <f aca="false">(C1133-$B$4)/($B$6/SQRT($B$7))</f>
        <v>-2.43374150955993</v>
      </c>
      <c r="E1133" s="0" t="str">
        <f aca="false">IF(OR(AND($B$9="superior",D1133&gt;$B$10),AND($B$9="inferior",D1133&lt;-$B$10)),"Rechazar H0","No rechazar H0")</f>
        <v>Rechazar H0</v>
      </c>
      <c r="F1133" s="0" t="str">
        <f aca="false">IF(AND(B1133="H0 verdadera",E1133="Rechazar H0"),"Error tipo I",IF(AND(B1133="Ha verdadera",E1133="No rechazar H0"),"Error tipo II","Decisión correcta"))</f>
        <v>Decisión correcta</v>
      </c>
    </row>
    <row r="1134" customFormat="false" ht="15" hidden="false" customHeight="false" outlineLevel="0" collapsed="false">
      <c r="A1134" s="0" t="n">
        <v>1113</v>
      </c>
      <c r="B1134" s="0" t="s">
        <v>85</v>
      </c>
      <c r="C1134" s="17" t="n">
        <v>0.146527224615524</v>
      </c>
      <c r="D1134" s="17" t="n">
        <f aca="false">(C1134-$B$4)/($B$6/SQRT($B$7))</f>
        <v>0.732636123077622</v>
      </c>
      <c r="E1134" s="0" t="str">
        <f aca="false">IF(OR(AND($B$9="superior",D1134&gt;$B$10),AND($B$9="inferior",D1134&lt;-$B$10)),"Rechazar H0","No rechazar H0")</f>
        <v>No rechazar H0</v>
      </c>
      <c r="F1134" s="0" t="str">
        <f aca="false">IF(AND(B1134="H0 verdadera",E1134="Rechazar H0"),"Error tipo I",IF(AND(B1134="Ha verdadera",E1134="No rechazar H0"),"Error tipo II","Decisión correcta"))</f>
        <v>Decisión correcta</v>
      </c>
    </row>
    <row r="1135" customFormat="false" ht="15" hidden="false" customHeight="false" outlineLevel="0" collapsed="false">
      <c r="A1135" s="0" t="n">
        <v>1114</v>
      </c>
      <c r="B1135" s="0" t="s">
        <v>86</v>
      </c>
      <c r="C1135" s="17" t="n">
        <v>-0.4212614713805</v>
      </c>
      <c r="D1135" s="17" t="n">
        <f aca="false">(C1135-$B$4)/($B$6/SQRT($B$7))</f>
        <v>-2.1063073569025</v>
      </c>
      <c r="E1135" s="0" t="str">
        <f aca="false">IF(OR(AND($B$9="superior",D1135&gt;$B$10),AND($B$9="inferior",D1135&lt;-$B$10)),"Rechazar H0","No rechazar H0")</f>
        <v>Rechazar H0</v>
      </c>
      <c r="F1135" s="0" t="str">
        <f aca="false">IF(AND(B1135="H0 verdadera",E1135="Rechazar H0"),"Error tipo I",IF(AND(B1135="Ha verdadera",E1135="No rechazar H0"),"Error tipo II","Decisión correcta"))</f>
        <v>Decisión correcta</v>
      </c>
    </row>
    <row r="1136" customFormat="false" ht="15" hidden="false" customHeight="false" outlineLevel="0" collapsed="false">
      <c r="A1136" s="0" t="n">
        <v>1115</v>
      </c>
      <c r="B1136" s="0" t="s">
        <v>86</v>
      </c>
      <c r="C1136" s="17" t="n">
        <v>-0.673840457011657</v>
      </c>
      <c r="D1136" s="17" t="n">
        <f aca="false">(C1136-$B$4)/($B$6/SQRT($B$7))</f>
        <v>-3.36920228505829</v>
      </c>
      <c r="E1136" s="0" t="str">
        <f aca="false">IF(OR(AND($B$9="superior",D1136&gt;$B$10),AND($B$9="inferior",D1136&lt;-$B$10)),"Rechazar H0","No rechazar H0")</f>
        <v>Rechazar H0</v>
      </c>
      <c r="F1136" s="0" t="str">
        <f aca="false">IF(AND(B1136="H0 verdadera",E1136="Rechazar H0"),"Error tipo I",IF(AND(B1136="Ha verdadera",E1136="No rechazar H0"),"Error tipo II","Decisión correcta"))</f>
        <v>Decisión correcta</v>
      </c>
    </row>
    <row r="1137" customFormat="false" ht="15" hidden="false" customHeight="false" outlineLevel="0" collapsed="false">
      <c r="A1137" s="0" t="n">
        <v>1116</v>
      </c>
      <c r="B1137" s="0" t="s">
        <v>85</v>
      </c>
      <c r="C1137" s="17" t="n">
        <v>-0.0297872480253798</v>
      </c>
      <c r="D1137" s="17" t="n">
        <f aca="false">(C1137-$B$4)/($B$6/SQRT($B$7))</f>
        <v>-0.148936240126899</v>
      </c>
      <c r="E1137" s="0" t="str">
        <f aca="false">IF(OR(AND($B$9="superior",D1137&gt;$B$10),AND($B$9="inferior",D1137&lt;-$B$10)),"Rechazar H0","No rechazar H0")</f>
        <v>No rechazar H0</v>
      </c>
      <c r="F1137" s="0" t="str">
        <f aca="false">IF(AND(B1137="H0 verdadera",E1137="Rechazar H0"),"Error tipo I",IF(AND(B1137="Ha verdadera",E1137="No rechazar H0"),"Error tipo II","Decisión correcta"))</f>
        <v>Decisión correcta</v>
      </c>
    </row>
    <row r="1138" customFormat="false" ht="15" hidden="false" customHeight="false" outlineLevel="0" collapsed="false">
      <c r="A1138" s="0" t="n">
        <v>1117</v>
      </c>
      <c r="B1138" s="0" t="s">
        <v>85</v>
      </c>
      <c r="C1138" s="17" t="n">
        <v>0.580948296996459</v>
      </c>
      <c r="D1138" s="17" t="n">
        <f aca="false">(C1138-$B$4)/($B$6/SQRT($B$7))</f>
        <v>2.9047414849823</v>
      </c>
      <c r="E1138" s="0" t="str">
        <f aca="false">IF(OR(AND($B$9="superior",D1138&gt;$B$10),AND($B$9="inferior",D1138&lt;-$B$10)),"Rechazar H0","No rechazar H0")</f>
        <v>No rechazar H0</v>
      </c>
      <c r="F1138" s="0" t="str">
        <f aca="false">IF(AND(B1138="H0 verdadera",E1138="Rechazar H0"),"Error tipo I",IF(AND(B1138="Ha verdadera",E1138="No rechazar H0"),"Error tipo II","Decisión correcta"))</f>
        <v>Decisión correcta</v>
      </c>
    </row>
    <row r="1139" customFormat="false" ht="15" hidden="false" customHeight="false" outlineLevel="0" collapsed="false">
      <c r="A1139" s="0" t="n">
        <v>1118</v>
      </c>
      <c r="B1139" s="0" t="s">
        <v>85</v>
      </c>
      <c r="C1139" s="17" t="n">
        <v>0.0394267137844339</v>
      </c>
      <c r="D1139" s="17" t="n">
        <f aca="false">(C1139-$B$4)/($B$6/SQRT($B$7))</f>
        <v>0.197133568922169</v>
      </c>
      <c r="E1139" s="0" t="str">
        <f aca="false">IF(OR(AND($B$9="superior",D1139&gt;$B$10),AND($B$9="inferior",D1139&lt;-$B$10)),"Rechazar H0","No rechazar H0")</f>
        <v>No rechazar H0</v>
      </c>
      <c r="F1139" s="0" t="str">
        <f aca="false">IF(AND(B1139="H0 verdadera",E1139="Rechazar H0"),"Error tipo I",IF(AND(B1139="Ha verdadera",E1139="No rechazar H0"),"Error tipo II","Decisión correcta"))</f>
        <v>Decisión correcta</v>
      </c>
    </row>
    <row r="1140" customFormat="false" ht="15" hidden="false" customHeight="false" outlineLevel="0" collapsed="false">
      <c r="A1140" s="0" t="n">
        <v>1119</v>
      </c>
      <c r="B1140" s="0" t="s">
        <v>86</v>
      </c>
      <c r="C1140" s="17" t="n">
        <v>-0.483774866956813</v>
      </c>
      <c r="D1140" s="17" t="n">
        <f aca="false">(C1140-$B$4)/($B$6/SQRT($B$7))</f>
        <v>-2.41887433478407</v>
      </c>
      <c r="E1140" s="0" t="str">
        <f aca="false">IF(OR(AND($B$9="superior",D1140&gt;$B$10),AND($B$9="inferior",D1140&lt;-$B$10)),"Rechazar H0","No rechazar H0")</f>
        <v>Rechazar H0</v>
      </c>
      <c r="F1140" s="0" t="str">
        <f aca="false">IF(AND(B1140="H0 verdadera",E1140="Rechazar H0"),"Error tipo I",IF(AND(B1140="Ha verdadera",E1140="No rechazar H0"),"Error tipo II","Decisión correcta"))</f>
        <v>Decisión correcta</v>
      </c>
    </row>
    <row r="1141" customFormat="false" ht="15" hidden="false" customHeight="false" outlineLevel="0" collapsed="false">
      <c r="A1141" s="0" t="n">
        <v>1120</v>
      </c>
      <c r="B1141" s="0" t="s">
        <v>86</v>
      </c>
      <c r="C1141" s="17" t="n">
        <v>-0.256666339338496</v>
      </c>
      <c r="D1141" s="17" t="n">
        <f aca="false">(C1141-$B$4)/($B$6/SQRT($B$7))</f>
        <v>-1.28333169669248</v>
      </c>
      <c r="E1141" s="0" t="str">
        <f aca="false">IF(OR(AND($B$9="superior",D1141&gt;$B$10),AND($B$9="inferior",D1141&lt;-$B$10)),"Rechazar H0","No rechazar H0")</f>
        <v>No rechazar H0</v>
      </c>
      <c r="F1141" s="0" t="str">
        <f aca="false">IF(AND(B1141="H0 verdadera",E1141="Rechazar H0"),"Error tipo I",IF(AND(B1141="Ha verdadera",E1141="No rechazar H0"),"Error tipo II","Decisión correcta"))</f>
        <v>Error tipo II</v>
      </c>
    </row>
    <row r="1142" customFormat="false" ht="15" hidden="false" customHeight="false" outlineLevel="0" collapsed="false">
      <c r="A1142" s="0" t="n">
        <v>1121</v>
      </c>
      <c r="B1142" s="0" t="s">
        <v>86</v>
      </c>
      <c r="C1142" s="17" t="n">
        <v>-0.477020088806078</v>
      </c>
      <c r="D1142" s="17" t="n">
        <f aca="false">(C1142-$B$4)/($B$6/SQRT($B$7))</f>
        <v>-2.38510044403039</v>
      </c>
      <c r="E1142" s="0" t="str">
        <f aca="false">IF(OR(AND($B$9="superior",D1142&gt;$B$10),AND($B$9="inferior",D1142&lt;-$B$10)),"Rechazar H0","No rechazar H0")</f>
        <v>Rechazar H0</v>
      </c>
      <c r="F1142" s="0" t="str">
        <f aca="false">IF(AND(B1142="H0 verdadera",E1142="Rechazar H0"),"Error tipo I",IF(AND(B1142="Ha verdadera",E1142="No rechazar H0"),"Error tipo II","Decisión correcta"))</f>
        <v>Decisión correcta</v>
      </c>
    </row>
    <row r="1143" customFormat="false" ht="15" hidden="false" customHeight="false" outlineLevel="0" collapsed="false">
      <c r="A1143" s="0" t="n">
        <v>1122</v>
      </c>
      <c r="B1143" s="0" t="s">
        <v>85</v>
      </c>
      <c r="C1143" s="17" t="n">
        <v>0.34361540137654</v>
      </c>
      <c r="D1143" s="17" t="n">
        <f aca="false">(C1143-$B$4)/($B$6/SQRT($B$7))</f>
        <v>1.7180770068827</v>
      </c>
      <c r="E1143" s="0" t="str">
        <f aca="false">IF(OR(AND($B$9="superior",D1143&gt;$B$10),AND($B$9="inferior",D1143&lt;-$B$10)),"Rechazar H0","No rechazar H0")</f>
        <v>No rechazar H0</v>
      </c>
      <c r="F1143" s="0" t="str">
        <f aca="false">IF(AND(B1143="H0 verdadera",E1143="Rechazar H0"),"Error tipo I",IF(AND(B1143="Ha verdadera",E1143="No rechazar H0"),"Error tipo II","Decisión correcta"))</f>
        <v>Decisión correcta</v>
      </c>
    </row>
    <row r="1144" customFormat="false" ht="15" hidden="false" customHeight="false" outlineLevel="0" collapsed="false">
      <c r="A1144" s="0" t="n">
        <v>1123</v>
      </c>
      <c r="B1144" s="0" t="s">
        <v>86</v>
      </c>
      <c r="C1144" s="17" t="n">
        <v>-0.256017164057431</v>
      </c>
      <c r="D1144" s="17" t="n">
        <f aca="false">(C1144-$B$4)/($B$6/SQRT($B$7))</f>
        <v>-1.28008582028715</v>
      </c>
      <c r="E1144" s="0" t="str">
        <f aca="false">IF(OR(AND($B$9="superior",D1144&gt;$B$10),AND($B$9="inferior",D1144&lt;-$B$10)),"Rechazar H0","No rechazar H0")</f>
        <v>No rechazar H0</v>
      </c>
      <c r="F1144" s="0" t="str">
        <f aca="false">IF(AND(B1144="H0 verdadera",E1144="Rechazar H0"),"Error tipo I",IF(AND(B1144="Ha verdadera",E1144="No rechazar H0"),"Error tipo II","Decisión correcta"))</f>
        <v>Error tipo II</v>
      </c>
    </row>
    <row r="1145" customFormat="false" ht="15" hidden="false" customHeight="false" outlineLevel="0" collapsed="false">
      <c r="A1145" s="0" t="n">
        <v>1124</v>
      </c>
      <c r="B1145" s="0" t="s">
        <v>85</v>
      </c>
      <c r="C1145" s="17" t="n">
        <v>0.203374012056952</v>
      </c>
      <c r="D1145" s="17" t="n">
        <f aca="false">(C1145-$B$4)/($B$6/SQRT($B$7))</f>
        <v>1.01687006028476</v>
      </c>
      <c r="E1145" s="0" t="str">
        <f aca="false">IF(OR(AND($B$9="superior",D1145&gt;$B$10),AND($B$9="inferior",D1145&lt;-$B$10)),"Rechazar H0","No rechazar H0")</f>
        <v>No rechazar H0</v>
      </c>
      <c r="F1145" s="0" t="str">
        <f aca="false">IF(AND(B1145="H0 verdadera",E1145="Rechazar H0"),"Error tipo I",IF(AND(B1145="Ha verdadera",E1145="No rechazar H0"),"Error tipo II","Decisión correcta"))</f>
        <v>Decisión correcta</v>
      </c>
    </row>
    <row r="1146" customFormat="false" ht="15" hidden="false" customHeight="false" outlineLevel="0" collapsed="false">
      <c r="A1146" s="0" t="n">
        <v>1125</v>
      </c>
      <c r="B1146" s="0" t="s">
        <v>85</v>
      </c>
      <c r="C1146" s="17" t="n">
        <v>0.0117993262273273</v>
      </c>
      <c r="D1146" s="17" t="n">
        <f aca="false">(C1146-$B$4)/($B$6/SQRT($B$7))</f>
        <v>0.0589966311366364</v>
      </c>
      <c r="E1146" s="0" t="str">
        <f aca="false">IF(OR(AND($B$9="superior",D1146&gt;$B$10),AND($B$9="inferior",D1146&lt;-$B$10)),"Rechazar H0","No rechazar H0")</f>
        <v>No rechazar H0</v>
      </c>
      <c r="F1146" s="0" t="str">
        <f aca="false">IF(AND(B1146="H0 verdadera",E1146="Rechazar H0"),"Error tipo I",IF(AND(B1146="Ha verdadera",E1146="No rechazar H0"),"Error tipo II","Decisión correcta"))</f>
        <v>Decisión correcta</v>
      </c>
    </row>
    <row r="1147" customFormat="false" ht="15" hidden="false" customHeight="false" outlineLevel="0" collapsed="false">
      <c r="A1147" s="0" t="n">
        <v>1126</v>
      </c>
      <c r="B1147" s="0" t="s">
        <v>85</v>
      </c>
      <c r="C1147" s="17" t="n">
        <v>0.0581290311825647</v>
      </c>
      <c r="D1147" s="17" t="n">
        <f aca="false">(C1147-$B$4)/($B$6/SQRT($B$7))</f>
        <v>0.290645155912824</v>
      </c>
      <c r="E1147" s="0" t="str">
        <f aca="false">IF(OR(AND($B$9="superior",D1147&gt;$B$10),AND($B$9="inferior",D1147&lt;-$B$10)),"Rechazar H0","No rechazar H0")</f>
        <v>No rechazar H0</v>
      </c>
      <c r="F1147" s="0" t="str">
        <f aca="false">IF(AND(B1147="H0 verdadera",E1147="Rechazar H0"),"Error tipo I",IF(AND(B1147="Ha verdadera",E1147="No rechazar H0"),"Error tipo II","Decisión correcta"))</f>
        <v>Decisión correcta</v>
      </c>
    </row>
    <row r="1148" customFormat="false" ht="15" hidden="false" customHeight="false" outlineLevel="0" collapsed="false">
      <c r="A1148" s="0" t="n">
        <v>1127</v>
      </c>
      <c r="B1148" s="0" t="s">
        <v>85</v>
      </c>
      <c r="C1148" s="17" t="n">
        <v>0.235173502475348</v>
      </c>
      <c r="D1148" s="17" t="n">
        <f aca="false">(C1148-$B$4)/($B$6/SQRT($B$7))</f>
        <v>1.17586751237674</v>
      </c>
      <c r="E1148" s="0" t="str">
        <f aca="false">IF(OR(AND($B$9="superior",D1148&gt;$B$10),AND($B$9="inferior",D1148&lt;-$B$10)),"Rechazar H0","No rechazar H0")</f>
        <v>No rechazar H0</v>
      </c>
      <c r="F1148" s="0" t="str">
        <f aca="false">IF(AND(B1148="H0 verdadera",E1148="Rechazar H0"),"Error tipo I",IF(AND(B1148="Ha verdadera",E1148="No rechazar H0"),"Error tipo II","Decisión correcta"))</f>
        <v>Decisión correcta</v>
      </c>
    </row>
    <row r="1149" customFormat="false" ht="15" hidden="false" customHeight="false" outlineLevel="0" collapsed="false">
      <c r="A1149" s="0" t="n">
        <v>1128</v>
      </c>
      <c r="B1149" s="0" t="s">
        <v>86</v>
      </c>
      <c r="C1149" s="17" t="n">
        <v>-0.0552298588288259</v>
      </c>
      <c r="D1149" s="17" t="n">
        <f aca="false">(C1149-$B$4)/($B$6/SQRT($B$7))</f>
        <v>-0.276149294144129</v>
      </c>
      <c r="E1149" s="0" t="str">
        <f aca="false">IF(OR(AND($B$9="superior",D1149&gt;$B$10),AND($B$9="inferior",D1149&lt;-$B$10)),"Rechazar H0","No rechazar H0")</f>
        <v>No rechazar H0</v>
      </c>
      <c r="F1149" s="0" t="str">
        <f aca="false">IF(AND(B1149="H0 verdadera",E1149="Rechazar H0"),"Error tipo I",IF(AND(B1149="Ha verdadera",E1149="No rechazar H0"),"Error tipo II","Decisión correcta"))</f>
        <v>Error tipo II</v>
      </c>
    </row>
    <row r="1150" customFormat="false" ht="15" hidden="false" customHeight="false" outlineLevel="0" collapsed="false">
      <c r="A1150" s="0" t="n">
        <v>1129</v>
      </c>
      <c r="B1150" s="0" t="s">
        <v>86</v>
      </c>
      <c r="C1150" s="17" t="n">
        <v>-0.27233874525649</v>
      </c>
      <c r="D1150" s="17" t="n">
        <f aca="false">(C1150-$B$4)/($B$6/SQRT($B$7))</f>
        <v>-1.36169372628245</v>
      </c>
      <c r="E1150" s="0" t="str">
        <f aca="false">IF(OR(AND($B$9="superior",D1150&gt;$B$10),AND($B$9="inferior",D1150&lt;-$B$10)),"Rechazar H0","No rechazar H0")</f>
        <v>No rechazar H0</v>
      </c>
      <c r="F1150" s="0" t="str">
        <f aca="false">IF(AND(B1150="H0 verdadera",E1150="Rechazar H0"),"Error tipo I",IF(AND(B1150="Ha verdadera",E1150="No rechazar H0"),"Error tipo II","Decisión correcta"))</f>
        <v>Error tipo II</v>
      </c>
    </row>
    <row r="1151" customFormat="false" ht="15" hidden="false" customHeight="false" outlineLevel="0" collapsed="false">
      <c r="A1151" s="0" t="n">
        <v>1130</v>
      </c>
      <c r="B1151" s="0" t="s">
        <v>85</v>
      </c>
      <c r="C1151" s="17" t="n">
        <v>-0.119920711907756</v>
      </c>
      <c r="D1151" s="17" t="n">
        <f aca="false">(C1151-$B$4)/($B$6/SQRT($B$7))</f>
        <v>-0.599603559538781</v>
      </c>
      <c r="E1151" s="0" t="str">
        <f aca="false">IF(OR(AND($B$9="superior",D1151&gt;$B$10),AND($B$9="inferior",D1151&lt;-$B$10)),"Rechazar H0","No rechazar H0")</f>
        <v>No rechazar H0</v>
      </c>
      <c r="F1151" s="0" t="str">
        <f aca="false">IF(AND(B1151="H0 verdadera",E1151="Rechazar H0"),"Error tipo I",IF(AND(B1151="Ha verdadera",E1151="No rechazar H0"),"Error tipo II","Decisión correcta"))</f>
        <v>Decisión correcta</v>
      </c>
    </row>
    <row r="1152" customFormat="false" ht="15" hidden="false" customHeight="false" outlineLevel="0" collapsed="false">
      <c r="A1152" s="0" t="n">
        <v>1131</v>
      </c>
      <c r="B1152" s="0" t="s">
        <v>86</v>
      </c>
      <c r="C1152" s="17" t="n">
        <v>-0.333365892581664</v>
      </c>
      <c r="D1152" s="17" t="n">
        <f aca="false">(C1152-$B$4)/($B$6/SQRT($B$7))</f>
        <v>-1.66682946290832</v>
      </c>
      <c r="E1152" s="0" t="str">
        <f aca="false">IF(OR(AND($B$9="superior",D1152&gt;$B$10),AND($B$9="inferior",D1152&lt;-$B$10)),"Rechazar H0","No rechazar H0")</f>
        <v>Rechazar H0</v>
      </c>
      <c r="F1152" s="0" t="str">
        <f aca="false">IF(AND(B1152="H0 verdadera",E1152="Rechazar H0"),"Error tipo I",IF(AND(B1152="Ha verdadera",E1152="No rechazar H0"),"Error tipo II","Decisión correcta"))</f>
        <v>Decisión correcta</v>
      </c>
    </row>
    <row r="1153" customFormat="false" ht="15" hidden="false" customHeight="false" outlineLevel="0" collapsed="false">
      <c r="A1153" s="0" t="n">
        <v>1132</v>
      </c>
      <c r="B1153" s="0" t="s">
        <v>86</v>
      </c>
      <c r="C1153" s="17" t="n">
        <v>-0.468589042488438</v>
      </c>
      <c r="D1153" s="17" t="n">
        <f aca="false">(C1153-$B$4)/($B$6/SQRT($B$7))</f>
        <v>-2.34294521244219</v>
      </c>
      <c r="E1153" s="0" t="str">
        <f aca="false">IF(OR(AND($B$9="superior",D1153&gt;$B$10),AND($B$9="inferior",D1153&lt;-$B$10)),"Rechazar H0","No rechazar H0")</f>
        <v>Rechazar H0</v>
      </c>
      <c r="F1153" s="0" t="str">
        <f aca="false">IF(AND(B1153="H0 verdadera",E1153="Rechazar H0"),"Error tipo I",IF(AND(B1153="Ha verdadera",E1153="No rechazar H0"),"Error tipo II","Decisión correcta"))</f>
        <v>Decisión correcta</v>
      </c>
    </row>
    <row r="1154" customFormat="false" ht="15" hidden="false" customHeight="false" outlineLevel="0" collapsed="false">
      <c r="A1154" s="0" t="n">
        <v>1133</v>
      </c>
      <c r="B1154" s="0" t="s">
        <v>86</v>
      </c>
      <c r="C1154" s="17" t="n">
        <v>-0.422679238041485</v>
      </c>
      <c r="D1154" s="17" t="n">
        <f aca="false">(C1154-$B$4)/($B$6/SQRT($B$7))</f>
        <v>-2.11339619020743</v>
      </c>
      <c r="E1154" s="0" t="str">
        <f aca="false">IF(OR(AND($B$9="superior",D1154&gt;$B$10),AND($B$9="inferior",D1154&lt;-$B$10)),"Rechazar H0","No rechazar H0")</f>
        <v>Rechazar H0</v>
      </c>
      <c r="F1154" s="0" t="str">
        <f aca="false">IF(AND(B1154="H0 verdadera",E1154="Rechazar H0"),"Error tipo I",IF(AND(B1154="Ha verdadera",E1154="No rechazar H0"),"Error tipo II","Decisión correcta"))</f>
        <v>Decisión correcta</v>
      </c>
    </row>
    <row r="1155" customFormat="false" ht="15" hidden="false" customHeight="false" outlineLevel="0" collapsed="false">
      <c r="A1155" s="0" t="n">
        <v>1134</v>
      </c>
      <c r="B1155" s="0" t="s">
        <v>86</v>
      </c>
      <c r="C1155" s="17" t="n">
        <v>-0.717253978530231</v>
      </c>
      <c r="D1155" s="17" t="n">
        <f aca="false">(C1155-$B$4)/($B$6/SQRT($B$7))</f>
        <v>-3.58626989265116</v>
      </c>
      <c r="E1155" s="0" t="str">
        <f aca="false">IF(OR(AND($B$9="superior",D1155&gt;$B$10),AND($B$9="inferior",D1155&lt;-$B$10)),"Rechazar H0","No rechazar H0")</f>
        <v>Rechazar H0</v>
      </c>
      <c r="F1155" s="0" t="str">
        <f aca="false">IF(AND(B1155="H0 verdadera",E1155="Rechazar H0"),"Error tipo I",IF(AND(B1155="Ha verdadera",E1155="No rechazar H0"),"Error tipo II","Decisión correcta"))</f>
        <v>Decisión correcta</v>
      </c>
    </row>
    <row r="1156" customFormat="false" ht="15" hidden="false" customHeight="false" outlineLevel="0" collapsed="false">
      <c r="A1156" s="0" t="n">
        <v>1135</v>
      </c>
      <c r="B1156" s="0" t="s">
        <v>86</v>
      </c>
      <c r="C1156" s="17" t="n">
        <v>-0.274232725209783</v>
      </c>
      <c r="D1156" s="17" t="n">
        <f aca="false">(C1156-$B$4)/($B$6/SQRT($B$7))</f>
        <v>-1.37116362604892</v>
      </c>
      <c r="E1156" s="0" t="str">
        <f aca="false">IF(OR(AND($B$9="superior",D1156&gt;$B$10),AND($B$9="inferior",D1156&lt;-$B$10)),"Rechazar H0","No rechazar H0")</f>
        <v>No rechazar H0</v>
      </c>
      <c r="F1156" s="0" t="str">
        <f aca="false">IF(AND(B1156="H0 verdadera",E1156="Rechazar H0"),"Error tipo I",IF(AND(B1156="Ha verdadera",E1156="No rechazar H0"),"Error tipo II","Decisión correcta"))</f>
        <v>Error tipo II</v>
      </c>
    </row>
    <row r="1157" customFormat="false" ht="15" hidden="false" customHeight="false" outlineLevel="0" collapsed="false">
      <c r="A1157" s="0" t="n">
        <v>1136</v>
      </c>
      <c r="B1157" s="0" t="s">
        <v>85</v>
      </c>
      <c r="C1157" s="17" t="n">
        <v>-0.26761134669353</v>
      </c>
      <c r="D1157" s="17" t="n">
        <f aca="false">(C1157-$B$4)/($B$6/SQRT($B$7))</f>
        <v>-1.33805673346765</v>
      </c>
      <c r="E1157" s="0" t="str">
        <f aca="false">IF(OR(AND($B$9="superior",D1157&gt;$B$10),AND($B$9="inferior",D1157&lt;-$B$10)),"Rechazar H0","No rechazar H0")</f>
        <v>No rechazar H0</v>
      </c>
      <c r="F1157" s="0" t="str">
        <f aca="false">IF(AND(B1157="H0 verdadera",E1157="Rechazar H0"),"Error tipo I",IF(AND(B1157="Ha verdadera",E1157="No rechazar H0"),"Error tipo II","Decisión correcta"))</f>
        <v>Decisión correcta</v>
      </c>
    </row>
    <row r="1158" customFormat="false" ht="15" hidden="false" customHeight="false" outlineLevel="0" collapsed="false">
      <c r="A1158" s="0" t="n">
        <v>1137</v>
      </c>
      <c r="B1158" s="0" t="s">
        <v>86</v>
      </c>
      <c r="C1158" s="17" t="n">
        <v>-0.543894391124745</v>
      </c>
      <c r="D1158" s="17" t="n">
        <f aca="false">(C1158-$B$4)/($B$6/SQRT($B$7))</f>
        <v>-2.71947195562372</v>
      </c>
      <c r="E1158" s="0" t="str">
        <f aca="false">IF(OR(AND($B$9="superior",D1158&gt;$B$10),AND($B$9="inferior",D1158&lt;-$B$10)),"Rechazar H0","No rechazar H0")</f>
        <v>Rechazar H0</v>
      </c>
      <c r="F1158" s="0" t="str">
        <f aca="false">IF(AND(B1158="H0 verdadera",E1158="Rechazar H0"),"Error tipo I",IF(AND(B1158="Ha verdadera",E1158="No rechazar H0"),"Error tipo II","Decisión correcta"))</f>
        <v>Decisión correcta</v>
      </c>
    </row>
    <row r="1159" customFormat="false" ht="15" hidden="false" customHeight="false" outlineLevel="0" collapsed="false">
      <c r="A1159" s="0" t="n">
        <v>1138</v>
      </c>
      <c r="B1159" s="0" t="s">
        <v>86</v>
      </c>
      <c r="C1159" s="17" t="n">
        <v>-0.256785026399516</v>
      </c>
      <c r="D1159" s="17" t="n">
        <f aca="false">(C1159-$B$4)/($B$6/SQRT($B$7))</f>
        <v>-1.28392513199758</v>
      </c>
      <c r="E1159" s="0" t="str">
        <f aca="false">IF(OR(AND($B$9="superior",D1159&gt;$B$10),AND($B$9="inferior",D1159&lt;-$B$10)),"Rechazar H0","No rechazar H0")</f>
        <v>No rechazar H0</v>
      </c>
      <c r="F1159" s="0" t="str">
        <f aca="false">IF(AND(B1159="H0 verdadera",E1159="Rechazar H0"),"Error tipo I",IF(AND(B1159="Ha verdadera",E1159="No rechazar H0"),"Error tipo II","Decisión correcta"))</f>
        <v>Error tipo II</v>
      </c>
    </row>
    <row r="1160" customFormat="false" ht="15" hidden="false" customHeight="false" outlineLevel="0" collapsed="false">
      <c r="A1160" s="0" t="n">
        <v>1139</v>
      </c>
      <c r="B1160" s="0" t="s">
        <v>86</v>
      </c>
      <c r="C1160" s="17" t="n">
        <v>-0.399582395085223</v>
      </c>
      <c r="D1160" s="17" t="n">
        <f aca="false">(C1160-$B$4)/($B$6/SQRT($B$7))</f>
        <v>-1.99791197542611</v>
      </c>
      <c r="E1160" s="0" t="str">
        <f aca="false">IF(OR(AND($B$9="superior",D1160&gt;$B$10),AND($B$9="inferior",D1160&lt;-$B$10)),"Rechazar H0","No rechazar H0")</f>
        <v>Rechazar H0</v>
      </c>
      <c r="F1160" s="0" t="str">
        <f aca="false">IF(AND(B1160="H0 verdadera",E1160="Rechazar H0"),"Error tipo I",IF(AND(B1160="Ha verdadera",E1160="No rechazar H0"),"Error tipo II","Decisión correcta"))</f>
        <v>Decisión correcta</v>
      </c>
    </row>
    <row r="1161" customFormat="false" ht="15" hidden="false" customHeight="false" outlineLevel="0" collapsed="false">
      <c r="A1161" s="0" t="n">
        <v>1140</v>
      </c>
      <c r="B1161" s="0" t="s">
        <v>85</v>
      </c>
      <c r="C1161" s="17" t="n">
        <v>0.0830905005623756</v>
      </c>
      <c r="D1161" s="17" t="n">
        <f aca="false">(C1161-$B$4)/($B$6/SQRT($B$7))</f>
        <v>0.415452502811878</v>
      </c>
      <c r="E1161" s="0" t="str">
        <f aca="false">IF(OR(AND($B$9="superior",D1161&gt;$B$10),AND($B$9="inferior",D1161&lt;-$B$10)),"Rechazar H0","No rechazar H0")</f>
        <v>No rechazar H0</v>
      </c>
      <c r="F1161" s="0" t="str">
        <f aca="false">IF(AND(B1161="H0 verdadera",E1161="Rechazar H0"),"Error tipo I",IF(AND(B1161="Ha verdadera",E1161="No rechazar H0"),"Error tipo II","Decisión correcta"))</f>
        <v>Decisión correcta</v>
      </c>
    </row>
    <row r="1162" customFormat="false" ht="15" hidden="false" customHeight="false" outlineLevel="0" collapsed="false">
      <c r="A1162" s="0" t="n">
        <v>1141</v>
      </c>
      <c r="B1162" s="0" t="s">
        <v>85</v>
      </c>
      <c r="C1162" s="17" t="n">
        <v>-0.248831783607344</v>
      </c>
      <c r="D1162" s="17" t="n">
        <f aca="false">(C1162-$B$4)/($B$6/SQRT($B$7))</f>
        <v>-1.24415891803672</v>
      </c>
      <c r="E1162" s="0" t="str">
        <f aca="false">IF(OR(AND($B$9="superior",D1162&gt;$B$10),AND($B$9="inferior",D1162&lt;-$B$10)),"Rechazar H0","No rechazar H0")</f>
        <v>No rechazar H0</v>
      </c>
      <c r="F1162" s="0" t="str">
        <f aca="false">IF(AND(B1162="H0 verdadera",E1162="Rechazar H0"),"Error tipo I",IF(AND(B1162="Ha verdadera",E1162="No rechazar H0"),"Error tipo II","Decisión correcta"))</f>
        <v>Decisión correcta</v>
      </c>
    </row>
    <row r="1163" customFormat="false" ht="15" hidden="false" customHeight="false" outlineLevel="0" collapsed="false">
      <c r="A1163" s="0" t="n">
        <v>1142</v>
      </c>
      <c r="B1163" s="0" t="s">
        <v>86</v>
      </c>
      <c r="C1163" s="17" t="n">
        <v>-0.436995027522737</v>
      </c>
      <c r="D1163" s="17" t="n">
        <f aca="false">(C1163-$B$4)/($B$6/SQRT($B$7))</f>
        <v>-2.18497513761369</v>
      </c>
      <c r="E1163" s="0" t="str">
        <f aca="false">IF(OR(AND($B$9="superior",D1163&gt;$B$10),AND($B$9="inferior",D1163&lt;-$B$10)),"Rechazar H0","No rechazar H0")</f>
        <v>Rechazar H0</v>
      </c>
      <c r="F1163" s="0" t="str">
        <f aca="false">IF(AND(B1163="H0 verdadera",E1163="Rechazar H0"),"Error tipo I",IF(AND(B1163="Ha verdadera",E1163="No rechazar H0"),"Error tipo II","Decisión correcta"))</f>
        <v>Decisión correcta</v>
      </c>
    </row>
    <row r="1164" customFormat="false" ht="15" hidden="false" customHeight="false" outlineLevel="0" collapsed="false">
      <c r="A1164" s="0" t="n">
        <v>1143</v>
      </c>
      <c r="B1164" s="0" t="s">
        <v>86</v>
      </c>
      <c r="C1164" s="17" t="n">
        <v>-0.444055829441827</v>
      </c>
      <c r="D1164" s="17" t="n">
        <f aca="false">(C1164-$B$4)/($B$6/SQRT($B$7))</f>
        <v>-2.22027914720913</v>
      </c>
      <c r="E1164" s="0" t="str">
        <f aca="false">IF(OR(AND($B$9="superior",D1164&gt;$B$10),AND($B$9="inferior",D1164&lt;-$B$10)),"Rechazar H0","No rechazar H0")</f>
        <v>Rechazar H0</v>
      </c>
      <c r="F1164" s="0" t="str">
        <f aca="false">IF(AND(B1164="H0 verdadera",E1164="Rechazar H0"),"Error tipo I",IF(AND(B1164="Ha verdadera",E1164="No rechazar H0"),"Error tipo II","Decisión correcta"))</f>
        <v>Decisión correcta</v>
      </c>
    </row>
    <row r="1165" customFormat="false" ht="15" hidden="false" customHeight="false" outlineLevel="0" collapsed="false">
      <c r="A1165" s="0" t="n">
        <v>1144</v>
      </c>
      <c r="B1165" s="0" t="s">
        <v>85</v>
      </c>
      <c r="C1165" s="17" t="n">
        <v>-0.140569497700882</v>
      </c>
      <c r="D1165" s="17" t="n">
        <f aca="false">(C1165-$B$4)/($B$6/SQRT($B$7))</f>
        <v>-0.702847488504408</v>
      </c>
      <c r="E1165" s="0" t="str">
        <f aca="false">IF(OR(AND($B$9="superior",D1165&gt;$B$10),AND($B$9="inferior",D1165&lt;-$B$10)),"Rechazar H0","No rechazar H0")</f>
        <v>No rechazar H0</v>
      </c>
      <c r="F1165" s="0" t="str">
        <f aca="false">IF(AND(B1165="H0 verdadera",E1165="Rechazar H0"),"Error tipo I",IF(AND(B1165="Ha verdadera",E1165="No rechazar H0"),"Error tipo II","Decisión correcta"))</f>
        <v>Decisión correcta</v>
      </c>
    </row>
    <row r="1166" customFormat="false" ht="15" hidden="false" customHeight="false" outlineLevel="0" collapsed="false">
      <c r="A1166" s="0" t="n">
        <v>1145</v>
      </c>
      <c r="B1166" s="0" t="s">
        <v>86</v>
      </c>
      <c r="C1166" s="17" t="n">
        <v>-0.558596024929172</v>
      </c>
      <c r="D1166" s="17" t="n">
        <f aca="false">(C1166-$B$4)/($B$6/SQRT($B$7))</f>
        <v>-2.79298012464586</v>
      </c>
      <c r="E1166" s="0" t="str">
        <f aca="false">IF(OR(AND($B$9="superior",D1166&gt;$B$10),AND($B$9="inferior",D1166&lt;-$B$10)),"Rechazar H0","No rechazar H0")</f>
        <v>Rechazar H0</v>
      </c>
      <c r="F1166" s="0" t="str">
        <f aca="false">IF(AND(B1166="H0 verdadera",E1166="Rechazar H0"),"Error tipo I",IF(AND(B1166="Ha verdadera",E1166="No rechazar H0"),"Error tipo II","Decisión correcta"))</f>
        <v>Decisión correcta</v>
      </c>
    </row>
    <row r="1167" customFormat="false" ht="15" hidden="false" customHeight="false" outlineLevel="0" collapsed="false">
      <c r="A1167" s="0" t="n">
        <v>1146</v>
      </c>
      <c r="B1167" s="0" t="s">
        <v>86</v>
      </c>
      <c r="C1167" s="17" t="n">
        <v>-0.470976815182987</v>
      </c>
      <c r="D1167" s="17" t="n">
        <f aca="false">(C1167-$B$4)/($B$6/SQRT($B$7))</f>
        <v>-2.35488407591494</v>
      </c>
      <c r="E1167" s="0" t="str">
        <f aca="false">IF(OR(AND($B$9="superior",D1167&gt;$B$10),AND($B$9="inferior",D1167&lt;-$B$10)),"Rechazar H0","No rechazar H0")</f>
        <v>Rechazar H0</v>
      </c>
      <c r="F1167" s="0" t="str">
        <f aca="false">IF(AND(B1167="H0 verdadera",E1167="Rechazar H0"),"Error tipo I",IF(AND(B1167="Ha verdadera",E1167="No rechazar H0"),"Error tipo II","Decisión correcta"))</f>
        <v>Decisión correcta</v>
      </c>
    </row>
    <row r="1168" customFormat="false" ht="15" hidden="false" customHeight="false" outlineLevel="0" collapsed="false">
      <c r="A1168" s="0" t="n">
        <v>1147</v>
      </c>
      <c r="B1168" s="0" t="s">
        <v>85</v>
      </c>
      <c r="C1168" s="17" t="n">
        <v>0.0885442564223164</v>
      </c>
      <c r="D1168" s="17" t="n">
        <f aca="false">(C1168-$B$4)/($B$6/SQRT($B$7))</f>
        <v>0.442721282111582</v>
      </c>
      <c r="E1168" s="0" t="str">
        <f aca="false">IF(OR(AND($B$9="superior",D1168&gt;$B$10),AND($B$9="inferior",D1168&lt;-$B$10)),"Rechazar H0","No rechazar H0")</f>
        <v>No rechazar H0</v>
      </c>
      <c r="F1168" s="0" t="str">
        <f aca="false">IF(AND(B1168="H0 verdadera",E1168="Rechazar H0"),"Error tipo I",IF(AND(B1168="Ha verdadera",E1168="No rechazar H0"),"Error tipo II","Decisión correcta"))</f>
        <v>Decisión correcta</v>
      </c>
    </row>
    <row r="1169" customFormat="false" ht="15" hidden="false" customHeight="false" outlineLevel="0" collapsed="false">
      <c r="A1169" s="0" t="n">
        <v>1148</v>
      </c>
      <c r="B1169" s="0" t="s">
        <v>85</v>
      </c>
      <c r="C1169" s="17" t="n">
        <v>-0.122205962559448</v>
      </c>
      <c r="D1169" s="17" t="n">
        <f aca="false">(C1169-$B$4)/($B$6/SQRT($B$7))</f>
        <v>-0.611029812797239</v>
      </c>
      <c r="E1169" s="0" t="str">
        <f aca="false">IF(OR(AND($B$9="superior",D1169&gt;$B$10),AND($B$9="inferior",D1169&lt;-$B$10)),"Rechazar H0","No rechazar H0")</f>
        <v>No rechazar H0</v>
      </c>
      <c r="F1169" s="0" t="str">
        <f aca="false">IF(AND(B1169="H0 verdadera",E1169="Rechazar H0"),"Error tipo I",IF(AND(B1169="Ha verdadera",E1169="No rechazar H0"),"Error tipo II","Decisión correcta"))</f>
        <v>Decisión correcta</v>
      </c>
    </row>
    <row r="1170" customFormat="false" ht="15" hidden="false" customHeight="false" outlineLevel="0" collapsed="false">
      <c r="A1170" s="0" t="n">
        <v>1149</v>
      </c>
      <c r="B1170" s="0" t="s">
        <v>85</v>
      </c>
      <c r="C1170" s="17" t="n">
        <v>-0.066370101056086</v>
      </c>
      <c r="D1170" s="17" t="n">
        <f aca="false">(C1170-$B$4)/($B$6/SQRT($B$7))</f>
        <v>-0.33185050528043</v>
      </c>
      <c r="E1170" s="0" t="str">
        <f aca="false">IF(OR(AND($B$9="superior",D1170&gt;$B$10),AND($B$9="inferior",D1170&lt;-$B$10)),"Rechazar H0","No rechazar H0")</f>
        <v>No rechazar H0</v>
      </c>
      <c r="F1170" s="0" t="str">
        <f aca="false">IF(AND(B1170="H0 verdadera",E1170="Rechazar H0"),"Error tipo I",IF(AND(B1170="Ha verdadera",E1170="No rechazar H0"),"Error tipo II","Decisión correcta"))</f>
        <v>Decisión correcta</v>
      </c>
    </row>
    <row r="1171" customFormat="false" ht="15" hidden="false" customHeight="false" outlineLevel="0" collapsed="false">
      <c r="A1171" s="0" t="n">
        <v>1150</v>
      </c>
      <c r="B1171" s="0" t="s">
        <v>86</v>
      </c>
      <c r="C1171" s="17" t="n">
        <v>-0.0148006934823156</v>
      </c>
      <c r="D1171" s="17" t="n">
        <f aca="false">(C1171-$B$4)/($B$6/SQRT($B$7))</f>
        <v>-0.0740034674115779</v>
      </c>
      <c r="E1171" s="0" t="str">
        <f aca="false">IF(OR(AND($B$9="superior",D1171&gt;$B$10),AND($B$9="inferior",D1171&lt;-$B$10)),"Rechazar H0","No rechazar H0")</f>
        <v>No rechazar H0</v>
      </c>
      <c r="F1171" s="0" t="str">
        <f aca="false">IF(AND(B1171="H0 verdadera",E1171="Rechazar H0"),"Error tipo I",IF(AND(B1171="Ha verdadera",E1171="No rechazar H0"),"Error tipo II","Decisión correcta"))</f>
        <v>Error tipo II</v>
      </c>
    </row>
    <row r="1172" customFormat="false" ht="15" hidden="false" customHeight="false" outlineLevel="0" collapsed="false">
      <c r="A1172" s="0" t="n">
        <v>1151</v>
      </c>
      <c r="B1172" s="0" t="s">
        <v>85</v>
      </c>
      <c r="C1172" s="17" t="n">
        <v>-0.126093831810134</v>
      </c>
      <c r="D1172" s="17" t="n">
        <f aca="false">(C1172-$B$4)/($B$6/SQRT($B$7))</f>
        <v>-0.630469159050672</v>
      </c>
      <c r="E1172" s="0" t="str">
        <f aca="false">IF(OR(AND($B$9="superior",D1172&gt;$B$10),AND($B$9="inferior",D1172&lt;-$B$10)),"Rechazar H0","No rechazar H0")</f>
        <v>No rechazar H0</v>
      </c>
      <c r="F1172" s="0" t="str">
        <f aca="false">IF(AND(B1172="H0 verdadera",E1172="Rechazar H0"),"Error tipo I",IF(AND(B1172="Ha verdadera",E1172="No rechazar H0"),"Error tipo II","Decisión correcta"))</f>
        <v>Decisión correcta</v>
      </c>
    </row>
    <row r="1173" customFormat="false" ht="15" hidden="false" customHeight="false" outlineLevel="0" collapsed="false">
      <c r="A1173" s="0" t="n">
        <v>1152</v>
      </c>
      <c r="B1173" s="0" t="s">
        <v>86</v>
      </c>
      <c r="C1173" s="17" t="n">
        <v>-0.61990975496807</v>
      </c>
      <c r="D1173" s="17" t="n">
        <f aca="false">(C1173-$B$4)/($B$6/SQRT($B$7))</f>
        <v>-3.09954877484035</v>
      </c>
      <c r="E1173" s="0" t="str">
        <f aca="false">IF(OR(AND($B$9="superior",D1173&gt;$B$10),AND($B$9="inferior",D1173&lt;-$B$10)),"Rechazar H0","No rechazar H0")</f>
        <v>Rechazar H0</v>
      </c>
      <c r="F1173" s="0" t="str">
        <f aca="false">IF(AND(B1173="H0 verdadera",E1173="Rechazar H0"),"Error tipo I",IF(AND(B1173="Ha verdadera",E1173="No rechazar H0"),"Error tipo II","Decisión correcta"))</f>
        <v>Decisión correcta</v>
      </c>
    </row>
    <row r="1174" customFormat="false" ht="15" hidden="false" customHeight="false" outlineLevel="0" collapsed="false">
      <c r="A1174" s="0" t="n">
        <v>1153</v>
      </c>
      <c r="B1174" s="0" t="s">
        <v>86</v>
      </c>
      <c r="C1174" s="17" t="n">
        <v>-0.601808925278881</v>
      </c>
      <c r="D1174" s="17" t="n">
        <f aca="false">(C1174-$B$4)/($B$6/SQRT($B$7))</f>
        <v>-3.00904462639441</v>
      </c>
      <c r="E1174" s="0" t="str">
        <f aca="false">IF(OR(AND($B$9="superior",D1174&gt;$B$10),AND($B$9="inferior",D1174&lt;-$B$10)),"Rechazar H0","No rechazar H0")</f>
        <v>Rechazar H0</v>
      </c>
      <c r="F1174" s="0" t="str">
        <f aca="false">IF(AND(B1174="H0 verdadera",E1174="Rechazar H0"),"Error tipo I",IF(AND(B1174="Ha verdadera",E1174="No rechazar H0"),"Error tipo II","Decisión correcta"))</f>
        <v>Decisión correcta</v>
      </c>
    </row>
    <row r="1175" customFormat="false" ht="15" hidden="false" customHeight="false" outlineLevel="0" collapsed="false">
      <c r="A1175" s="0" t="n">
        <v>1154</v>
      </c>
      <c r="B1175" s="0" t="s">
        <v>86</v>
      </c>
      <c r="C1175" s="17" t="n">
        <v>-0.182041650687298</v>
      </c>
      <c r="D1175" s="17" t="n">
        <f aca="false">(C1175-$B$4)/($B$6/SQRT($B$7))</f>
        <v>-0.910208253436491</v>
      </c>
      <c r="E1175" s="0" t="str">
        <f aca="false">IF(OR(AND($B$9="superior",D1175&gt;$B$10),AND($B$9="inferior",D1175&lt;-$B$10)),"Rechazar H0","No rechazar H0")</f>
        <v>No rechazar H0</v>
      </c>
      <c r="F1175" s="0" t="str">
        <f aca="false">IF(AND(B1175="H0 verdadera",E1175="Rechazar H0"),"Error tipo I",IF(AND(B1175="Ha verdadera",E1175="No rechazar H0"),"Error tipo II","Decisión correcta"))</f>
        <v>Error tipo II</v>
      </c>
    </row>
    <row r="1176" customFormat="false" ht="15" hidden="false" customHeight="false" outlineLevel="0" collapsed="false">
      <c r="A1176" s="0" t="n">
        <v>1155</v>
      </c>
      <c r="B1176" s="0" t="s">
        <v>86</v>
      </c>
      <c r="C1176" s="17" t="n">
        <v>-0.552954402123437</v>
      </c>
      <c r="D1176" s="17" t="n">
        <f aca="false">(C1176-$B$4)/($B$6/SQRT($B$7))</f>
        <v>-2.76477201061718</v>
      </c>
      <c r="E1176" s="0" t="str">
        <f aca="false">IF(OR(AND($B$9="superior",D1176&gt;$B$10),AND($B$9="inferior",D1176&lt;-$B$10)),"Rechazar H0","No rechazar H0")</f>
        <v>Rechazar H0</v>
      </c>
      <c r="F1176" s="0" t="str">
        <f aca="false">IF(AND(B1176="H0 verdadera",E1176="Rechazar H0"),"Error tipo I",IF(AND(B1176="Ha verdadera",E1176="No rechazar H0"),"Error tipo II","Decisión correcta"))</f>
        <v>Decisión correcta</v>
      </c>
    </row>
    <row r="1177" customFormat="false" ht="15" hidden="false" customHeight="false" outlineLevel="0" collapsed="false">
      <c r="A1177" s="0" t="n">
        <v>1156</v>
      </c>
      <c r="B1177" s="0" t="s">
        <v>85</v>
      </c>
      <c r="C1177" s="17" t="n">
        <v>0.0875518855688961</v>
      </c>
      <c r="D1177" s="17" t="n">
        <f aca="false">(C1177-$B$4)/($B$6/SQRT($B$7))</f>
        <v>0.437759427844481</v>
      </c>
      <c r="E1177" s="0" t="str">
        <f aca="false">IF(OR(AND($B$9="superior",D1177&gt;$B$10),AND($B$9="inferior",D1177&lt;-$B$10)),"Rechazar H0","No rechazar H0")</f>
        <v>No rechazar H0</v>
      </c>
      <c r="F1177" s="0" t="str">
        <f aca="false">IF(AND(B1177="H0 verdadera",E1177="Rechazar H0"),"Error tipo I",IF(AND(B1177="Ha verdadera",E1177="No rechazar H0"),"Error tipo II","Decisión correcta"))</f>
        <v>Decisión correcta</v>
      </c>
    </row>
    <row r="1178" customFormat="false" ht="15" hidden="false" customHeight="false" outlineLevel="0" collapsed="false">
      <c r="A1178" s="0" t="n">
        <v>1157</v>
      </c>
      <c r="B1178" s="0" t="s">
        <v>85</v>
      </c>
      <c r="C1178" s="17" t="n">
        <v>0.0354763597624767</v>
      </c>
      <c r="D1178" s="17" t="n">
        <f aca="false">(C1178-$B$4)/($B$6/SQRT($B$7))</f>
        <v>0.177381798812383</v>
      </c>
      <c r="E1178" s="0" t="str">
        <f aca="false">IF(OR(AND($B$9="superior",D1178&gt;$B$10),AND($B$9="inferior",D1178&lt;-$B$10)),"Rechazar H0","No rechazar H0")</f>
        <v>No rechazar H0</v>
      </c>
      <c r="F1178" s="0" t="str">
        <f aca="false">IF(AND(B1178="H0 verdadera",E1178="Rechazar H0"),"Error tipo I",IF(AND(B1178="Ha verdadera",E1178="No rechazar H0"),"Error tipo II","Decisión correcta"))</f>
        <v>Decisión correcta</v>
      </c>
    </row>
    <row r="1179" customFormat="false" ht="15" hidden="false" customHeight="false" outlineLevel="0" collapsed="false">
      <c r="A1179" s="0" t="n">
        <v>1158</v>
      </c>
      <c r="B1179" s="0" t="s">
        <v>86</v>
      </c>
      <c r="C1179" s="17" t="n">
        <v>-0.451979971179359</v>
      </c>
      <c r="D1179" s="17" t="n">
        <f aca="false">(C1179-$B$4)/($B$6/SQRT($B$7))</f>
        <v>-2.25989985589679</v>
      </c>
      <c r="E1179" s="0" t="str">
        <f aca="false">IF(OR(AND($B$9="superior",D1179&gt;$B$10),AND($B$9="inferior",D1179&lt;-$B$10)),"Rechazar H0","No rechazar H0")</f>
        <v>Rechazar H0</v>
      </c>
      <c r="F1179" s="0" t="str">
        <f aca="false">IF(AND(B1179="H0 verdadera",E1179="Rechazar H0"),"Error tipo I",IF(AND(B1179="Ha verdadera",E1179="No rechazar H0"),"Error tipo II","Decisión correcta"))</f>
        <v>Decisión correcta</v>
      </c>
    </row>
    <row r="1180" customFormat="false" ht="15" hidden="false" customHeight="false" outlineLevel="0" collapsed="false">
      <c r="A1180" s="0" t="n">
        <v>1159</v>
      </c>
      <c r="B1180" s="0" t="s">
        <v>85</v>
      </c>
      <c r="C1180" s="17" t="n">
        <v>-0.0475333770423516</v>
      </c>
      <c r="D1180" s="17" t="n">
        <f aca="false">(C1180-$B$4)/($B$6/SQRT($B$7))</f>
        <v>-0.237666885211758</v>
      </c>
      <c r="E1180" s="0" t="str">
        <f aca="false">IF(OR(AND($B$9="superior",D1180&gt;$B$10),AND($B$9="inferior",D1180&lt;-$B$10)),"Rechazar H0","No rechazar H0")</f>
        <v>No rechazar H0</v>
      </c>
      <c r="F1180" s="0" t="str">
        <f aca="false">IF(AND(B1180="H0 verdadera",E1180="Rechazar H0"),"Error tipo I",IF(AND(B1180="Ha verdadera",E1180="No rechazar H0"),"Error tipo II","Decisión correcta"))</f>
        <v>Decisión correcta</v>
      </c>
    </row>
    <row r="1181" customFormat="false" ht="15" hidden="false" customHeight="false" outlineLevel="0" collapsed="false">
      <c r="A1181" s="0" t="n">
        <v>1160</v>
      </c>
      <c r="B1181" s="0" t="s">
        <v>85</v>
      </c>
      <c r="C1181" s="17" t="n">
        <v>0.0233292212527324</v>
      </c>
      <c r="D1181" s="17" t="n">
        <f aca="false">(C1181-$B$4)/($B$6/SQRT($B$7))</f>
        <v>0.116646106263662</v>
      </c>
      <c r="E1181" s="0" t="str">
        <f aca="false">IF(OR(AND($B$9="superior",D1181&gt;$B$10),AND($B$9="inferior",D1181&lt;-$B$10)),"Rechazar H0","No rechazar H0")</f>
        <v>No rechazar H0</v>
      </c>
      <c r="F1181" s="0" t="str">
        <f aca="false">IF(AND(B1181="H0 verdadera",E1181="Rechazar H0"),"Error tipo I",IF(AND(B1181="Ha verdadera",E1181="No rechazar H0"),"Error tipo II","Decisión correcta"))</f>
        <v>Decisión correcta</v>
      </c>
    </row>
    <row r="1182" customFormat="false" ht="15" hidden="false" customHeight="false" outlineLevel="0" collapsed="false">
      <c r="A1182" s="0" t="n">
        <v>1161</v>
      </c>
      <c r="B1182" s="0" t="s">
        <v>85</v>
      </c>
      <c r="C1182" s="17" t="n">
        <v>0.0737159179144862</v>
      </c>
      <c r="D1182" s="17" t="n">
        <f aca="false">(C1182-$B$4)/($B$6/SQRT($B$7))</f>
        <v>0.368579589572431</v>
      </c>
      <c r="E1182" s="0" t="str">
        <f aca="false">IF(OR(AND($B$9="superior",D1182&gt;$B$10),AND($B$9="inferior",D1182&lt;-$B$10)),"Rechazar H0","No rechazar H0")</f>
        <v>No rechazar H0</v>
      </c>
      <c r="F1182" s="0" t="str">
        <f aca="false">IF(AND(B1182="H0 verdadera",E1182="Rechazar H0"),"Error tipo I",IF(AND(B1182="Ha verdadera",E1182="No rechazar H0"),"Error tipo II","Decisión correcta"))</f>
        <v>Decisión correcta</v>
      </c>
    </row>
    <row r="1183" customFormat="false" ht="15" hidden="false" customHeight="false" outlineLevel="0" collapsed="false">
      <c r="A1183" s="0" t="n">
        <v>1162</v>
      </c>
      <c r="B1183" s="0" t="s">
        <v>85</v>
      </c>
      <c r="C1183" s="17" t="n">
        <v>0.0275880393072457</v>
      </c>
      <c r="D1183" s="17" t="n">
        <f aca="false">(C1183-$B$4)/($B$6/SQRT($B$7))</f>
        <v>0.137940196536229</v>
      </c>
      <c r="E1183" s="0" t="str">
        <f aca="false">IF(OR(AND($B$9="superior",D1183&gt;$B$10),AND($B$9="inferior",D1183&lt;-$B$10)),"Rechazar H0","No rechazar H0")</f>
        <v>No rechazar H0</v>
      </c>
      <c r="F1183" s="0" t="str">
        <f aca="false">IF(AND(B1183="H0 verdadera",E1183="Rechazar H0"),"Error tipo I",IF(AND(B1183="Ha verdadera",E1183="No rechazar H0"),"Error tipo II","Decisión correcta"))</f>
        <v>Decisión correcta</v>
      </c>
    </row>
    <row r="1184" customFormat="false" ht="15" hidden="false" customHeight="false" outlineLevel="0" collapsed="false">
      <c r="A1184" s="0" t="n">
        <v>1163</v>
      </c>
      <c r="B1184" s="0" t="s">
        <v>85</v>
      </c>
      <c r="C1184" s="17" t="n">
        <v>-0.234382480254835</v>
      </c>
      <c r="D1184" s="17" t="n">
        <f aca="false">(C1184-$B$4)/($B$6/SQRT($B$7))</f>
        <v>-1.17191240127417</v>
      </c>
      <c r="E1184" s="0" t="str">
        <f aca="false">IF(OR(AND($B$9="superior",D1184&gt;$B$10),AND($B$9="inferior",D1184&lt;-$B$10)),"Rechazar H0","No rechazar H0")</f>
        <v>No rechazar H0</v>
      </c>
      <c r="F1184" s="0" t="str">
        <f aca="false">IF(AND(B1184="H0 verdadera",E1184="Rechazar H0"),"Error tipo I",IF(AND(B1184="Ha verdadera",E1184="No rechazar H0"),"Error tipo II","Decisión correcta"))</f>
        <v>Decisión correcta</v>
      </c>
    </row>
    <row r="1185" customFormat="false" ht="15" hidden="false" customHeight="false" outlineLevel="0" collapsed="false">
      <c r="A1185" s="0" t="n">
        <v>1164</v>
      </c>
      <c r="B1185" s="0" t="s">
        <v>85</v>
      </c>
      <c r="C1185" s="17" t="n">
        <v>0.0490309010014085</v>
      </c>
      <c r="D1185" s="17" t="n">
        <f aca="false">(C1185-$B$4)/($B$6/SQRT($B$7))</f>
        <v>0.245154505007043</v>
      </c>
      <c r="E1185" s="0" t="str">
        <f aca="false">IF(OR(AND($B$9="superior",D1185&gt;$B$10),AND($B$9="inferior",D1185&lt;-$B$10)),"Rechazar H0","No rechazar H0")</f>
        <v>No rechazar H0</v>
      </c>
      <c r="F1185" s="0" t="str">
        <f aca="false">IF(AND(B1185="H0 verdadera",E1185="Rechazar H0"),"Error tipo I",IF(AND(B1185="Ha verdadera",E1185="No rechazar H0"),"Error tipo II","Decisión correcta"))</f>
        <v>Decisión correcta</v>
      </c>
    </row>
    <row r="1186" customFormat="false" ht="15" hidden="false" customHeight="false" outlineLevel="0" collapsed="false">
      <c r="A1186" s="0" t="n">
        <v>1165</v>
      </c>
      <c r="B1186" s="0" t="s">
        <v>85</v>
      </c>
      <c r="C1186" s="17" t="n">
        <v>-0.0806405955946369</v>
      </c>
      <c r="D1186" s="17" t="n">
        <f aca="false">(C1186-$B$4)/($B$6/SQRT($B$7))</f>
        <v>-0.403202977973184</v>
      </c>
      <c r="E1186" s="0" t="str">
        <f aca="false">IF(OR(AND($B$9="superior",D1186&gt;$B$10),AND($B$9="inferior",D1186&lt;-$B$10)),"Rechazar H0","No rechazar H0")</f>
        <v>No rechazar H0</v>
      </c>
      <c r="F1186" s="0" t="str">
        <f aca="false">IF(AND(B1186="H0 verdadera",E1186="Rechazar H0"),"Error tipo I",IF(AND(B1186="Ha verdadera",E1186="No rechazar H0"),"Error tipo II","Decisión correcta"))</f>
        <v>Decisión correcta</v>
      </c>
    </row>
    <row r="1187" customFormat="false" ht="15" hidden="false" customHeight="false" outlineLevel="0" collapsed="false">
      <c r="A1187" s="0" t="n">
        <v>1166</v>
      </c>
      <c r="B1187" s="0" t="s">
        <v>86</v>
      </c>
      <c r="C1187" s="17" t="n">
        <v>-0.186268294212974</v>
      </c>
      <c r="D1187" s="17" t="n">
        <f aca="false">(C1187-$B$4)/($B$6/SQRT($B$7))</f>
        <v>-0.931341471064871</v>
      </c>
      <c r="E1187" s="0" t="str">
        <f aca="false">IF(OR(AND($B$9="superior",D1187&gt;$B$10),AND($B$9="inferior",D1187&lt;-$B$10)),"Rechazar H0","No rechazar H0")</f>
        <v>No rechazar H0</v>
      </c>
      <c r="F1187" s="0" t="str">
        <f aca="false">IF(AND(B1187="H0 verdadera",E1187="Rechazar H0"),"Error tipo I",IF(AND(B1187="Ha verdadera",E1187="No rechazar H0"),"Error tipo II","Decisión correcta"))</f>
        <v>Error tipo II</v>
      </c>
    </row>
    <row r="1188" customFormat="false" ht="15" hidden="false" customHeight="false" outlineLevel="0" collapsed="false">
      <c r="A1188" s="0" t="n">
        <v>1167</v>
      </c>
      <c r="B1188" s="0" t="s">
        <v>85</v>
      </c>
      <c r="C1188" s="17" t="n">
        <v>-0.291986012723321</v>
      </c>
      <c r="D1188" s="17" t="n">
        <f aca="false">(C1188-$B$4)/($B$6/SQRT($B$7))</f>
        <v>-1.4599300636166</v>
      </c>
      <c r="E1188" s="0" t="str">
        <f aca="false">IF(OR(AND($B$9="superior",D1188&gt;$B$10),AND($B$9="inferior",D1188&lt;-$B$10)),"Rechazar H0","No rechazar H0")</f>
        <v>No rechazar H0</v>
      </c>
      <c r="F1188" s="0" t="str">
        <f aca="false">IF(AND(B1188="H0 verdadera",E1188="Rechazar H0"),"Error tipo I",IF(AND(B1188="Ha verdadera",E1188="No rechazar H0"),"Error tipo II","Decisión correcta"))</f>
        <v>Decisión correcta</v>
      </c>
    </row>
    <row r="1189" customFormat="false" ht="15" hidden="false" customHeight="false" outlineLevel="0" collapsed="false">
      <c r="A1189" s="0" t="n">
        <v>1168</v>
      </c>
      <c r="B1189" s="0" t="s">
        <v>86</v>
      </c>
      <c r="C1189" s="17" t="n">
        <v>-0.365019324641908</v>
      </c>
      <c r="D1189" s="17" t="n">
        <f aca="false">(C1189-$B$4)/($B$6/SQRT($B$7))</f>
        <v>-1.82509662320954</v>
      </c>
      <c r="E1189" s="0" t="str">
        <f aca="false">IF(OR(AND($B$9="superior",D1189&gt;$B$10),AND($B$9="inferior",D1189&lt;-$B$10)),"Rechazar H0","No rechazar H0")</f>
        <v>Rechazar H0</v>
      </c>
      <c r="F1189" s="0" t="str">
        <f aca="false">IF(AND(B1189="H0 verdadera",E1189="Rechazar H0"),"Error tipo I",IF(AND(B1189="Ha verdadera",E1189="No rechazar H0"),"Error tipo II","Decisión correcta"))</f>
        <v>Decisión correcta</v>
      </c>
    </row>
    <row r="1190" customFormat="false" ht="15" hidden="false" customHeight="false" outlineLevel="0" collapsed="false">
      <c r="A1190" s="0" t="n">
        <v>1169</v>
      </c>
      <c r="B1190" s="0" t="s">
        <v>85</v>
      </c>
      <c r="C1190" s="17" t="n">
        <v>0.346697463745174</v>
      </c>
      <c r="D1190" s="17" t="n">
        <f aca="false">(C1190-$B$4)/($B$6/SQRT($B$7))</f>
        <v>1.73348731872587</v>
      </c>
      <c r="E1190" s="0" t="str">
        <f aca="false">IF(OR(AND($B$9="superior",D1190&gt;$B$10),AND($B$9="inferior",D1190&lt;-$B$10)),"Rechazar H0","No rechazar H0")</f>
        <v>No rechazar H0</v>
      </c>
      <c r="F1190" s="0" t="str">
        <f aca="false">IF(AND(B1190="H0 verdadera",E1190="Rechazar H0"),"Error tipo I",IF(AND(B1190="Ha verdadera",E1190="No rechazar H0"),"Error tipo II","Decisión correcta"))</f>
        <v>Decisión correcta</v>
      </c>
    </row>
    <row r="1191" customFormat="false" ht="15" hidden="false" customHeight="false" outlineLevel="0" collapsed="false">
      <c r="A1191" s="0" t="n">
        <v>1170</v>
      </c>
      <c r="B1191" s="0" t="s">
        <v>86</v>
      </c>
      <c r="C1191" s="17" t="n">
        <v>-0.265701916208812</v>
      </c>
      <c r="D1191" s="17" t="n">
        <f aca="false">(C1191-$B$4)/($B$6/SQRT($B$7))</f>
        <v>-1.32850958104406</v>
      </c>
      <c r="E1191" s="0" t="str">
        <f aca="false">IF(OR(AND($B$9="superior",D1191&gt;$B$10),AND($B$9="inferior",D1191&lt;-$B$10)),"Rechazar H0","No rechazar H0")</f>
        <v>No rechazar H0</v>
      </c>
      <c r="F1191" s="0" t="str">
        <f aca="false">IF(AND(B1191="H0 verdadera",E1191="Rechazar H0"),"Error tipo I",IF(AND(B1191="Ha verdadera",E1191="No rechazar H0"),"Error tipo II","Decisión correcta"))</f>
        <v>Error tipo II</v>
      </c>
    </row>
    <row r="1192" customFormat="false" ht="15" hidden="false" customHeight="false" outlineLevel="0" collapsed="false">
      <c r="A1192" s="0" t="n">
        <v>1171</v>
      </c>
      <c r="B1192" s="0" t="s">
        <v>86</v>
      </c>
      <c r="C1192" s="17" t="n">
        <v>-0.324283304594325</v>
      </c>
      <c r="D1192" s="17" t="n">
        <f aca="false">(C1192-$B$4)/($B$6/SQRT($B$7))</f>
        <v>-1.62141652297163</v>
      </c>
      <c r="E1192" s="0" t="str">
        <f aca="false">IF(OR(AND($B$9="superior",D1192&gt;$B$10),AND($B$9="inferior",D1192&lt;-$B$10)),"Rechazar H0","No rechazar H0")</f>
        <v>No rechazar H0</v>
      </c>
      <c r="F1192" s="0" t="str">
        <f aca="false">IF(AND(B1192="H0 verdadera",E1192="Rechazar H0"),"Error tipo I",IF(AND(B1192="Ha verdadera",E1192="No rechazar H0"),"Error tipo II","Decisión correcta"))</f>
        <v>Error tipo II</v>
      </c>
    </row>
    <row r="1193" customFormat="false" ht="15" hidden="false" customHeight="false" outlineLevel="0" collapsed="false">
      <c r="A1193" s="0" t="n">
        <v>1172</v>
      </c>
      <c r="B1193" s="0" t="s">
        <v>86</v>
      </c>
      <c r="C1193" s="17" t="n">
        <v>-0.335297174315409</v>
      </c>
      <c r="D1193" s="17" t="n">
        <f aca="false">(C1193-$B$4)/($B$6/SQRT($B$7))</f>
        <v>-1.67648587157705</v>
      </c>
      <c r="E1193" s="0" t="str">
        <f aca="false">IF(OR(AND($B$9="superior",D1193&gt;$B$10),AND($B$9="inferior",D1193&lt;-$B$10)),"Rechazar H0","No rechazar H0")</f>
        <v>Rechazar H0</v>
      </c>
      <c r="F1193" s="0" t="str">
        <f aca="false">IF(AND(B1193="H0 verdadera",E1193="Rechazar H0"),"Error tipo I",IF(AND(B1193="Ha verdadera",E1193="No rechazar H0"),"Error tipo II","Decisión correcta"))</f>
        <v>Decisión correcta</v>
      </c>
    </row>
    <row r="1194" customFormat="false" ht="15" hidden="false" customHeight="false" outlineLevel="0" collapsed="false">
      <c r="A1194" s="0" t="n">
        <v>1173</v>
      </c>
      <c r="B1194" s="0" t="s">
        <v>86</v>
      </c>
      <c r="C1194" s="17" t="n">
        <v>-0.21827994192927</v>
      </c>
      <c r="D1194" s="17" t="n">
        <f aca="false">(C1194-$B$4)/($B$6/SQRT($B$7))</f>
        <v>-1.09139970964635</v>
      </c>
      <c r="E1194" s="0" t="str">
        <f aca="false">IF(OR(AND($B$9="superior",D1194&gt;$B$10),AND($B$9="inferior",D1194&lt;-$B$10)),"Rechazar H0","No rechazar H0")</f>
        <v>No rechazar H0</v>
      </c>
      <c r="F1194" s="0" t="str">
        <f aca="false">IF(AND(B1194="H0 verdadera",E1194="Rechazar H0"),"Error tipo I",IF(AND(B1194="Ha verdadera",E1194="No rechazar H0"),"Error tipo II","Decisión correcta"))</f>
        <v>Error tipo II</v>
      </c>
    </row>
    <row r="1195" customFormat="false" ht="15" hidden="false" customHeight="false" outlineLevel="0" collapsed="false">
      <c r="A1195" s="0" t="n">
        <v>1174</v>
      </c>
      <c r="B1195" s="0" t="s">
        <v>85</v>
      </c>
      <c r="C1195" s="17" t="n">
        <v>-0.0268950516234393</v>
      </c>
      <c r="D1195" s="17" t="n">
        <f aca="false">(C1195-$B$4)/($B$6/SQRT($B$7))</f>
        <v>-0.134475258117197</v>
      </c>
      <c r="E1195" s="0" t="str">
        <f aca="false">IF(OR(AND($B$9="superior",D1195&gt;$B$10),AND($B$9="inferior",D1195&lt;-$B$10)),"Rechazar H0","No rechazar H0")</f>
        <v>No rechazar H0</v>
      </c>
      <c r="F1195" s="0" t="str">
        <f aca="false">IF(AND(B1195="H0 verdadera",E1195="Rechazar H0"),"Error tipo I",IF(AND(B1195="Ha verdadera",E1195="No rechazar H0"),"Error tipo II","Decisión correcta"))</f>
        <v>Decisión correcta</v>
      </c>
    </row>
    <row r="1196" customFormat="false" ht="15" hidden="false" customHeight="false" outlineLevel="0" collapsed="false">
      <c r="A1196" s="0" t="n">
        <v>1175</v>
      </c>
      <c r="B1196" s="0" t="s">
        <v>86</v>
      </c>
      <c r="C1196" s="17" t="n">
        <v>-0.191647265039481</v>
      </c>
      <c r="D1196" s="17" t="n">
        <f aca="false">(C1196-$B$4)/($B$6/SQRT($B$7))</f>
        <v>-0.958236325197405</v>
      </c>
      <c r="E1196" s="0" t="str">
        <f aca="false">IF(OR(AND($B$9="superior",D1196&gt;$B$10),AND($B$9="inferior",D1196&lt;-$B$10)),"Rechazar H0","No rechazar H0")</f>
        <v>No rechazar H0</v>
      </c>
      <c r="F1196" s="0" t="str">
        <f aca="false">IF(AND(B1196="H0 verdadera",E1196="Rechazar H0"),"Error tipo I",IF(AND(B1196="Ha verdadera",E1196="No rechazar H0"),"Error tipo II","Decisión correcta"))</f>
        <v>Error tipo II</v>
      </c>
    </row>
    <row r="1197" customFormat="false" ht="15" hidden="false" customHeight="false" outlineLevel="0" collapsed="false">
      <c r="A1197" s="0" t="n">
        <v>1176</v>
      </c>
      <c r="B1197" s="0" t="s">
        <v>85</v>
      </c>
      <c r="C1197" s="17" t="n">
        <v>0.0665863384835024</v>
      </c>
      <c r="D1197" s="17" t="n">
        <f aca="false">(C1197-$B$4)/($B$6/SQRT($B$7))</f>
        <v>0.332931692417512</v>
      </c>
      <c r="E1197" s="0" t="str">
        <f aca="false">IF(OR(AND($B$9="superior",D1197&gt;$B$10),AND($B$9="inferior",D1197&lt;-$B$10)),"Rechazar H0","No rechazar H0")</f>
        <v>No rechazar H0</v>
      </c>
      <c r="F1197" s="0" t="str">
        <f aca="false">IF(AND(B1197="H0 verdadera",E1197="Rechazar H0"),"Error tipo I",IF(AND(B1197="Ha verdadera",E1197="No rechazar H0"),"Error tipo II","Decisión correcta"))</f>
        <v>Decisión correcta</v>
      </c>
    </row>
    <row r="1198" customFormat="false" ht="15" hidden="false" customHeight="false" outlineLevel="0" collapsed="false">
      <c r="A1198" s="0" t="n">
        <v>1177</v>
      </c>
      <c r="B1198" s="0" t="s">
        <v>86</v>
      </c>
      <c r="C1198" s="17" t="n">
        <v>-0.400361965231772</v>
      </c>
      <c r="D1198" s="17" t="n">
        <f aca="false">(C1198-$B$4)/($B$6/SQRT($B$7))</f>
        <v>-2.00180982615886</v>
      </c>
      <c r="E1198" s="0" t="str">
        <f aca="false">IF(OR(AND($B$9="superior",D1198&gt;$B$10),AND($B$9="inferior",D1198&lt;-$B$10)),"Rechazar H0","No rechazar H0")</f>
        <v>Rechazar H0</v>
      </c>
      <c r="F1198" s="0" t="str">
        <f aca="false">IF(AND(B1198="H0 verdadera",E1198="Rechazar H0"),"Error tipo I",IF(AND(B1198="Ha verdadera",E1198="No rechazar H0"),"Error tipo II","Decisión correcta"))</f>
        <v>Decisión correcta</v>
      </c>
    </row>
    <row r="1199" customFormat="false" ht="15" hidden="false" customHeight="false" outlineLevel="0" collapsed="false">
      <c r="A1199" s="0" t="n">
        <v>1178</v>
      </c>
      <c r="B1199" s="0" t="s">
        <v>86</v>
      </c>
      <c r="C1199" s="17" t="n">
        <v>-0.275642988179229</v>
      </c>
      <c r="D1199" s="17" t="n">
        <f aca="false">(C1199-$B$4)/($B$6/SQRT($B$7))</f>
        <v>-1.37821494089614</v>
      </c>
      <c r="E1199" s="0" t="str">
        <f aca="false">IF(OR(AND($B$9="superior",D1199&gt;$B$10),AND($B$9="inferior",D1199&lt;-$B$10)),"Rechazar H0","No rechazar H0")</f>
        <v>No rechazar H0</v>
      </c>
      <c r="F1199" s="0" t="str">
        <f aca="false">IF(AND(B1199="H0 verdadera",E1199="Rechazar H0"),"Error tipo I",IF(AND(B1199="Ha verdadera",E1199="No rechazar H0"),"Error tipo II","Decisión correcta"))</f>
        <v>Error tipo II</v>
      </c>
    </row>
    <row r="1200" customFormat="false" ht="15" hidden="false" customHeight="false" outlineLevel="0" collapsed="false">
      <c r="A1200" s="0" t="n">
        <v>1179</v>
      </c>
      <c r="B1200" s="0" t="s">
        <v>85</v>
      </c>
      <c r="C1200" s="17" t="n">
        <v>-0.0268483067993373</v>
      </c>
      <c r="D1200" s="17" t="n">
        <f aca="false">(C1200-$B$4)/($B$6/SQRT($B$7))</f>
        <v>-0.134241533996686</v>
      </c>
      <c r="E1200" s="0" t="str">
        <f aca="false">IF(OR(AND($B$9="superior",D1200&gt;$B$10),AND($B$9="inferior",D1200&lt;-$B$10)),"Rechazar H0","No rechazar H0")</f>
        <v>No rechazar H0</v>
      </c>
      <c r="F1200" s="0" t="str">
        <f aca="false">IF(AND(B1200="H0 verdadera",E1200="Rechazar H0"),"Error tipo I",IF(AND(B1200="Ha verdadera",E1200="No rechazar H0"),"Error tipo II","Decisión correcta"))</f>
        <v>Decisión correcta</v>
      </c>
    </row>
    <row r="1201" customFormat="false" ht="15" hidden="false" customHeight="false" outlineLevel="0" collapsed="false">
      <c r="A1201" s="0" t="n">
        <v>1180</v>
      </c>
      <c r="B1201" s="0" t="s">
        <v>85</v>
      </c>
      <c r="C1201" s="17" t="n">
        <v>0.185157732003783</v>
      </c>
      <c r="D1201" s="17" t="n">
        <f aca="false">(C1201-$B$4)/($B$6/SQRT($B$7))</f>
        <v>0.925788660018913</v>
      </c>
      <c r="E1201" s="0" t="str">
        <f aca="false">IF(OR(AND($B$9="superior",D1201&gt;$B$10),AND($B$9="inferior",D1201&lt;-$B$10)),"Rechazar H0","No rechazar H0")</f>
        <v>No rechazar H0</v>
      </c>
      <c r="F1201" s="0" t="str">
        <f aca="false">IF(AND(B1201="H0 verdadera",E1201="Rechazar H0"),"Error tipo I",IF(AND(B1201="Ha verdadera",E1201="No rechazar H0"),"Error tipo II","Decisión correcta"))</f>
        <v>Decisión correcta</v>
      </c>
    </row>
    <row r="1202" customFormat="false" ht="15" hidden="false" customHeight="false" outlineLevel="0" collapsed="false">
      <c r="A1202" s="0" t="n">
        <v>1181</v>
      </c>
      <c r="B1202" s="0" t="s">
        <v>85</v>
      </c>
      <c r="C1202" s="17" t="n">
        <v>0.286055297634378</v>
      </c>
      <c r="D1202" s="17" t="n">
        <f aca="false">(C1202-$B$4)/($B$6/SQRT($B$7))</f>
        <v>1.43027648817189</v>
      </c>
      <c r="E1202" s="0" t="str">
        <f aca="false">IF(OR(AND($B$9="superior",D1202&gt;$B$10),AND($B$9="inferior",D1202&lt;-$B$10)),"Rechazar H0","No rechazar H0")</f>
        <v>No rechazar H0</v>
      </c>
      <c r="F1202" s="0" t="str">
        <f aca="false">IF(AND(B1202="H0 verdadera",E1202="Rechazar H0"),"Error tipo I",IF(AND(B1202="Ha verdadera",E1202="No rechazar H0"),"Error tipo II","Decisión correcta"))</f>
        <v>Decisión correcta</v>
      </c>
    </row>
    <row r="1203" customFormat="false" ht="15" hidden="false" customHeight="false" outlineLevel="0" collapsed="false">
      <c r="A1203" s="0" t="n">
        <v>1182</v>
      </c>
      <c r="B1203" s="0" t="s">
        <v>86</v>
      </c>
      <c r="C1203" s="17" t="n">
        <v>-0.306016681867999</v>
      </c>
      <c r="D1203" s="17" t="n">
        <f aca="false">(C1203-$B$4)/($B$6/SQRT($B$7))</f>
        <v>-1.53008340933999</v>
      </c>
      <c r="E1203" s="0" t="str">
        <f aca="false">IF(OR(AND($B$9="superior",D1203&gt;$B$10),AND($B$9="inferior",D1203&lt;-$B$10)),"Rechazar H0","No rechazar H0")</f>
        <v>No rechazar H0</v>
      </c>
      <c r="F1203" s="0" t="str">
        <f aca="false">IF(AND(B1203="H0 verdadera",E1203="Rechazar H0"),"Error tipo I",IF(AND(B1203="Ha verdadera",E1203="No rechazar H0"),"Error tipo II","Decisión correcta"))</f>
        <v>Error tipo II</v>
      </c>
    </row>
    <row r="1204" customFormat="false" ht="15" hidden="false" customHeight="false" outlineLevel="0" collapsed="false">
      <c r="A1204" s="0" t="n">
        <v>1183</v>
      </c>
      <c r="B1204" s="0" t="s">
        <v>85</v>
      </c>
      <c r="C1204" s="17" t="n">
        <v>-0.139329997348302</v>
      </c>
      <c r="D1204" s="17" t="n">
        <f aca="false">(C1204-$B$4)/($B$6/SQRT($B$7))</f>
        <v>-0.696649986741508</v>
      </c>
      <c r="E1204" s="0" t="str">
        <f aca="false">IF(OR(AND($B$9="superior",D1204&gt;$B$10),AND($B$9="inferior",D1204&lt;-$B$10)),"Rechazar H0","No rechazar H0")</f>
        <v>No rechazar H0</v>
      </c>
      <c r="F1204" s="0" t="str">
        <f aca="false">IF(AND(B1204="H0 verdadera",E1204="Rechazar H0"),"Error tipo I",IF(AND(B1204="Ha verdadera",E1204="No rechazar H0"),"Error tipo II","Decisión correcta"))</f>
        <v>Decisión correcta</v>
      </c>
    </row>
    <row r="1205" customFormat="false" ht="15" hidden="false" customHeight="false" outlineLevel="0" collapsed="false">
      <c r="A1205" s="0" t="n">
        <v>1184</v>
      </c>
      <c r="B1205" s="0" t="s">
        <v>86</v>
      </c>
      <c r="C1205" s="17" t="n">
        <v>-0.162079634477084</v>
      </c>
      <c r="D1205" s="17" t="n">
        <f aca="false">(C1205-$B$4)/($B$6/SQRT($B$7))</f>
        <v>-0.810398172385421</v>
      </c>
      <c r="E1205" s="0" t="str">
        <f aca="false">IF(OR(AND($B$9="superior",D1205&gt;$B$10),AND($B$9="inferior",D1205&lt;-$B$10)),"Rechazar H0","No rechazar H0")</f>
        <v>No rechazar H0</v>
      </c>
      <c r="F1205" s="0" t="str">
        <f aca="false">IF(AND(B1205="H0 verdadera",E1205="Rechazar H0"),"Error tipo I",IF(AND(B1205="Ha verdadera",E1205="No rechazar H0"),"Error tipo II","Decisión correcta"))</f>
        <v>Error tipo II</v>
      </c>
    </row>
    <row r="1206" customFormat="false" ht="15" hidden="false" customHeight="false" outlineLevel="0" collapsed="false">
      <c r="A1206" s="0" t="n">
        <v>1185</v>
      </c>
      <c r="B1206" s="0" t="s">
        <v>86</v>
      </c>
      <c r="C1206" s="17" t="n">
        <v>-0.306573769168015</v>
      </c>
      <c r="D1206" s="17" t="n">
        <f aca="false">(C1206-$B$4)/($B$6/SQRT($B$7))</f>
        <v>-1.53286884584008</v>
      </c>
      <c r="E1206" s="0" t="str">
        <f aca="false">IF(OR(AND($B$9="superior",D1206&gt;$B$10),AND($B$9="inferior",D1206&lt;-$B$10)),"Rechazar H0","No rechazar H0")</f>
        <v>No rechazar H0</v>
      </c>
      <c r="F1206" s="0" t="str">
        <f aca="false">IF(AND(B1206="H0 verdadera",E1206="Rechazar H0"),"Error tipo I",IF(AND(B1206="Ha verdadera",E1206="No rechazar H0"),"Error tipo II","Decisión correcta"))</f>
        <v>Error tipo II</v>
      </c>
    </row>
    <row r="1207" customFormat="false" ht="15" hidden="false" customHeight="false" outlineLevel="0" collapsed="false">
      <c r="A1207" s="0" t="n">
        <v>1186</v>
      </c>
      <c r="B1207" s="0" t="s">
        <v>85</v>
      </c>
      <c r="C1207" s="17" t="n">
        <v>-0.0199505144710089</v>
      </c>
      <c r="D1207" s="17" t="n">
        <f aca="false">(C1207-$B$4)/($B$6/SQRT($B$7))</f>
        <v>-0.0997525723550445</v>
      </c>
      <c r="E1207" s="0" t="str">
        <f aca="false">IF(OR(AND($B$9="superior",D1207&gt;$B$10),AND($B$9="inferior",D1207&lt;-$B$10)),"Rechazar H0","No rechazar H0")</f>
        <v>No rechazar H0</v>
      </c>
      <c r="F1207" s="0" t="str">
        <f aca="false">IF(AND(B1207="H0 verdadera",E1207="Rechazar H0"),"Error tipo I",IF(AND(B1207="Ha verdadera",E1207="No rechazar H0"),"Error tipo II","Decisión correcta"))</f>
        <v>Decisión correcta</v>
      </c>
    </row>
    <row r="1208" customFormat="false" ht="15" hidden="false" customHeight="false" outlineLevel="0" collapsed="false">
      <c r="A1208" s="0" t="n">
        <v>1187</v>
      </c>
      <c r="B1208" s="0" t="s">
        <v>86</v>
      </c>
      <c r="C1208" s="17" t="n">
        <v>-0.427029909645466</v>
      </c>
      <c r="D1208" s="17" t="n">
        <f aca="false">(C1208-$B$4)/($B$6/SQRT($B$7))</f>
        <v>-2.13514954822733</v>
      </c>
      <c r="E1208" s="0" t="str">
        <f aca="false">IF(OR(AND($B$9="superior",D1208&gt;$B$10),AND($B$9="inferior",D1208&lt;-$B$10)),"Rechazar H0","No rechazar H0")</f>
        <v>Rechazar H0</v>
      </c>
      <c r="F1208" s="0" t="str">
        <f aca="false">IF(AND(B1208="H0 verdadera",E1208="Rechazar H0"),"Error tipo I",IF(AND(B1208="Ha verdadera",E1208="No rechazar H0"),"Error tipo II","Decisión correcta"))</f>
        <v>Decisión correcta</v>
      </c>
    </row>
    <row r="1209" customFormat="false" ht="15" hidden="false" customHeight="false" outlineLevel="0" collapsed="false">
      <c r="A1209" s="0" t="n">
        <v>1188</v>
      </c>
      <c r="B1209" s="0" t="s">
        <v>86</v>
      </c>
      <c r="C1209" s="17" t="n">
        <v>-0.496060868525279</v>
      </c>
      <c r="D1209" s="17" t="n">
        <f aca="false">(C1209-$B$4)/($B$6/SQRT($B$7))</f>
        <v>-2.48030434262639</v>
      </c>
      <c r="E1209" s="0" t="str">
        <f aca="false">IF(OR(AND($B$9="superior",D1209&gt;$B$10),AND($B$9="inferior",D1209&lt;-$B$10)),"Rechazar H0","No rechazar H0")</f>
        <v>Rechazar H0</v>
      </c>
      <c r="F1209" s="0" t="str">
        <f aca="false">IF(AND(B1209="H0 verdadera",E1209="Rechazar H0"),"Error tipo I",IF(AND(B1209="Ha verdadera",E1209="No rechazar H0"),"Error tipo II","Decisión correcta"))</f>
        <v>Decisión correcta</v>
      </c>
    </row>
    <row r="1210" customFormat="false" ht="15" hidden="false" customHeight="false" outlineLevel="0" collapsed="false">
      <c r="A1210" s="0" t="n">
        <v>1189</v>
      </c>
      <c r="B1210" s="0" t="s">
        <v>86</v>
      </c>
      <c r="C1210" s="17" t="n">
        <v>-0.453720272708509</v>
      </c>
      <c r="D1210" s="17" t="n">
        <f aca="false">(C1210-$B$4)/($B$6/SQRT($B$7))</f>
        <v>-2.26860136354255</v>
      </c>
      <c r="E1210" s="0" t="str">
        <f aca="false">IF(OR(AND($B$9="superior",D1210&gt;$B$10),AND($B$9="inferior",D1210&lt;-$B$10)),"Rechazar H0","No rechazar H0")</f>
        <v>Rechazar H0</v>
      </c>
      <c r="F1210" s="0" t="str">
        <f aca="false">IF(AND(B1210="H0 verdadera",E1210="Rechazar H0"),"Error tipo I",IF(AND(B1210="Ha verdadera",E1210="No rechazar H0"),"Error tipo II","Decisión correcta"))</f>
        <v>Decisión correcta</v>
      </c>
    </row>
    <row r="1211" customFormat="false" ht="15" hidden="false" customHeight="false" outlineLevel="0" collapsed="false">
      <c r="A1211" s="0" t="n">
        <v>1190</v>
      </c>
      <c r="B1211" s="0" t="s">
        <v>85</v>
      </c>
      <c r="C1211" s="17" t="n">
        <v>0.145685221798759</v>
      </c>
      <c r="D1211" s="17" t="n">
        <f aca="false">(C1211-$B$4)/($B$6/SQRT($B$7))</f>
        <v>0.728426108993797</v>
      </c>
      <c r="E1211" s="0" t="str">
        <f aca="false">IF(OR(AND($B$9="superior",D1211&gt;$B$10),AND($B$9="inferior",D1211&lt;-$B$10)),"Rechazar H0","No rechazar H0")</f>
        <v>No rechazar H0</v>
      </c>
      <c r="F1211" s="0" t="str">
        <f aca="false">IF(AND(B1211="H0 verdadera",E1211="Rechazar H0"),"Error tipo I",IF(AND(B1211="Ha verdadera",E1211="No rechazar H0"),"Error tipo II","Decisión correcta"))</f>
        <v>Decisión correcta</v>
      </c>
    </row>
    <row r="1212" customFormat="false" ht="15" hidden="false" customHeight="false" outlineLevel="0" collapsed="false">
      <c r="A1212" s="0" t="n">
        <v>1191</v>
      </c>
      <c r="B1212" s="0" t="s">
        <v>85</v>
      </c>
      <c r="C1212" s="17" t="n">
        <v>-0.00248008551797314</v>
      </c>
      <c r="D1212" s="17" t="n">
        <f aca="false">(C1212-$B$4)/($B$6/SQRT($B$7))</f>
        <v>-0.0124004275898657</v>
      </c>
      <c r="E1212" s="0" t="str">
        <f aca="false">IF(OR(AND($B$9="superior",D1212&gt;$B$10),AND($B$9="inferior",D1212&lt;-$B$10)),"Rechazar H0","No rechazar H0")</f>
        <v>No rechazar H0</v>
      </c>
      <c r="F1212" s="0" t="str">
        <f aca="false">IF(AND(B1212="H0 verdadera",E1212="Rechazar H0"),"Error tipo I",IF(AND(B1212="Ha verdadera",E1212="No rechazar H0"),"Error tipo II","Decisión correcta"))</f>
        <v>Decisión correcta</v>
      </c>
    </row>
    <row r="1213" customFormat="false" ht="15" hidden="false" customHeight="false" outlineLevel="0" collapsed="false">
      <c r="A1213" s="0" t="n">
        <v>1192</v>
      </c>
      <c r="B1213" s="0" t="s">
        <v>85</v>
      </c>
      <c r="C1213" s="17" t="n">
        <v>0.443227809443455</v>
      </c>
      <c r="D1213" s="17" t="n">
        <f aca="false">(C1213-$B$4)/($B$6/SQRT($B$7))</f>
        <v>2.21613904721727</v>
      </c>
      <c r="E1213" s="0" t="str">
        <f aca="false">IF(OR(AND($B$9="superior",D1213&gt;$B$10),AND($B$9="inferior",D1213&lt;-$B$10)),"Rechazar H0","No rechazar H0")</f>
        <v>No rechazar H0</v>
      </c>
      <c r="F1213" s="0" t="str">
        <f aca="false">IF(AND(B1213="H0 verdadera",E1213="Rechazar H0"),"Error tipo I",IF(AND(B1213="Ha verdadera",E1213="No rechazar H0"),"Error tipo II","Decisión correcta"))</f>
        <v>Decisión correcta</v>
      </c>
    </row>
    <row r="1214" customFormat="false" ht="15" hidden="false" customHeight="false" outlineLevel="0" collapsed="false">
      <c r="A1214" s="0" t="n">
        <v>1193</v>
      </c>
      <c r="B1214" s="0" t="s">
        <v>86</v>
      </c>
      <c r="C1214" s="17" t="n">
        <v>-0.38874946482706</v>
      </c>
      <c r="D1214" s="17" t="n">
        <f aca="false">(C1214-$B$4)/($B$6/SQRT($B$7))</f>
        <v>-1.9437473241353</v>
      </c>
      <c r="E1214" s="0" t="str">
        <f aca="false">IF(OR(AND($B$9="superior",D1214&gt;$B$10),AND($B$9="inferior",D1214&lt;-$B$10)),"Rechazar H0","No rechazar H0")</f>
        <v>Rechazar H0</v>
      </c>
      <c r="F1214" s="0" t="str">
        <f aca="false">IF(AND(B1214="H0 verdadera",E1214="Rechazar H0"),"Error tipo I",IF(AND(B1214="Ha verdadera",E1214="No rechazar H0"),"Error tipo II","Decisión correcta"))</f>
        <v>Decisión correcta</v>
      </c>
    </row>
    <row r="1215" customFormat="false" ht="15" hidden="false" customHeight="false" outlineLevel="0" collapsed="false">
      <c r="A1215" s="0" t="n">
        <v>1194</v>
      </c>
      <c r="B1215" s="0" t="s">
        <v>85</v>
      </c>
      <c r="C1215" s="17" t="n">
        <v>0.0559512936535003</v>
      </c>
      <c r="D1215" s="17" t="n">
        <f aca="false">(C1215-$B$4)/($B$6/SQRT($B$7))</f>
        <v>0.279756468267502</v>
      </c>
      <c r="E1215" s="0" t="str">
        <f aca="false">IF(OR(AND($B$9="superior",D1215&gt;$B$10),AND($B$9="inferior",D1215&lt;-$B$10)),"Rechazar H0","No rechazar H0")</f>
        <v>No rechazar H0</v>
      </c>
      <c r="F1215" s="0" t="str">
        <f aca="false">IF(AND(B1215="H0 verdadera",E1215="Rechazar H0"),"Error tipo I",IF(AND(B1215="Ha verdadera",E1215="No rechazar H0"),"Error tipo II","Decisión correcta"))</f>
        <v>Decisión correcta</v>
      </c>
    </row>
    <row r="1216" customFormat="false" ht="15" hidden="false" customHeight="false" outlineLevel="0" collapsed="false">
      <c r="A1216" s="0" t="n">
        <v>1195</v>
      </c>
      <c r="B1216" s="0" t="s">
        <v>85</v>
      </c>
      <c r="C1216" s="17" t="n">
        <v>0.163403510198262</v>
      </c>
      <c r="D1216" s="17" t="n">
        <f aca="false">(C1216-$B$4)/($B$6/SQRT($B$7))</f>
        <v>0.817017550991308</v>
      </c>
      <c r="E1216" s="0" t="str">
        <f aca="false">IF(OR(AND($B$9="superior",D1216&gt;$B$10),AND($B$9="inferior",D1216&lt;-$B$10)),"Rechazar H0","No rechazar H0")</f>
        <v>No rechazar H0</v>
      </c>
      <c r="F1216" s="0" t="str">
        <f aca="false">IF(AND(B1216="H0 verdadera",E1216="Rechazar H0"),"Error tipo I",IF(AND(B1216="Ha verdadera",E1216="No rechazar H0"),"Error tipo II","Decisión correcta"))</f>
        <v>Decisión correcta</v>
      </c>
    </row>
    <row r="1217" customFormat="false" ht="15" hidden="false" customHeight="false" outlineLevel="0" collapsed="false">
      <c r="A1217" s="0" t="n">
        <v>1196</v>
      </c>
      <c r="B1217" s="0" t="s">
        <v>86</v>
      </c>
      <c r="C1217" s="17" t="n">
        <v>-0.584509994268779</v>
      </c>
      <c r="D1217" s="17" t="n">
        <f aca="false">(C1217-$B$4)/($B$6/SQRT($B$7))</f>
        <v>-2.92254997134389</v>
      </c>
      <c r="E1217" s="0" t="str">
        <f aca="false">IF(OR(AND($B$9="superior",D1217&gt;$B$10),AND($B$9="inferior",D1217&lt;-$B$10)),"Rechazar H0","No rechazar H0")</f>
        <v>Rechazar H0</v>
      </c>
      <c r="F1217" s="0" t="str">
        <f aca="false">IF(AND(B1217="H0 verdadera",E1217="Rechazar H0"),"Error tipo I",IF(AND(B1217="Ha verdadera",E1217="No rechazar H0"),"Error tipo II","Decisión correcta"))</f>
        <v>Decisión correcta</v>
      </c>
    </row>
    <row r="1218" customFormat="false" ht="15" hidden="false" customHeight="false" outlineLevel="0" collapsed="false">
      <c r="A1218" s="0" t="n">
        <v>1197</v>
      </c>
      <c r="B1218" s="0" t="s">
        <v>85</v>
      </c>
      <c r="C1218" s="17" t="n">
        <v>-0.0135980380646168</v>
      </c>
      <c r="D1218" s="17" t="n">
        <f aca="false">(C1218-$B$4)/($B$6/SQRT($B$7))</f>
        <v>-0.0679901903230842</v>
      </c>
      <c r="E1218" s="0" t="str">
        <f aca="false">IF(OR(AND($B$9="superior",D1218&gt;$B$10),AND($B$9="inferior",D1218&lt;-$B$10)),"Rechazar H0","No rechazar H0")</f>
        <v>No rechazar H0</v>
      </c>
      <c r="F1218" s="0" t="str">
        <f aca="false">IF(AND(B1218="H0 verdadera",E1218="Rechazar H0"),"Error tipo I",IF(AND(B1218="Ha verdadera",E1218="No rechazar H0"),"Error tipo II","Decisión correcta"))</f>
        <v>Decisión correcta</v>
      </c>
    </row>
    <row r="1219" customFormat="false" ht="15" hidden="false" customHeight="false" outlineLevel="0" collapsed="false">
      <c r="A1219" s="0" t="n">
        <v>1198</v>
      </c>
      <c r="B1219" s="0" t="s">
        <v>85</v>
      </c>
      <c r="C1219" s="17" t="n">
        <v>0.0788803918495401</v>
      </c>
      <c r="D1219" s="17" t="n">
        <f aca="false">(C1219-$B$4)/($B$6/SQRT($B$7))</f>
        <v>0.3944019592477</v>
      </c>
      <c r="E1219" s="0" t="str">
        <f aca="false">IF(OR(AND($B$9="superior",D1219&gt;$B$10),AND($B$9="inferior",D1219&lt;-$B$10)),"Rechazar H0","No rechazar H0")</f>
        <v>No rechazar H0</v>
      </c>
      <c r="F1219" s="0" t="str">
        <f aca="false">IF(AND(B1219="H0 verdadera",E1219="Rechazar H0"),"Error tipo I",IF(AND(B1219="Ha verdadera",E1219="No rechazar H0"),"Error tipo II","Decisión correcta"))</f>
        <v>Decisión correcta</v>
      </c>
    </row>
    <row r="1220" customFormat="false" ht="15" hidden="false" customHeight="false" outlineLevel="0" collapsed="false">
      <c r="A1220" s="0" t="n">
        <v>1199</v>
      </c>
      <c r="B1220" s="0" t="s">
        <v>85</v>
      </c>
      <c r="C1220" s="17" t="n">
        <v>0.022077026732866</v>
      </c>
      <c r="D1220" s="17" t="n">
        <f aca="false">(C1220-$B$4)/($B$6/SQRT($B$7))</f>
        <v>0.11038513366433</v>
      </c>
      <c r="E1220" s="0" t="str">
        <f aca="false">IF(OR(AND($B$9="superior",D1220&gt;$B$10),AND($B$9="inferior",D1220&lt;-$B$10)),"Rechazar H0","No rechazar H0")</f>
        <v>No rechazar H0</v>
      </c>
      <c r="F1220" s="0" t="str">
        <f aca="false">IF(AND(B1220="H0 verdadera",E1220="Rechazar H0"),"Error tipo I",IF(AND(B1220="Ha verdadera",E1220="No rechazar H0"),"Error tipo II","Decisión correcta"))</f>
        <v>Decisión correcta</v>
      </c>
    </row>
    <row r="1221" customFormat="false" ht="15" hidden="false" customHeight="false" outlineLevel="0" collapsed="false">
      <c r="A1221" s="0" t="n">
        <v>1200</v>
      </c>
      <c r="B1221" s="0" t="s">
        <v>85</v>
      </c>
      <c r="C1221" s="17" t="n">
        <v>-0.191634699458826</v>
      </c>
      <c r="D1221" s="17" t="n">
        <f aca="false">(C1221-$B$4)/($B$6/SQRT($B$7))</f>
        <v>-0.958173497294128</v>
      </c>
      <c r="E1221" s="0" t="str">
        <f aca="false">IF(OR(AND($B$9="superior",D1221&gt;$B$10),AND($B$9="inferior",D1221&lt;-$B$10)),"Rechazar H0","No rechazar H0")</f>
        <v>No rechazar H0</v>
      </c>
      <c r="F1221" s="0" t="str">
        <f aca="false">IF(AND(B1221="H0 verdadera",E1221="Rechazar H0"),"Error tipo I",IF(AND(B1221="Ha verdadera",E1221="No rechazar H0"),"Error tipo II","Decisión correcta"))</f>
        <v>Decisión correcta</v>
      </c>
    </row>
    <row r="1222" customFormat="false" ht="15" hidden="false" customHeight="false" outlineLevel="0" collapsed="false">
      <c r="A1222" s="0" t="n">
        <v>1201</v>
      </c>
      <c r="B1222" s="0" t="s">
        <v>85</v>
      </c>
      <c r="C1222" s="17" t="n">
        <v>-0.0385715591825881</v>
      </c>
      <c r="D1222" s="17" t="n">
        <f aca="false">(C1222-$B$4)/($B$6/SQRT($B$7))</f>
        <v>-0.19285779591294</v>
      </c>
      <c r="E1222" s="0" t="str">
        <f aca="false">IF(OR(AND($B$9="superior",D1222&gt;$B$10),AND($B$9="inferior",D1222&lt;-$B$10)),"Rechazar H0","No rechazar H0")</f>
        <v>No rechazar H0</v>
      </c>
      <c r="F1222" s="0" t="str">
        <f aca="false">IF(AND(B1222="H0 verdadera",E1222="Rechazar H0"),"Error tipo I",IF(AND(B1222="Ha verdadera",E1222="No rechazar H0"),"Error tipo II","Decisión correcta"))</f>
        <v>Decisión correcta</v>
      </c>
    </row>
    <row r="1223" customFormat="false" ht="15" hidden="false" customHeight="false" outlineLevel="0" collapsed="false">
      <c r="A1223" s="0" t="n">
        <v>1202</v>
      </c>
      <c r="B1223" s="0" t="s">
        <v>85</v>
      </c>
      <c r="C1223" s="17" t="n">
        <v>-0.0376180861199019</v>
      </c>
      <c r="D1223" s="17" t="n">
        <f aca="false">(C1223-$B$4)/($B$6/SQRT($B$7))</f>
        <v>-0.188090430599509</v>
      </c>
      <c r="E1223" s="0" t="str">
        <f aca="false">IF(OR(AND($B$9="superior",D1223&gt;$B$10),AND($B$9="inferior",D1223&lt;-$B$10)),"Rechazar H0","No rechazar H0")</f>
        <v>No rechazar H0</v>
      </c>
      <c r="F1223" s="0" t="str">
        <f aca="false">IF(AND(B1223="H0 verdadera",E1223="Rechazar H0"),"Error tipo I",IF(AND(B1223="Ha verdadera",E1223="No rechazar H0"),"Error tipo II","Decisión correcta"))</f>
        <v>Decisión correcta</v>
      </c>
    </row>
    <row r="1224" customFormat="false" ht="15" hidden="false" customHeight="false" outlineLevel="0" collapsed="false">
      <c r="A1224" s="0" t="n">
        <v>1203</v>
      </c>
      <c r="B1224" s="0" t="s">
        <v>86</v>
      </c>
      <c r="C1224" s="17" t="n">
        <v>-0.528009532036819</v>
      </c>
      <c r="D1224" s="17" t="n">
        <f aca="false">(C1224-$B$4)/($B$6/SQRT($B$7))</f>
        <v>-2.64004766018409</v>
      </c>
      <c r="E1224" s="0" t="str">
        <f aca="false">IF(OR(AND($B$9="superior",D1224&gt;$B$10),AND($B$9="inferior",D1224&lt;-$B$10)),"Rechazar H0","No rechazar H0")</f>
        <v>Rechazar H0</v>
      </c>
      <c r="F1224" s="0" t="str">
        <f aca="false">IF(AND(B1224="H0 verdadera",E1224="Rechazar H0"),"Error tipo I",IF(AND(B1224="Ha verdadera",E1224="No rechazar H0"),"Error tipo II","Decisión correcta"))</f>
        <v>Decisión correcta</v>
      </c>
    </row>
    <row r="1225" customFormat="false" ht="15" hidden="false" customHeight="false" outlineLevel="0" collapsed="false">
      <c r="A1225" s="0" t="n">
        <v>1204</v>
      </c>
      <c r="B1225" s="0" t="s">
        <v>86</v>
      </c>
      <c r="C1225" s="17" t="n">
        <v>-0.1113096792058</v>
      </c>
      <c r="D1225" s="17" t="n">
        <f aca="false">(C1225-$B$4)/($B$6/SQRT($B$7))</f>
        <v>-0.556548396029</v>
      </c>
      <c r="E1225" s="0" t="str">
        <f aca="false">IF(OR(AND($B$9="superior",D1225&gt;$B$10),AND($B$9="inferior",D1225&lt;-$B$10)),"Rechazar H0","No rechazar H0")</f>
        <v>No rechazar H0</v>
      </c>
      <c r="F1225" s="0" t="str">
        <f aca="false">IF(AND(B1225="H0 verdadera",E1225="Rechazar H0"),"Error tipo I",IF(AND(B1225="Ha verdadera",E1225="No rechazar H0"),"Error tipo II","Decisión correcta"))</f>
        <v>Error tipo II</v>
      </c>
    </row>
    <row r="1226" customFormat="false" ht="15" hidden="false" customHeight="false" outlineLevel="0" collapsed="false">
      <c r="A1226" s="0" t="n">
        <v>1205</v>
      </c>
      <c r="B1226" s="0" t="s">
        <v>85</v>
      </c>
      <c r="C1226" s="17" t="n">
        <v>-0.130826143199932</v>
      </c>
      <c r="D1226" s="17" t="n">
        <f aca="false">(C1226-$B$4)/($B$6/SQRT($B$7))</f>
        <v>-0.654130715999661</v>
      </c>
      <c r="E1226" s="0" t="str">
        <f aca="false">IF(OR(AND($B$9="superior",D1226&gt;$B$10),AND($B$9="inferior",D1226&lt;-$B$10)),"Rechazar H0","No rechazar H0")</f>
        <v>No rechazar H0</v>
      </c>
      <c r="F1226" s="0" t="str">
        <f aca="false">IF(AND(B1226="H0 verdadera",E1226="Rechazar H0"),"Error tipo I",IF(AND(B1226="Ha verdadera",E1226="No rechazar H0"),"Error tipo II","Decisión correcta"))</f>
        <v>Decisión correcta</v>
      </c>
    </row>
    <row r="1227" customFormat="false" ht="15" hidden="false" customHeight="false" outlineLevel="0" collapsed="false">
      <c r="A1227" s="0" t="n">
        <v>1206</v>
      </c>
      <c r="B1227" s="0" t="s">
        <v>86</v>
      </c>
      <c r="C1227" s="17" t="n">
        <v>-0.542386315869692</v>
      </c>
      <c r="D1227" s="17" t="n">
        <f aca="false">(C1227-$B$4)/($B$6/SQRT($B$7))</f>
        <v>-2.71193157934846</v>
      </c>
      <c r="E1227" s="0" t="str">
        <f aca="false">IF(OR(AND($B$9="superior",D1227&gt;$B$10),AND($B$9="inferior",D1227&lt;-$B$10)),"Rechazar H0","No rechazar H0")</f>
        <v>Rechazar H0</v>
      </c>
      <c r="F1227" s="0" t="str">
        <f aca="false">IF(AND(B1227="H0 verdadera",E1227="Rechazar H0"),"Error tipo I",IF(AND(B1227="Ha verdadera",E1227="No rechazar H0"),"Error tipo II","Decisión correcta"))</f>
        <v>Decisión correcta</v>
      </c>
    </row>
    <row r="1228" customFormat="false" ht="15" hidden="false" customHeight="false" outlineLevel="0" collapsed="false">
      <c r="A1228" s="0" t="n">
        <v>1207</v>
      </c>
      <c r="B1228" s="0" t="s">
        <v>85</v>
      </c>
      <c r="C1228" s="17" t="n">
        <v>-0.122018525469163</v>
      </c>
      <c r="D1228" s="17" t="n">
        <f aca="false">(C1228-$B$4)/($B$6/SQRT($B$7))</f>
        <v>-0.610092627345816</v>
      </c>
      <c r="E1228" s="0" t="str">
        <f aca="false">IF(OR(AND($B$9="superior",D1228&gt;$B$10),AND($B$9="inferior",D1228&lt;-$B$10)),"Rechazar H0","No rechazar H0")</f>
        <v>No rechazar H0</v>
      </c>
      <c r="F1228" s="0" t="str">
        <f aca="false">IF(AND(B1228="H0 verdadera",E1228="Rechazar H0"),"Error tipo I",IF(AND(B1228="Ha verdadera",E1228="No rechazar H0"),"Error tipo II","Decisión correcta"))</f>
        <v>Decisión correcta</v>
      </c>
    </row>
    <row r="1229" customFormat="false" ht="15" hidden="false" customHeight="false" outlineLevel="0" collapsed="false">
      <c r="A1229" s="0" t="n">
        <v>1208</v>
      </c>
      <c r="B1229" s="0" t="s">
        <v>86</v>
      </c>
      <c r="C1229" s="17" t="n">
        <v>-0.13279904899278</v>
      </c>
      <c r="D1229" s="17" t="n">
        <f aca="false">(C1229-$B$4)/($B$6/SQRT($B$7))</f>
        <v>-0.663995244963899</v>
      </c>
      <c r="E1229" s="0" t="str">
        <f aca="false">IF(OR(AND($B$9="superior",D1229&gt;$B$10),AND($B$9="inferior",D1229&lt;-$B$10)),"Rechazar H0","No rechazar H0")</f>
        <v>No rechazar H0</v>
      </c>
      <c r="F1229" s="0" t="str">
        <f aca="false">IF(AND(B1229="H0 verdadera",E1229="Rechazar H0"),"Error tipo I",IF(AND(B1229="Ha verdadera",E1229="No rechazar H0"),"Error tipo II","Decisión correcta"))</f>
        <v>Error tipo II</v>
      </c>
    </row>
    <row r="1230" customFormat="false" ht="15" hidden="false" customHeight="false" outlineLevel="0" collapsed="false">
      <c r="A1230" s="0" t="n">
        <v>1209</v>
      </c>
      <c r="B1230" s="0" t="s">
        <v>85</v>
      </c>
      <c r="C1230" s="17" t="n">
        <v>-0.119192866907725</v>
      </c>
      <c r="D1230" s="17" t="n">
        <f aca="false">(C1230-$B$4)/($B$6/SQRT($B$7))</f>
        <v>-0.595964334538623</v>
      </c>
      <c r="E1230" s="0" t="str">
        <f aca="false">IF(OR(AND($B$9="superior",D1230&gt;$B$10),AND($B$9="inferior",D1230&lt;-$B$10)),"Rechazar H0","No rechazar H0")</f>
        <v>No rechazar H0</v>
      </c>
      <c r="F1230" s="0" t="str">
        <f aca="false">IF(AND(B1230="H0 verdadera",E1230="Rechazar H0"),"Error tipo I",IF(AND(B1230="Ha verdadera",E1230="No rechazar H0"),"Error tipo II","Decisión correcta"))</f>
        <v>Decisión correcta</v>
      </c>
    </row>
    <row r="1231" customFormat="false" ht="15" hidden="false" customHeight="false" outlineLevel="0" collapsed="false">
      <c r="A1231" s="0" t="n">
        <v>1210</v>
      </c>
      <c r="B1231" s="0" t="s">
        <v>86</v>
      </c>
      <c r="C1231" s="17" t="n">
        <v>-0.321221107139255</v>
      </c>
      <c r="D1231" s="17" t="n">
        <f aca="false">(C1231-$B$4)/($B$6/SQRT($B$7))</f>
        <v>-1.60610553569627</v>
      </c>
      <c r="E1231" s="0" t="str">
        <f aca="false">IF(OR(AND($B$9="superior",D1231&gt;$B$10),AND($B$9="inferior",D1231&lt;-$B$10)),"Rechazar H0","No rechazar H0")</f>
        <v>No rechazar H0</v>
      </c>
      <c r="F1231" s="0" t="str">
        <f aca="false">IF(AND(B1231="H0 verdadera",E1231="Rechazar H0"),"Error tipo I",IF(AND(B1231="Ha verdadera",E1231="No rechazar H0"),"Error tipo II","Decisión correcta"))</f>
        <v>Error tipo II</v>
      </c>
    </row>
    <row r="1232" customFormat="false" ht="15" hidden="false" customHeight="false" outlineLevel="0" collapsed="false">
      <c r="A1232" s="0" t="n">
        <v>1211</v>
      </c>
      <c r="B1232" s="0" t="s">
        <v>86</v>
      </c>
      <c r="C1232" s="17" t="n">
        <v>-0.436490000343437</v>
      </c>
      <c r="D1232" s="17" t="n">
        <f aca="false">(C1232-$B$4)/($B$6/SQRT($B$7))</f>
        <v>-2.18245000171719</v>
      </c>
      <c r="E1232" s="0" t="str">
        <f aca="false">IF(OR(AND($B$9="superior",D1232&gt;$B$10),AND($B$9="inferior",D1232&lt;-$B$10)),"Rechazar H0","No rechazar H0")</f>
        <v>Rechazar H0</v>
      </c>
      <c r="F1232" s="0" t="str">
        <f aca="false">IF(AND(B1232="H0 verdadera",E1232="Rechazar H0"),"Error tipo I",IF(AND(B1232="Ha verdadera",E1232="No rechazar H0"),"Error tipo II","Decisión correcta"))</f>
        <v>Decisión correcta</v>
      </c>
    </row>
    <row r="1233" customFormat="false" ht="15" hidden="false" customHeight="false" outlineLevel="0" collapsed="false">
      <c r="A1233" s="0" t="n">
        <v>1212</v>
      </c>
      <c r="B1233" s="0" t="s">
        <v>86</v>
      </c>
      <c r="C1233" s="17" t="n">
        <v>-0.38502170409563</v>
      </c>
      <c r="D1233" s="17" t="n">
        <f aca="false">(C1233-$B$4)/($B$6/SQRT($B$7))</f>
        <v>-1.92510852047815</v>
      </c>
      <c r="E1233" s="0" t="str">
        <f aca="false">IF(OR(AND($B$9="superior",D1233&gt;$B$10),AND($B$9="inferior",D1233&lt;-$B$10)),"Rechazar H0","No rechazar H0")</f>
        <v>Rechazar H0</v>
      </c>
      <c r="F1233" s="0" t="str">
        <f aca="false">IF(AND(B1233="H0 verdadera",E1233="Rechazar H0"),"Error tipo I",IF(AND(B1233="Ha verdadera",E1233="No rechazar H0"),"Error tipo II","Decisión correcta"))</f>
        <v>Decisión correcta</v>
      </c>
    </row>
    <row r="1234" customFormat="false" ht="15" hidden="false" customHeight="false" outlineLevel="0" collapsed="false">
      <c r="A1234" s="0" t="n">
        <v>1213</v>
      </c>
      <c r="B1234" s="0" t="s">
        <v>86</v>
      </c>
      <c r="C1234" s="17" t="n">
        <v>-0.272871359671235</v>
      </c>
      <c r="D1234" s="17" t="n">
        <f aca="false">(C1234-$B$4)/($B$6/SQRT($B$7))</f>
        <v>-1.36435679835618</v>
      </c>
      <c r="E1234" s="0" t="str">
        <f aca="false">IF(OR(AND($B$9="superior",D1234&gt;$B$10),AND($B$9="inferior",D1234&lt;-$B$10)),"Rechazar H0","No rechazar H0")</f>
        <v>No rechazar H0</v>
      </c>
      <c r="F1234" s="0" t="str">
        <f aca="false">IF(AND(B1234="H0 verdadera",E1234="Rechazar H0"),"Error tipo I",IF(AND(B1234="Ha verdadera",E1234="No rechazar H0"),"Error tipo II","Decisión correcta"))</f>
        <v>Error tipo II</v>
      </c>
    </row>
    <row r="1235" customFormat="false" ht="15" hidden="false" customHeight="false" outlineLevel="0" collapsed="false">
      <c r="A1235" s="0" t="n">
        <v>1214</v>
      </c>
      <c r="B1235" s="0" t="s">
        <v>85</v>
      </c>
      <c r="C1235" s="17" t="n">
        <v>-0.0491210821594826</v>
      </c>
      <c r="D1235" s="17" t="n">
        <f aca="false">(C1235-$B$4)/($B$6/SQRT($B$7))</f>
        <v>-0.245605410797413</v>
      </c>
      <c r="E1235" s="0" t="str">
        <f aca="false">IF(OR(AND($B$9="superior",D1235&gt;$B$10),AND($B$9="inferior",D1235&lt;-$B$10)),"Rechazar H0","No rechazar H0")</f>
        <v>No rechazar H0</v>
      </c>
      <c r="F1235" s="0" t="str">
        <f aca="false">IF(AND(B1235="H0 verdadera",E1235="Rechazar H0"),"Error tipo I",IF(AND(B1235="Ha verdadera",E1235="No rechazar H0"),"Error tipo II","Decisión correcta"))</f>
        <v>Decisión correcta</v>
      </c>
    </row>
    <row r="1236" customFormat="false" ht="15" hidden="false" customHeight="false" outlineLevel="0" collapsed="false">
      <c r="A1236" s="0" t="n">
        <v>1215</v>
      </c>
      <c r="B1236" s="0" t="s">
        <v>85</v>
      </c>
      <c r="C1236" s="17" t="n">
        <v>-0.203207510253371</v>
      </c>
      <c r="D1236" s="17" t="n">
        <f aca="false">(C1236-$B$4)/($B$6/SQRT($B$7))</f>
        <v>-1.01603755126686</v>
      </c>
      <c r="E1236" s="0" t="str">
        <f aca="false">IF(OR(AND($B$9="superior",D1236&gt;$B$10),AND($B$9="inferior",D1236&lt;-$B$10)),"Rechazar H0","No rechazar H0")</f>
        <v>No rechazar H0</v>
      </c>
      <c r="F1236" s="0" t="str">
        <f aca="false">IF(AND(B1236="H0 verdadera",E1236="Rechazar H0"),"Error tipo I",IF(AND(B1236="Ha verdadera",E1236="No rechazar H0"),"Error tipo II","Decisión correcta"))</f>
        <v>Decisión correcta</v>
      </c>
    </row>
    <row r="1237" customFormat="false" ht="15" hidden="false" customHeight="false" outlineLevel="0" collapsed="false">
      <c r="A1237" s="0" t="n">
        <v>1216</v>
      </c>
      <c r="B1237" s="0" t="s">
        <v>85</v>
      </c>
      <c r="C1237" s="17" t="n">
        <v>-0.388519195569959</v>
      </c>
      <c r="D1237" s="17" t="n">
        <f aca="false">(C1237-$B$4)/($B$6/SQRT($B$7))</f>
        <v>-1.94259597784979</v>
      </c>
      <c r="E1237" s="0" t="str">
        <f aca="false">IF(OR(AND($B$9="superior",D1237&gt;$B$10),AND($B$9="inferior",D1237&lt;-$B$10)),"Rechazar H0","No rechazar H0")</f>
        <v>Rechazar H0</v>
      </c>
      <c r="F1237" s="0" t="str">
        <f aca="false">IF(AND(B1237="H0 verdadera",E1237="Rechazar H0"),"Error tipo I",IF(AND(B1237="Ha verdadera",E1237="No rechazar H0"),"Error tipo II","Decisión correcta"))</f>
        <v>Error tipo I</v>
      </c>
    </row>
    <row r="1238" customFormat="false" ht="15" hidden="false" customHeight="false" outlineLevel="0" collapsed="false">
      <c r="A1238" s="0" t="n">
        <v>1217</v>
      </c>
      <c r="B1238" s="0" t="s">
        <v>85</v>
      </c>
      <c r="C1238" s="17" t="n">
        <v>0.463394905750401</v>
      </c>
      <c r="D1238" s="17" t="n">
        <f aca="false">(C1238-$B$4)/($B$6/SQRT($B$7))</f>
        <v>2.31697452875201</v>
      </c>
      <c r="E1238" s="0" t="str">
        <f aca="false">IF(OR(AND($B$9="superior",D1238&gt;$B$10),AND($B$9="inferior",D1238&lt;-$B$10)),"Rechazar H0","No rechazar H0")</f>
        <v>No rechazar H0</v>
      </c>
      <c r="F1238" s="0" t="str">
        <f aca="false">IF(AND(B1238="H0 verdadera",E1238="Rechazar H0"),"Error tipo I",IF(AND(B1238="Ha verdadera",E1238="No rechazar H0"),"Error tipo II","Decisión correcta"))</f>
        <v>Decisión correcta</v>
      </c>
    </row>
    <row r="1239" customFormat="false" ht="15" hidden="false" customHeight="false" outlineLevel="0" collapsed="false">
      <c r="A1239" s="0" t="n">
        <v>1218</v>
      </c>
      <c r="B1239" s="0" t="s">
        <v>85</v>
      </c>
      <c r="C1239" s="17" t="n">
        <v>-0.0385936132660338</v>
      </c>
      <c r="D1239" s="17" t="n">
        <f aca="false">(C1239-$B$4)/($B$6/SQRT($B$7))</f>
        <v>-0.192968066330169</v>
      </c>
      <c r="E1239" s="0" t="str">
        <f aca="false">IF(OR(AND($B$9="superior",D1239&gt;$B$10),AND($B$9="inferior",D1239&lt;-$B$10)),"Rechazar H0","No rechazar H0")</f>
        <v>No rechazar H0</v>
      </c>
      <c r="F1239" s="0" t="str">
        <f aca="false">IF(AND(B1239="H0 verdadera",E1239="Rechazar H0"),"Error tipo I",IF(AND(B1239="Ha verdadera",E1239="No rechazar H0"),"Error tipo II","Decisión correcta"))</f>
        <v>Decisión correcta</v>
      </c>
    </row>
    <row r="1240" customFormat="false" ht="15" hidden="false" customHeight="false" outlineLevel="0" collapsed="false">
      <c r="A1240" s="0" t="n">
        <v>1219</v>
      </c>
      <c r="B1240" s="0" t="s">
        <v>86</v>
      </c>
      <c r="C1240" s="17" t="n">
        <v>-0.28299056346852</v>
      </c>
      <c r="D1240" s="17" t="n">
        <f aca="false">(C1240-$B$4)/($B$6/SQRT($B$7))</f>
        <v>-1.4149528173426</v>
      </c>
      <c r="E1240" s="0" t="str">
        <f aca="false">IF(OR(AND($B$9="superior",D1240&gt;$B$10),AND($B$9="inferior",D1240&lt;-$B$10)),"Rechazar H0","No rechazar H0")</f>
        <v>No rechazar H0</v>
      </c>
      <c r="F1240" s="0" t="str">
        <f aca="false">IF(AND(B1240="H0 verdadera",E1240="Rechazar H0"),"Error tipo I",IF(AND(B1240="Ha verdadera",E1240="No rechazar H0"),"Error tipo II","Decisión correcta"))</f>
        <v>Error tipo II</v>
      </c>
    </row>
    <row r="1241" customFormat="false" ht="15" hidden="false" customHeight="false" outlineLevel="0" collapsed="false">
      <c r="A1241" s="0" t="n">
        <v>1220</v>
      </c>
      <c r="B1241" s="0" t="s">
        <v>85</v>
      </c>
      <c r="C1241" s="17" t="n">
        <v>0.0193935481601701</v>
      </c>
      <c r="D1241" s="17" t="n">
        <f aca="false">(C1241-$B$4)/($B$6/SQRT($B$7))</f>
        <v>0.0969677408008502</v>
      </c>
      <c r="E1241" s="0" t="str">
        <f aca="false">IF(OR(AND($B$9="superior",D1241&gt;$B$10),AND($B$9="inferior",D1241&lt;-$B$10)),"Rechazar H0","No rechazar H0")</f>
        <v>No rechazar H0</v>
      </c>
      <c r="F1241" s="0" t="str">
        <f aca="false">IF(AND(B1241="H0 verdadera",E1241="Rechazar H0"),"Error tipo I",IF(AND(B1241="Ha verdadera",E1241="No rechazar H0"),"Error tipo II","Decisión correcta"))</f>
        <v>Decisión correcta</v>
      </c>
    </row>
    <row r="1242" customFormat="false" ht="15" hidden="false" customHeight="false" outlineLevel="0" collapsed="false">
      <c r="A1242" s="0" t="n">
        <v>1221</v>
      </c>
      <c r="B1242" s="0" t="s">
        <v>85</v>
      </c>
      <c r="C1242" s="17" t="n">
        <v>-0.0225039830814948</v>
      </c>
      <c r="D1242" s="17" t="n">
        <f aca="false">(C1242-$B$4)/($B$6/SQRT($B$7))</f>
        <v>-0.112519915407474</v>
      </c>
      <c r="E1242" s="0" t="str">
        <f aca="false">IF(OR(AND($B$9="superior",D1242&gt;$B$10),AND($B$9="inferior",D1242&lt;-$B$10)),"Rechazar H0","No rechazar H0")</f>
        <v>No rechazar H0</v>
      </c>
      <c r="F1242" s="0" t="str">
        <f aca="false">IF(AND(B1242="H0 verdadera",E1242="Rechazar H0"),"Error tipo I",IF(AND(B1242="Ha verdadera",E1242="No rechazar H0"),"Error tipo II","Decisión correcta"))</f>
        <v>Decisión correcta</v>
      </c>
    </row>
    <row r="1243" customFormat="false" ht="15" hidden="false" customHeight="false" outlineLevel="0" collapsed="false">
      <c r="A1243" s="0" t="n">
        <v>1222</v>
      </c>
      <c r="B1243" s="0" t="s">
        <v>86</v>
      </c>
      <c r="C1243" s="17" t="n">
        <v>-0.558425549370115</v>
      </c>
      <c r="D1243" s="17" t="n">
        <f aca="false">(C1243-$B$4)/($B$6/SQRT($B$7))</f>
        <v>-2.79212774685058</v>
      </c>
      <c r="E1243" s="0" t="str">
        <f aca="false">IF(OR(AND($B$9="superior",D1243&gt;$B$10),AND($B$9="inferior",D1243&lt;-$B$10)),"Rechazar H0","No rechazar H0")</f>
        <v>Rechazar H0</v>
      </c>
      <c r="F1243" s="0" t="str">
        <f aca="false">IF(AND(B1243="H0 verdadera",E1243="Rechazar H0"),"Error tipo I",IF(AND(B1243="Ha verdadera",E1243="No rechazar H0"),"Error tipo II","Decisión correcta"))</f>
        <v>Decisión correcta</v>
      </c>
    </row>
    <row r="1244" customFormat="false" ht="15" hidden="false" customHeight="false" outlineLevel="0" collapsed="false">
      <c r="A1244" s="0" t="n">
        <v>1223</v>
      </c>
      <c r="B1244" s="0" t="s">
        <v>86</v>
      </c>
      <c r="C1244" s="17" t="n">
        <v>-0.0884606534917447</v>
      </c>
      <c r="D1244" s="17" t="n">
        <f aca="false">(C1244-$B$4)/($B$6/SQRT($B$7))</f>
        <v>-0.442303267458724</v>
      </c>
      <c r="E1244" s="0" t="str">
        <f aca="false">IF(OR(AND($B$9="superior",D1244&gt;$B$10),AND($B$9="inferior",D1244&lt;-$B$10)),"Rechazar H0","No rechazar H0")</f>
        <v>No rechazar H0</v>
      </c>
      <c r="F1244" s="0" t="str">
        <f aca="false">IF(AND(B1244="H0 verdadera",E1244="Rechazar H0"),"Error tipo I",IF(AND(B1244="Ha verdadera",E1244="No rechazar H0"),"Error tipo II","Decisión correcta"))</f>
        <v>Error tipo II</v>
      </c>
    </row>
    <row r="1245" customFormat="false" ht="15" hidden="false" customHeight="false" outlineLevel="0" collapsed="false">
      <c r="A1245" s="0" t="n">
        <v>1224</v>
      </c>
      <c r="B1245" s="0" t="s">
        <v>85</v>
      </c>
      <c r="C1245" s="17" t="n">
        <v>-0.00684634371872533</v>
      </c>
      <c r="D1245" s="17" t="n">
        <f aca="false">(C1245-$B$4)/($B$6/SQRT($B$7))</f>
        <v>-0.0342317185936266</v>
      </c>
      <c r="E1245" s="0" t="str">
        <f aca="false">IF(OR(AND($B$9="superior",D1245&gt;$B$10),AND($B$9="inferior",D1245&lt;-$B$10)),"Rechazar H0","No rechazar H0")</f>
        <v>No rechazar H0</v>
      </c>
      <c r="F1245" s="0" t="str">
        <f aca="false">IF(AND(B1245="H0 verdadera",E1245="Rechazar H0"),"Error tipo I",IF(AND(B1245="Ha verdadera",E1245="No rechazar H0"),"Error tipo II","Decisión correcta"))</f>
        <v>Decisión correcta</v>
      </c>
    </row>
    <row r="1246" customFormat="false" ht="15" hidden="false" customHeight="false" outlineLevel="0" collapsed="false">
      <c r="A1246" s="0" t="n">
        <v>1225</v>
      </c>
      <c r="B1246" s="0" t="s">
        <v>86</v>
      </c>
      <c r="C1246" s="17" t="n">
        <v>-0.388438955239707</v>
      </c>
      <c r="D1246" s="17" t="n">
        <f aca="false">(C1246-$B$4)/($B$6/SQRT($B$7))</f>
        <v>-1.94219477619854</v>
      </c>
      <c r="E1246" s="0" t="str">
        <f aca="false">IF(OR(AND($B$9="superior",D1246&gt;$B$10),AND($B$9="inferior",D1246&lt;-$B$10)),"Rechazar H0","No rechazar H0")</f>
        <v>Rechazar H0</v>
      </c>
      <c r="F1246" s="0" t="str">
        <f aca="false">IF(AND(B1246="H0 verdadera",E1246="Rechazar H0"),"Error tipo I",IF(AND(B1246="Ha verdadera",E1246="No rechazar H0"),"Error tipo II","Decisión correcta"))</f>
        <v>Decisión correcta</v>
      </c>
    </row>
    <row r="1247" customFormat="false" ht="15" hidden="false" customHeight="false" outlineLevel="0" collapsed="false">
      <c r="A1247" s="0" t="n">
        <v>1226</v>
      </c>
      <c r="B1247" s="0" t="s">
        <v>86</v>
      </c>
      <c r="C1247" s="17" t="n">
        <v>-0.706483622648799</v>
      </c>
      <c r="D1247" s="17" t="n">
        <f aca="false">(C1247-$B$4)/($B$6/SQRT($B$7))</f>
        <v>-3.53241811324399</v>
      </c>
      <c r="E1247" s="0" t="str">
        <f aca="false">IF(OR(AND($B$9="superior",D1247&gt;$B$10),AND($B$9="inferior",D1247&lt;-$B$10)),"Rechazar H0","No rechazar H0")</f>
        <v>Rechazar H0</v>
      </c>
      <c r="F1247" s="0" t="str">
        <f aca="false">IF(AND(B1247="H0 verdadera",E1247="Rechazar H0"),"Error tipo I",IF(AND(B1247="Ha verdadera",E1247="No rechazar H0"),"Error tipo II","Decisión correcta"))</f>
        <v>Decisión correcta</v>
      </c>
    </row>
    <row r="1248" customFormat="false" ht="15" hidden="false" customHeight="false" outlineLevel="0" collapsed="false">
      <c r="A1248" s="0" t="n">
        <v>1227</v>
      </c>
      <c r="B1248" s="0" t="s">
        <v>86</v>
      </c>
      <c r="C1248" s="17" t="n">
        <v>-0.808212405080747</v>
      </c>
      <c r="D1248" s="17" t="n">
        <f aca="false">(C1248-$B$4)/($B$6/SQRT($B$7))</f>
        <v>-4.04106202540373</v>
      </c>
      <c r="E1248" s="0" t="str">
        <f aca="false">IF(OR(AND($B$9="superior",D1248&gt;$B$10),AND($B$9="inferior",D1248&lt;-$B$10)),"Rechazar H0","No rechazar H0")</f>
        <v>Rechazar H0</v>
      </c>
      <c r="F1248" s="0" t="str">
        <f aca="false">IF(AND(B1248="H0 verdadera",E1248="Rechazar H0"),"Error tipo I",IF(AND(B1248="Ha verdadera",E1248="No rechazar H0"),"Error tipo II","Decisión correcta"))</f>
        <v>Decisión correcta</v>
      </c>
    </row>
    <row r="1249" customFormat="false" ht="15" hidden="false" customHeight="false" outlineLevel="0" collapsed="false">
      <c r="A1249" s="0" t="n">
        <v>1228</v>
      </c>
      <c r="B1249" s="0" t="s">
        <v>85</v>
      </c>
      <c r="C1249" s="17" t="n">
        <v>0.0395671657505251</v>
      </c>
      <c r="D1249" s="17" t="n">
        <f aca="false">(C1249-$B$4)/($B$6/SQRT($B$7))</f>
        <v>0.197835828752625</v>
      </c>
      <c r="E1249" s="0" t="str">
        <f aca="false">IF(OR(AND($B$9="superior",D1249&gt;$B$10),AND($B$9="inferior",D1249&lt;-$B$10)),"Rechazar H0","No rechazar H0")</f>
        <v>No rechazar H0</v>
      </c>
      <c r="F1249" s="0" t="str">
        <f aca="false">IF(AND(B1249="H0 verdadera",E1249="Rechazar H0"),"Error tipo I",IF(AND(B1249="Ha verdadera",E1249="No rechazar H0"),"Error tipo II","Decisión correcta"))</f>
        <v>Decisión correcta</v>
      </c>
    </row>
    <row r="1250" customFormat="false" ht="15" hidden="false" customHeight="false" outlineLevel="0" collapsed="false">
      <c r="A1250" s="0" t="n">
        <v>1229</v>
      </c>
      <c r="B1250" s="0" t="s">
        <v>86</v>
      </c>
      <c r="C1250" s="17" t="n">
        <v>-0.462937153900166</v>
      </c>
      <c r="D1250" s="17" t="n">
        <f aca="false">(C1250-$B$4)/($B$6/SQRT($B$7))</f>
        <v>-2.31468576950083</v>
      </c>
      <c r="E1250" s="0" t="str">
        <f aca="false">IF(OR(AND($B$9="superior",D1250&gt;$B$10),AND($B$9="inferior",D1250&lt;-$B$10)),"Rechazar H0","No rechazar H0")</f>
        <v>Rechazar H0</v>
      </c>
      <c r="F1250" s="0" t="str">
        <f aca="false">IF(AND(B1250="H0 verdadera",E1250="Rechazar H0"),"Error tipo I",IF(AND(B1250="Ha verdadera",E1250="No rechazar H0"),"Error tipo II","Decisión correcta"))</f>
        <v>Decisión correcta</v>
      </c>
    </row>
    <row r="1251" customFormat="false" ht="15" hidden="false" customHeight="false" outlineLevel="0" collapsed="false">
      <c r="A1251" s="0" t="n">
        <v>1230</v>
      </c>
      <c r="B1251" s="0" t="s">
        <v>85</v>
      </c>
      <c r="C1251" s="17" t="n">
        <v>0.0483913850798946</v>
      </c>
      <c r="D1251" s="17" t="n">
        <f aca="false">(C1251-$B$4)/($B$6/SQRT($B$7))</f>
        <v>0.241956925399473</v>
      </c>
      <c r="E1251" s="0" t="str">
        <f aca="false">IF(OR(AND($B$9="superior",D1251&gt;$B$10),AND($B$9="inferior",D1251&lt;-$B$10)),"Rechazar H0","No rechazar H0")</f>
        <v>No rechazar H0</v>
      </c>
      <c r="F1251" s="0" t="str">
        <f aca="false">IF(AND(B1251="H0 verdadera",E1251="Rechazar H0"),"Error tipo I",IF(AND(B1251="Ha verdadera",E1251="No rechazar H0"),"Error tipo II","Decisión correcta"))</f>
        <v>Decisión correcta</v>
      </c>
    </row>
    <row r="1252" customFormat="false" ht="15" hidden="false" customHeight="false" outlineLevel="0" collapsed="false">
      <c r="A1252" s="0" t="n">
        <v>1231</v>
      </c>
      <c r="B1252" s="0" t="s">
        <v>86</v>
      </c>
      <c r="C1252" s="17" t="n">
        <v>-0.741271591660417</v>
      </c>
      <c r="D1252" s="17" t="n">
        <f aca="false">(C1252-$B$4)/($B$6/SQRT($B$7))</f>
        <v>-3.70635795830209</v>
      </c>
      <c r="E1252" s="0" t="str">
        <f aca="false">IF(OR(AND($B$9="superior",D1252&gt;$B$10),AND($B$9="inferior",D1252&lt;-$B$10)),"Rechazar H0","No rechazar H0")</f>
        <v>Rechazar H0</v>
      </c>
      <c r="F1252" s="0" t="str">
        <f aca="false">IF(AND(B1252="H0 verdadera",E1252="Rechazar H0"),"Error tipo I",IF(AND(B1252="Ha verdadera",E1252="No rechazar H0"),"Error tipo II","Decisión correcta"))</f>
        <v>Decisión correcta</v>
      </c>
    </row>
    <row r="1253" customFormat="false" ht="15" hidden="false" customHeight="false" outlineLevel="0" collapsed="false">
      <c r="A1253" s="0" t="n">
        <v>1232</v>
      </c>
      <c r="B1253" s="0" t="s">
        <v>86</v>
      </c>
      <c r="C1253" s="17" t="n">
        <v>-0.411878875524753</v>
      </c>
      <c r="D1253" s="17" t="n">
        <f aca="false">(C1253-$B$4)/($B$6/SQRT($B$7))</f>
        <v>-2.05939437762376</v>
      </c>
      <c r="E1253" s="0" t="str">
        <f aca="false">IF(OR(AND($B$9="superior",D1253&gt;$B$10),AND($B$9="inferior",D1253&lt;-$B$10)),"Rechazar H0","No rechazar H0")</f>
        <v>Rechazar H0</v>
      </c>
      <c r="F1253" s="0" t="str">
        <f aca="false">IF(AND(B1253="H0 verdadera",E1253="Rechazar H0"),"Error tipo I",IF(AND(B1253="Ha verdadera",E1253="No rechazar H0"),"Error tipo II","Decisión correcta"))</f>
        <v>Decisión correcta</v>
      </c>
    </row>
    <row r="1254" customFormat="false" ht="15" hidden="false" customHeight="false" outlineLevel="0" collapsed="false">
      <c r="A1254" s="0" t="n">
        <v>1233</v>
      </c>
      <c r="B1254" s="0" t="s">
        <v>85</v>
      </c>
      <c r="C1254" s="17" t="n">
        <v>0.326843500421141</v>
      </c>
      <c r="D1254" s="17" t="n">
        <f aca="false">(C1254-$B$4)/($B$6/SQRT($B$7))</f>
        <v>1.63421750210571</v>
      </c>
      <c r="E1254" s="0" t="str">
        <f aca="false">IF(OR(AND($B$9="superior",D1254&gt;$B$10),AND($B$9="inferior",D1254&lt;-$B$10)),"Rechazar H0","No rechazar H0")</f>
        <v>No rechazar H0</v>
      </c>
      <c r="F1254" s="0" t="str">
        <f aca="false">IF(AND(B1254="H0 verdadera",E1254="Rechazar H0"),"Error tipo I",IF(AND(B1254="Ha verdadera",E1254="No rechazar H0"),"Error tipo II","Decisión correcta"))</f>
        <v>Decisión correcta</v>
      </c>
    </row>
    <row r="1255" customFormat="false" ht="15" hidden="false" customHeight="false" outlineLevel="0" collapsed="false">
      <c r="A1255" s="0" t="n">
        <v>1234</v>
      </c>
      <c r="B1255" s="0" t="s">
        <v>86</v>
      </c>
      <c r="C1255" s="17" t="n">
        <v>0.0081533307982507</v>
      </c>
      <c r="D1255" s="17" t="n">
        <f aca="false">(C1255-$B$4)/($B$6/SQRT($B$7))</f>
        <v>0.0407666539912535</v>
      </c>
      <c r="E1255" s="0" t="str">
        <f aca="false">IF(OR(AND($B$9="superior",D1255&gt;$B$10),AND($B$9="inferior",D1255&lt;-$B$10)),"Rechazar H0","No rechazar H0")</f>
        <v>No rechazar H0</v>
      </c>
      <c r="F1255" s="0" t="str">
        <f aca="false">IF(AND(B1255="H0 verdadera",E1255="Rechazar H0"),"Error tipo I",IF(AND(B1255="Ha verdadera",E1255="No rechazar H0"),"Error tipo II","Decisión correcta"))</f>
        <v>Error tipo II</v>
      </c>
    </row>
    <row r="1256" customFormat="false" ht="15" hidden="false" customHeight="false" outlineLevel="0" collapsed="false">
      <c r="A1256" s="0" t="n">
        <v>1235</v>
      </c>
      <c r="B1256" s="0" t="s">
        <v>85</v>
      </c>
      <c r="C1256" s="17" t="n">
        <v>-0.494959197827823</v>
      </c>
      <c r="D1256" s="17" t="n">
        <f aca="false">(C1256-$B$4)/($B$6/SQRT($B$7))</f>
        <v>-2.47479598913911</v>
      </c>
      <c r="E1256" s="0" t="str">
        <f aca="false">IF(OR(AND($B$9="superior",D1256&gt;$B$10),AND($B$9="inferior",D1256&lt;-$B$10)),"Rechazar H0","No rechazar H0")</f>
        <v>Rechazar H0</v>
      </c>
      <c r="F1256" s="0" t="str">
        <f aca="false">IF(AND(B1256="H0 verdadera",E1256="Rechazar H0"),"Error tipo I",IF(AND(B1256="Ha verdadera",E1256="No rechazar H0"),"Error tipo II","Decisión correcta"))</f>
        <v>Error tipo I</v>
      </c>
    </row>
    <row r="1257" customFormat="false" ht="15" hidden="false" customHeight="false" outlineLevel="0" collapsed="false">
      <c r="A1257" s="0" t="n">
        <v>1236</v>
      </c>
      <c r="B1257" s="0" t="s">
        <v>85</v>
      </c>
      <c r="C1257" s="17" t="n">
        <v>0.48145831494101</v>
      </c>
      <c r="D1257" s="17" t="n">
        <f aca="false">(C1257-$B$4)/($B$6/SQRT($B$7))</f>
        <v>2.40729157470505</v>
      </c>
      <c r="E1257" s="0" t="str">
        <f aca="false">IF(OR(AND($B$9="superior",D1257&gt;$B$10),AND($B$9="inferior",D1257&lt;-$B$10)),"Rechazar H0","No rechazar H0")</f>
        <v>No rechazar H0</v>
      </c>
      <c r="F1257" s="0" t="str">
        <f aca="false">IF(AND(B1257="H0 verdadera",E1257="Rechazar H0"),"Error tipo I",IF(AND(B1257="Ha verdadera",E1257="No rechazar H0"),"Error tipo II","Decisión correcta"))</f>
        <v>Decisión correcta</v>
      </c>
    </row>
    <row r="1258" customFormat="false" ht="15" hidden="false" customHeight="false" outlineLevel="0" collapsed="false">
      <c r="A1258" s="0" t="n">
        <v>1237</v>
      </c>
      <c r="B1258" s="0" t="s">
        <v>86</v>
      </c>
      <c r="C1258" s="17" t="n">
        <v>-0.383656881720205</v>
      </c>
      <c r="D1258" s="17" t="n">
        <f aca="false">(C1258-$B$4)/($B$6/SQRT($B$7))</f>
        <v>-1.91828440860103</v>
      </c>
      <c r="E1258" s="0" t="str">
        <f aca="false">IF(OR(AND($B$9="superior",D1258&gt;$B$10),AND($B$9="inferior",D1258&lt;-$B$10)),"Rechazar H0","No rechazar H0")</f>
        <v>Rechazar H0</v>
      </c>
      <c r="F1258" s="0" t="str">
        <f aca="false">IF(AND(B1258="H0 verdadera",E1258="Rechazar H0"),"Error tipo I",IF(AND(B1258="Ha verdadera",E1258="No rechazar H0"),"Error tipo II","Decisión correcta"))</f>
        <v>Decisión correcta</v>
      </c>
    </row>
    <row r="1259" customFormat="false" ht="15" hidden="false" customHeight="false" outlineLevel="0" collapsed="false">
      <c r="A1259" s="0" t="n">
        <v>1238</v>
      </c>
      <c r="B1259" s="0" t="s">
        <v>85</v>
      </c>
      <c r="C1259" s="17" t="n">
        <v>-0.0827755527345601</v>
      </c>
      <c r="D1259" s="17" t="n">
        <f aca="false">(C1259-$B$4)/($B$6/SQRT($B$7))</f>
        <v>-0.4138777636728</v>
      </c>
      <c r="E1259" s="0" t="str">
        <f aca="false">IF(OR(AND($B$9="superior",D1259&gt;$B$10),AND($B$9="inferior",D1259&lt;-$B$10)),"Rechazar H0","No rechazar H0")</f>
        <v>No rechazar H0</v>
      </c>
      <c r="F1259" s="0" t="str">
        <f aca="false">IF(AND(B1259="H0 verdadera",E1259="Rechazar H0"),"Error tipo I",IF(AND(B1259="Ha verdadera",E1259="No rechazar H0"),"Error tipo II","Decisión correcta"))</f>
        <v>Decisión correcta</v>
      </c>
    </row>
    <row r="1260" customFormat="false" ht="15" hidden="false" customHeight="false" outlineLevel="0" collapsed="false">
      <c r="A1260" s="0" t="n">
        <v>1239</v>
      </c>
      <c r="B1260" s="0" t="s">
        <v>85</v>
      </c>
      <c r="C1260" s="17" t="n">
        <v>0.0434663526583103</v>
      </c>
      <c r="D1260" s="17" t="n">
        <f aca="false">(C1260-$B$4)/($B$6/SQRT($B$7))</f>
        <v>0.217331763291551</v>
      </c>
      <c r="E1260" s="0" t="str">
        <f aca="false">IF(OR(AND($B$9="superior",D1260&gt;$B$10),AND($B$9="inferior",D1260&lt;-$B$10)),"Rechazar H0","No rechazar H0")</f>
        <v>No rechazar H0</v>
      </c>
      <c r="F1260" s="0" t="str">
        <f aca="false">IF(AND(B1260="H0 verdadera",E1260="Rechazar H0"),"Error tipo I",IF(AND(B1260="Ha verdadera",E1260="No rechazar H0"),"Error tipo II","Decisión correcta"))</f>
        <v>Decisión correcta</v>
      </c>
    </row>
    <row r="1261" customFormat="false" ht="15" hidden="false" customHeight="false" outlineLevel="0" collapsed="false">
      <c r="A1261" s="0" t="n">
        <v>1240</v>
      </c>
      <c r="B1261" s="0" t="s">
        <v>86</v>
      </c>
      <c r="C1261" s="17" t="n">
        <v>-0.816504598728646</v>
      </c>
      <c r="D1261" s="17" t="n">
        <f aca="false">(C1261-$B$4)/($B$6/SQRT($B$7))</f>
        <v>-4.08252299364323</v>
      </c>
      <c r="E1261" s="0" t="str">
        <f aca="false">IF(OR(AND($B$9="superior",D1261&gt;$B$10),AND($B$9="inferior",D1261&lt;-$B$10)),"Rechazar H0","No rechazar H0")</f>
        <v>Rechazar H0</v>
      </c>
      <c r="F1261" s="0" t="str">
        <f aca="false">IF(AND(B1261="H0 verdadera",E1261="Rechazar H0"),"Error tipo I",IF(AND(B1261="Ha verdadera",E1261="No rechazar H0"),"Error tipo II","Decisión correcta"))</f>
        <v>Decisión correcta</v>
      </c>
    </row>
    <row r="1262" customFormat="false" ht="15" hidden="false" customHeight="false" outlineLevel="0" collapsed="false">
      <c r="A1262" s="0" t="n">
        <v>1241</v>
      </c>
      <c r="B1262" s="0" t="s">
        <v>86</v>
      </c>
      <c r="C1262" s="17" t="n">
        <v>-0.46589518401784</v>
      </c>
      <c r="D1262" s="17" t="n">
        <f aca="false">(C1262-$B$4)/($B$6/SQRT($B$7))</f>
        <v>-2.3294759200892</v>
      </c>
      <c r="E1262" s="0" t="str">
        <f aca="false">IF(OR(AND($B$9="superior",D1262&gt;$B$10),AND($B$9="inferior",D1262&lt;-$B$10)),"Rechazar H0","No rechazar H0")</f>
        <v>Rechazar H0</v>
      </c>
      <c r="F1262" s="0" t="str">
        <f aca="false">IF(AND(B1262="H0 verdadera",E1262="Rechazar H0"),"Error tipo I",IF(AND(B1262="Ha verdadera",E1262="No rechazar H0"),"Error tipo II","Decisión correcta"))</f>
        <v>Decisión correcta</v>
      </c>
    </row>
    <row r="1263" customFormat="false" ht="15" hidden="false" customHeight="false" outlineLevel="0" collapsed="false">
      <c r="A1263" s="0" t="n">
        <v>1242</v>
      </c>
      <c r="B1263" s="0" t="s">
        <v>86</v>
      </c>
      <c r="C1263" s="17" t="n">
        <v>-0.483358789671797</v>
      </c>
      <c r="D1263" s="17" t="n">
        <f aca="false">(C1263-$B$4)/($B$6/SQRT($B$7))</f>
        <v>-2.41679394835898</v>
      </c>
      <c r="E1263" s="0" t="str">
        <f aca="false">IF(OR(AND($B$9="superior",D1263&gt;$B$10),AND($B$9="inferior",D1263&lt;-$B$10)),"Rechazar H0","No rechazar H0")</f>
        <v>Rechazar H0</v>
      </c>
      <c r="F1263" s="0" t="str">
        <f aca="false">IF(AND(B1263="H0 verdadera",E1263="Rechazar H0"),"Error tipo I",IF(AND(B1263="Ha verdadera",E1263="No rechazar H0"),"Error tipo II","Decisión correcta"))</f>
        <v>Decisión correcta</v>
      </c>
    </row>
    <row r="1264" customFormat="false" ht="15" hidden="false" customHeight="false" outlineLevel="0" collapsed="false">
      <c r="A1264" s="0" t="n">
        <v>1243</v>
      </c>
      <c r="B1264" s="0" t="s">
        <v>86</v>
      </c>
      <c r="C1264" s="17" t="n">
        <v>-0.266417497226394</v>
      </c>
      <c r="D1264" s="17" t="n">
        <f aca="false">(C1264-$B$4)/($B$6/SQRT($B$7))</f>
        <v>-1.33208748613197</v>
      </c>
      <c r="E1264" s="0" t="str">
        <f aca="false">IF(OR(AND($B$9="superior",D1264&gt;$B$10),AND($B$9="inferior",D1264&lt;-$B$10)),"Rechazar H0","No rechazar H0")</f>
        <v>No rechazar H0</v>
      </c>
      <c r="F1264" s="0" t="str">
        <f aca="false">IF(AND(B1264="H0 verdadera",E1264="Rechazar H0"),"Error tipo I",IF(AND(B1264="Ha verdadera",E1264="No rechazar H0"),"Error tipo II","Decisión correcta"))</f>
        <v>Error tipo II</v>
      </c>
    </row>
    <row r="1265" customFormat="false" ht="15" hidden="false" customHeight="false" outlineLevel="0" collapsed="false">
      <c r="A1265" s="0" t="n">
        <v>1244</v>
      </c>
      <c r="B1265" s="0" t="s">
        <v>85</v>
      </c>
      <c r="C1265" s="17" t="n">
        <v>-0.130371252264859</v>
      </c>
      <c r="D1265" s="17" t="n">
        <f aca="false">(C1265-$B$4)/($B$6/SQRT($B$7))</f>
        <v>-0.651856261324293</v>
      </c>
      <c r="E1265" s="0" t="str">
        <f aca="false">IF(OR(AND($B$9="superior",D1265&gt;$B$10),AND($B$9="inferior",D1265&lt;-$B$10)),"Rechazar H0","No rechazar H0")</f>
        <v>No rechazar H0</v>
      </c>
      <c r="F1265" s="0" t="str">
        <f aca="false">IF(AND(B1265="H0 verdadera",E1265="Rechazar H0"),"Error tipo I",IF(AND(B1265="Ha verdadera",E1265="No rechazar H0"),"Error tipo II","Decisión correcta"))</f>
        <v>Decisión correcta</v>
      </c>
    </row>
    <row r="1266" customFormat="false" ht="15" hidden="false" customHeight="false" outlineLevel="0" collapsed="false">
      <c r="A1266" s="0" t="n">
        <v>1245</v>
      </c>
      <c r="B1266" s="0" t="s">
        <v>86</v>
      </c>
      <c r="C1266" s="17" t="n">
        <v>-0.357849778886468</v>
      </c>
      <c r="D1266" s="17" t="n">
        <f aca="false">(C1266-$B$4)/($B$6/SQRT($B$7))</f>
        <v>-1.78924889443234</v>
      </c>
      <c r="E1266" s="0" t="str">
        <f aca="false">IF(OR(AND($B$9="superior",D1266&gt;$B$10),AND($B$9="inferior",D1266&lt;-$B$10)),"Rechazar H0","No rechazar H0")</f>
        <v>Rechazar H0</v>
      </c>
      <c r="F1266" s="0" t="str">
        <f aca="false">IF(AND(B1266="H0 verdadera",E1266="Rechazar H0"),"Error tipo I",IF(AND(B1266="Ha verdadera",E1266="No rechazar H0"),"Error tipo II","Decisión correcta"))</f>
        <v>Decisión correcta</v>
      </c>
    </row>
    <row r="1267" customFormat="false" ht="15" hidden="false" customHeight="false" outlineLevel="0" collapsed="false">
      <c r="A1267" s="0" t="n">
        <v>1246</v>
      </c>
      <c r="B1267" s="0" t="s">
        <v>86</v>
      </c>
      <c r="C1267" s="17" t="n">
        <v>-0.428611855930973</v>
      </c>
      <c r="D1267" s="17" t="n">
        <f aca="false">(C1267-$B$4)/($B$6/SQRT($B$7))</f>
        <v>-2.14305927965487</v>
      </c>
      <c r="E1267" s="0" t="str">
        <f aca="false">IF(OR(AND($B$9="superior",D1267&gt;$B$10),AND($B$9="inferior",D1267&lt;-$B$10)),"Rechazar H0","No rechazar H0")</f>
        <v>Rechazar H0</v>
      </c>
      <c r="F1267" s="0" t="str">
        <f aca="false">IF(AND(B1267="H0 verdadera",E1267="Rechazar H0"),"Error tipo I",IF(AND(B1267="Ha verdadera",E1267="No rechazar H0"),"Error tipo II","Decisión correcta"))</f>
        <v>Decisión correcta</v>
      </c>
    </row>
    <row r="1268" customFormat="false" ht="15" hidden="false" customHeight="false" outlineLevel="0" collapsed="false">
      <c r="A1268" s="0" t="n">
        <v>1247</v>
      </c>
      <c r="B1268" s="0" t="s">
        <v>85</v>
      </c>
      <c r="C1268" s="17" t="n">
        <v>-0.00118599321155884</v>
      </c>
      <c r="D1268" s="17" t="n">
        <f aca="false">(C1268-$B$4)/($B$6/SQRT($B$7))</f>
        <v>-0.00592996605779419</v>
      </c>
      <c r="E1268" s="0" t="str">
        <f aca="false">IF(OR(AND($B$9="superior",D1268&gt;$B$10),AND($B$9="inferior",D1268&lt;-$B$10)),"Rechazar H0","No rechazar H0")</f>
        <v>No rechazar H0</v>
      </c>
      <c r="F1268" s="0" t="str">
        <f aca="false">IF(AND(B1268="H0 verdadera",E1268="Rechazar H0"),"Error tipo I",IF(AND(B1268="Ha verdadera",E1268="No rechazar H0"),"Error tipo II","Decisión correcta"))</f>
        <v>Decisión correcta</v>
      </c>
    </row>
    <row r="1269" customFormat="false" ht="15" hidden="false" customHeight="false" outlineLevel="0" collapsed="false">
      <c r="A1269" s="0" t="n">
        <v>1248</v>
      </c>
      <c r="B1269" s="0" t="s">
        <v>85</v>
      </c>
      <c r="C1269" s="17" t="n">
        <v>0.0671302362530727</v>
      </c>
      <c r="D1269" s="17" t="n">
        <f aca="false">(C1269-$B$4)/($B$6/SQRT($B$7))</f>
        <v>0.335651181265364</v>
      </c>
      <c r="E1269" s="0" t="str">
        <f aca="false">IF(OR(AND($B$9="superior",D1269&gt;$B$10),AND($B$9="inferior",D1269&lt;-$B$10)),"Rechazar H0","No rechazar H0")</f>
        <v>No rechazar H0</v>
      </c>
      <c r="F1269" s="0" t="str">
        <f aca="false">IF(AND(B1269="H0 verdadera",E1269="Rechazar H0"),"Error tipo I",IF(AND(B1269="Ha verdadera",E1269="No rechazar H0"),"Error tipo II","Decisión correcta"))</f>
        <v>Decisión correcta</v>
      </c>
    </row>
    <row r="1270" customFormat="false" ht="15" hidden="false" customHeight="false" outlineLevel="0" collapsed="false">
      <c r="A1270" s="0" t="n">
        <v>1249</v>
      </c>
      <c r="B1270" s="0" t="s">
        <v>85</v>
      </c>
      <c r="C1270" s="17" t="n">
        <v>0.0107802218258447</v>
      </c>
      <c r="D1270" s="17" t="n">
        <f aca="false">(C1270-$B$4)/($B$6/SQRT($B$7))</f>
        <v>0.0539011091292233</v>
      </c>
      <c r="E1270" s="0" t="str">
        <f aca="false">IF(OR(AND($B$9="superior",D1270&gt;$B$10),AND($B$9="inferior",D1270&lt;-$B$10)),"Rechazar H0","No rechazar H0")</f>
        <v>No rechazar H0</v>
      </c>
      <c r="F1270" s="0" t="str">
        <f aca="false">IF(AND(B1270="H0 verdadera",E1270="Rechazar H0"),"Error tipo I",IF(AND(B1270="Ha verdadera",E1270="No rechazar H0"),"Error tipo II","Decisión correcta"))</f>
        <v>Decisión correcta</v>
      </c>
    </row>
    <row r="1271" customFormat="false" ht="15" hidden="false" customHeight="false" outlineLevel="0" collapsed="false">
      <c r="A1271" s="0" t="n">
        <v>1250</v>
      </c>
      <c r="B1271" s="0" t="s">
        <v>86</v>
      </c>
      <c r="C1271" s="17" t="n">
        <v>-0.411988263800425</v>
      </c>
      <c r="D1271" s="17" t="n">
        <f aca="false">(C1271-$B$4)/($B$6/SQRT($B$7))</f>
        <v>-2.05994131900213</v>
      </c>
      <c r="E1271" s="0" t="str">
        <f aca="false">IF(OR(AND($B$9="superior",D1271&gt;$B$10),AND($B$9="inferior",D1271&lt;-$B$10)),"Rechazar H0","No rechazar H0")</f>
        <v>Rechazar H0</v>
      </c>
      <c r="F1271" s="0" t="str">
        <f aca="false">IF(AND(B1271="H0 verdadera",E1271="Rechazar H0"),"Error tipo I",IF(AND(B1271="Ha verdadera",E1271="No rechazar H0"),"Error tipo II","Decisión correcta"))</f>
        <v>Decisión correcta</v>
      </c>
    </row>
    <row r="1272" customFormat="false" ht="15" hidden="false" customHeight="false" outlineLevel="0" collapsed="false">
      <c r="A1272" s="0" t="n">
        <v>1251</v>
      </c>
      <c r="B1272" s="0" t="s">
        <v>86</v>
      </c>
      <c r="C1272" s="17" t="n">
        <v>-0.105741655089523</v>
      </c>
      <c r="D1272" s="17" t="n">
        <f aca="false">(C1272-$B$4)/($B$6/SQRT($B$7))</f>
        <v>-0.528708275447614</v>
      </c>
      <c r="E1272" s="0" t="str">
        <f aca="false">IF(OR(AND($B$9="superior",D1272&gt;$B$10),AND($B$9="inferior",D1272&lt;-$B$10)),"Rechazar H0","No rechazar H0")</f>
        <v>No rechazar H0</v>
      </c>
      <c r="F1272" s="0" t="str">
        <f aca="false">IF(AND(B1272="H0 verdadera",E1272="Rechazar H0"),"Error tipo I",IF(AND(B1272="Ha verdadera",E1272="No rechazar H0"),"Error tipo II","Decisión correcta"))</f>
        <v>Error tipo II</v>
      </c>
    </row>
    <row r="1273" customFormat="false" ht="15" hidden="false" customHeight="false" outlineLevel="0" collapsed="false">
      <c r="A1273" s="0" t="n">
        <v>1252</v>
      </c>
      <c r="B1273" s="0" t="s">
        <v>85</v>
      </c>
      <c r="C1273" s="17" t="n">
        <v>0.0104827457164336</v>
      </c>
      <c r="D1273" s="17" t="n">
        <f aca="false">(C1273-$B$4)/($B$6/SQRT($B$7))</f>
        <v>0.0524137285821678</v>
      </c>
      <c r="E1273" s="0" t="str">
        <f aca="false">IF(OR(AND($B$9="superior",D1273&gt;$B$10),AND($B$9="inferior",D1273&lt;-$B$10)),"Rechazar H0","No rechazar H0")</f>
        <v>No rechazar H0</v>
      </c>
      <c r="F1273" s="0" t="str">
        <f aca="false">IF(AND(B1273="H0 verdadera",E1273="Rechazar H0"),"Error tipo I",IF(AND(B1273="Ha verdadera",E1273="No rechazar H0"),"Error tipo II","Decisión correcta"))</f>
        <v>Decisión correcta</v>
      </c>
    </row>
    <row r="1274" customFormat="false" ht="15" hidden="false" customHeight="false" outlineLevel="0" collapsed="false">
      <c r="A1274" s="0" t="n">
        <v>1253</v>
      </c>
      <c r="B1274" s="0" t="s">
        <v>86</v>
      </c>
      <c r="C1274" s="17" t="n">
        <v>-0.330246441900538</v>
      </c>
      <c r="D1274" s="17" t="n">
        <f aca="false">(C1274-$B$4)/($B$6/SQRT($B$7))</f>
        <v>-1.65123220950269</v>
      </c>
      <c r="E1274" s="0" t="str">
        <f aca="false">IF(OR(AND($B$9="superior",D1274&gt;$B$10),AND($B$9="inferior",D1274&lt;-$B$10)),"Rechazar H0","No rechazar H0")</f>
        <v>Rechazar H0</v>
      </c>
      <c r="F1274" s="0" t="str">
        <f aca="false">IF(AND(B1274="H0 verdadera",E1274="Rechazar H0"),"Error tipo I",IF(AND(B1274="Ha verdadera",E1274="No rechazar H0"),"Error tipo II","Decisión correcta"))</f>
        <v>Decisión correcta</v>
      </c>
    </row>
    <row r="1275" customFormat="false" ht="15" hidden="false" customHeight="false" outlineLevel="0" collapsed="false">
      <c r="A1275" s="0" t="n">
        <v>1254</v>
      </c>
      <c r="B1275" s="0" t="s">
        <v>86</v>
      </c>
      <c r="C1275" s="17" t="n">
        <v>-0.254999045812592</v>
      </c>
      <c r="D1275" s="17" t="n">
        <f aca="false">(C1275-$B$4)/($B$6/SQRT($B$7))</f>
        <v>-1.27499522906296</v>
      </c>
      <c r="E1275" s="0" t="str">
        <f aca="false">IF(OR(AND($B$9="superior",D1275&gt;$B$10),AND($B$9="inferior",D1275&lt;-$B$10)),"Rechazar H0","No rechazar H0")</f>
        <v>No rechazar H0</v>
      </c>
      <c r="F1275" s="0" t="str">
        <f aca="false">IF(AND(B1275="H0 verdadera",E1275="Rechazar H0"),"Error tipo I",IF(AND(B1275="Ha verdadera",E1275="No rechazar H0"),"Error tipo II","Decisión correcta"))</f>
        <v>Error tipo II</v>
      </c>
    </row>
    <row r="1276" customFormat="false" ht="15" hidden="false" customHeight="false" outlineLevel="0" collapsed="false">
      <c r="A1276" s="0" t="n">
        <v>1255</v>
      </c>
      <c r="B1276" s="0" t="s">
        <v>85</v>
      </c>
      <c r="C1276" s="17" t="n">
        <v>0.116256052838981</v>
      </c>
      <c r="D1276" s="17" t="n">
        <f aca="false">(C1276-$B$4)/($B$6/SQRT($B$7))</f>
        <v>0.581280264194906</v>
      </c>
      <c r="E1276" s="0" t="str">
        <f aca="false">IF(OR(AND($B$9="superior",D1276&gt;$B$10),AND($B$9="inferior",D1276&lt;-$B$10)),"Rechazar H0","No rechazar H0")</f>
        <v>No rechazar H0</v>
      </c>
      <c r="F1276" s="0" t="str">
        <f aca="false">IF(AND(B1276="H0 verdadera",E1276="Rechazar H0"),"Error tipo I",IF(AND(B1276="Ha verdadera",E1276="No rechazar H0"),"Error tipo II","Decisión correcta"))</f>
        <v>Decisión correcta</v>
      </c>
    </row>
    <row r="1277" customFormat="false" ht="15" hidden="false" customHeight="false" outlineLevel="0" collapsed="false">
      <c r="A1277" s="0" t="n">
        <v>1256</v>
      </c>
      <c r="B1277" s="0" t="s">
        <v>86</v>
      </c>
      <c r="C1277" s="17" t="n">
        <v>-0.624754371101757</v>
      </c>
      <c r="D1277" s="17" t="n">
        <f aca="false">(C1277-$B$4)/($B$6/SQRT($B$7))</f>
        <v>-3.12377185550878</v>
      </c>
      <c r="E1277" s="0" t="str">
        <f aca="false">IF(OR(AND($B$9="superior",D1277&gt;$B$10),AND($B$9="inferior",D1277&lt;-$B$10)),"Rechazar H0","No rechazar H0")</f>
        <v>Rechazar H0</v>
      </c>
      <c r="F1277" s="0" t="str">
        <f aca="false">IF(AND(B1277="H0 verdadera",E1277="Rechazar H0"),"Error tipo I",IF(AND(B1277="Ha verdadera",E1277="No rechazar H0"),"Error tipo II","Decisión correcta"))</f>
        <v>Decisión correcta</v>
      </c>
    </row>
    <row r="1278" customFormat="false" ht="15" hidden="false" customHeight="false" outlineLevel="0" collapsed="false">
      <c r="A1278" s="0" t="n">
        <v>1257</v>
      </c>
      <c r="B1278" s="0" t="s">
        <v>86</v>
      </c>
      <c r="C1278" s="17" t="n">
        <v>-0.268976552816606</v>
      </c>
      <c r="D1278" s="17" t="n">
        <f aca="false">(C1278-$B$4)/($B$6/SQRT($B$7))</f>
        <v>-1.34488276408303</v>
      </c>
      <c r="E1278" s="0" t="str">
        <f aca="false">IF(OR(AND($B$9="superior",D1278&gt;$B$10),AND($B$9="inferior",D1278&lt;-$B$10)),"Rechazar H0","No rechazar H0")</f>
        <v>No rechazar H0</v>
      </c>
      <c r="F1278" s="0" t="str">
        <f aca="false">IF(AND(B1278="H0 verdadera",E1278="Rechazar H0"),"Error tipo I",IF(AND(B1278="Ha verdadera",E1278="No rechazar H0"),"Error tipo II","Decisión correcta"))</f>
        <v>Error tipo II</v>
      </c>
    </row>
    <row r="1279" customFormat="false" ht="15" hidden="false" customHeight="false" outlineLevel="0" collapsed="false">
      <c r="A1279" s="0" t="n">
        <v>1258</v>
      </c>
      <c r="B1279" s="0" t="s">
        <v>85</v>
      </c>
      <c r="C1279" s="17" t="n">
        <v>-0.216369985910283</v>
      </c>
      <c r="D1279" s="17" t="n">
        <f aca="false">(C1279-$B$4)/($B$6/SQRT($B$7))</f>
        <v>-1.08184992955141</v>
      </c>
      <c r="E1279" s="0" t="str">
        <f aca="false">IF(OR(AND($B$9="superior",D1279&gt;$B$10),AND($B$9="inferior",D1279&lt;-$B$10)),"Rechazar H0","No rechazar H0")</f>
        <v>No rechazar H0</v>
      </c>
      <c r="F1279" s="0" t="str">
        <f aca="false">IF(AND(B1279="H0 verdadera",E1279="Rechazar H0"),"Error tipo I",IF(AND(B1279="Ha verdadera",E1279="No rechazar H0"),"Error tipo II","Decisión correcta"))</f>
        <v>Decisión correcta</v>
      </c>
    </row>
    <row r="1280" customFormat="false" ht="15" hidden="false" customHeight="false" outlineLevel="0" collapsed="false">
      <c r="A1280" s="0" t="n">
        <v>1259</v>
      </c>
      <c r="B1280" s="0" t="s">
        <v>86</v>
      </c>
      <c r="C1280" s="17" t="n">
        <v>-0.0344536548282437</v>
      </c>
      <c r="D1280" s="17" t="n">
        <f aca="false">(C1280-$B$4)/($B$6/SQRT($B$7))</f>
        <v>-0.172268274141218</v>
      </c>
      <c r="E1280" s="0" t="str">
        <f aca="false">IF(OR(AND($B$9="superior",D1280&gt;$B$10),AND($B$9="inferior",D1280&lt;-$B$10)),"Rechazar H0","No rechazar H0")</f>
        <v>No rechazar H0</v>
      </c>
      <c r="F1280" s="0" t="str">
        <f aca="false">IF(AND(B1280="H0 verdadera",E1280="Rechazar H0"),"Error tipo I",IF(AND(B1280="Ha verdadera",E1280="No rechazar H0"),"Error tipo II","Decisión correcta"))</f>
        <v>Error tipo II</v>
      </c>
    </row>
    <row r="1281" customFormat="false" ht="15" hidden="false" customHeight="false" outlineLevel="0" collapsed="false">
      <c r="A1281" s="0" t="n">
        <v>1260</v>
      </c>
      <c r="B1281" s="0" t="s">
        <v>86</v>
      </c>
      <c r="C1281" s="17" t="n">
        <v>-0.414746429913204</v>
      </c>
      <c r="D1281" s="17" t="n">
        <f aca="false">(C1281-$B$4)/($B$6/SQRT($B$7))</f>
        <v>-2.07373214956602</v>
      </c>
      <c r="E1281" s="0" t="str">
        <f aca="false">IF(OR(AND($B$9="superior",D1281&gt;$B$10),AND($B$9="inferior",D1281&lt;-$B$10)),"Rechazar H0","No rechazar H0")</f>
        <v>Rechazar H0</v>
      </c>
      <c r="F1281" s="0" t="str">
        <f aca="false">IF(AND(B1281="H0 verdadera",E1281="Rechazar H0"),"Error tipo I",IF(AND(B1281="Ha verdadera",E1281="No rechazar H0"),"Error tipo II","Decisión correcta"))</f>
        <v>Decisión correcta</v>
      </c>
    </row>
    <row r="1282" customFormat="false" ht="15" hidden="false" customHeight="false" outlineLevel="0" collapsed="false">
      <c r="A1282" s="0" t="n">
        <v>1261</v>
      </c>
      <c r="B1282" s="0" t="s">
        <v>86</v>
      </c>
      <c r="C1282" s="17" t="n">
        <v>-0.488023490179774</v>
      </c>
      <c r="D1282" s="17" t="n">
        <f aca="false">(C1282-$B$4)/($B$6/SQRT($B$7))</f>
        <v>-2.44011745089887</v>
      </c>
      <c r="E1282" s="0" t="str">
        <f aca="false">IF(OR(AND($B$9="superior",D1282&gt;$B$10),AND($B$9="inferior",D1282&lt;-$B$10)),"Rechazar H0","No rechazar H0")</f>
        <v>Rechazar H0</v>
      </c>
      <c r="F1282" s="0" t="str">
        <f aca="false">IF(AND(B1282="H0 verdadera",E1282="Rechazar H0"),"Error tipo I",IF(AND(B1282="Ha verdadera",E1282="No rechazar H0"),"Error tipo II","Decisión correcta"))</f>
        <v>Decisión correcta</v>
      </c>
    </row>
    <row r="1283" customFormat="false" ht="15" hidden="false" customHeight="false" outlineLevel="0" collapsed="false">
      <c r="A1283" s="0" t="n">
        <v>1262</v>
      </c>
      <c r="B1283" s="0" t="s">
        <v>86</v>
      </c>
      <c r="C1283" s="17" t="n">
        <v>-0.546434863587955</v>
      </c>
      <c r="D1283" s="17" t="n">
        <f aca="false">(C1283-$B$4)/($B$6/SQRT($B$7))</f>
        <v>-2.73217431793978</v>
      </c>
      <c r="E1283" s="0" t="str">
        <f aca="false">IF(OR(AND($B$9="superior",D1283&gt;$B$10),AND($B$9="inferior",D1283&lt;-$B$10)),"Rechazar H0","No rechazar H0")</f>
        <v>Rechazar H0</v>
      </c>
      <c r="F1283" s="0" t="str">
        <f aca="false">IF(AND(B1283="H0 verdadera",E1283="Rechazar H0"),"Error tipo I",IF(AND(B1283="Ha verdadera",E1283="No rechazar H0"),"Error tipo II","Decisión correcta"))</f>
        <v>Decisión correcta</v>
      </c>
    </row>
    <row r="1284" customFormat="false" ht="15" hidden="false" customHeight="false" outlineLevel="0" collapsed="false">
      <c r="A1284" s="0" t="n">
        <v>1263</v>
      </c>
      <c r="B1284" s="0" t="s">
        <v>85</v>
      </c>
      <c r="C1284" s="17" t="n">
        <v>-0.0433930957620716</v>
      </c>
      <c r="D1284" s="17" t="n">
        <f aca="false">(C1284-$B$4)/($B$6/SQRT($B$7))</f>
        <v>-0.216965478810358</v>
      </c>
      <c r="E1284" s="0" t="str">
        <f aca="false">IF(OR(AND($B$9="superior",D1284&gt;$B$10),AND($B$9="inferior",D1284&lt;-$B$10)),"Rechazar H0","No rechazar H0")</f>
        <v>No rechazar H0</v>
      </c>
      <c r="F1284" s="0" t="str">
        <f aca="false">IF(AND(B1284="H0 verdadera",E1284="Rechazar H0"),"Error tipo I",IF(AND(B1284="Ha verdadera",E1284="No rechazar H0"),"Error tipo II","Decisión correcta"))</f>
        <v>Decisión correcta</v>
      </c>
    </row>
    <row r="1285" customFormat="false" ht="15" hidden="false" customHeight="false" outlineLevel="0" collapsed="false">
      <c r="A1285" s="0" t="n">
        <v>1264</v>
      </c>
      <c r="B1285" s="0" t="s">
        <v>85</v>
      </c>
      <c r="C1285" s="17" t="n">
        <v>-0.154798848728161</v>
      </c>
      <c r="D1285" s="17" t="n">
        <f aca="false">(C1285-$B$4)/($B$6/SQRT($B$7))</f>
        <v>-0.773994243640802</v>
      </c>
      <c r="E1285" s="0" t="str">
        <f aca="false">IF(OR(AND($B$9="superior",D1285&gt;$B$10),AND($B$9="inferior",D1285&lt;-$B$10)),"Rechazar H0","No rechazar H0")</f>
        <v>No rechazar H0</v>
      </c>
      <c r="F1285" s="0" t="str">
        <f aca="false">IF(AND(B1285="H0 verdadera",E1285="Rechazar H0"),"Error tipo I",IF(AND(B1285="Ha verdadera",E1285="No rechazar H0"),"Error tipo II","Decisión correcta"))</f>
        <v>Decisión correcta</v>
      </c>
    </row>
    <row r="1286" customFormat="false" ht="15" hidden="false" customHeight="false" outlineLevel="0" collapsed="false">
      <c r="A1286" s="0" t="n">
        <v>1265</v>
      </c>
      <c r="B1286" s="0" t="s">
        <v>85</v>
      </c>
      <c r="C1286" s="17" t="n">
        <v>0.242197329664081</v>
      </c>
      <c r="D1286" s="17" t="n">
        <f aca="false">(C1286-$B$4)/($B$6/SQRT($B$7))</f>
        <v>1.21098664832041</v>
      </c>
      <c r="E1286" s="0" t="str">
        <f aca="false">IF(OR(AND($B$9="superior",D1286&gt;$B$10),AND($B$9="inferior",D1286&lt;-$B$10)),"Rechazar H0","No rechazar H0")</f>
        <v>No rechazar H0</v>
      </c>
      <c r="F1286" s="0" t="str">
        <f aca="false">IF(AND(B1286="H0 verdadera",E1286="Rechazar H0"),"Error tipo I",IF(AND(B1286="Ha verdadera",E1286="No rechazar H0"),"Error tipo II","Decisión correcta"))</f>
        <v>Decisión correcta</v>
      </c>
    </row>
    <row r="1287" customFormat="false" ht="15" hidden="false" customHeight="false" outlineLevel="0" collapsed="false">
      <c r="A1287" s="0" t="n">
        <v>1266</v>
      </c>
      <c r="B1287" s="0" t="s">
        <v>85</v>
      </c>
      <c r="C1287" s="17" t="n">
        <v>0.0236138466422772</v>
      </c>
      <c r="D1287" s="17" t="n">
        <f aca="false">(C1287-$B$4)/($B$6/SQRT($B$7))</f>
        <v>0.118069233211386</v>
      </c>
      <c r="E1287" s="0" t="str">
        <f aca="false">IF(OR(AND($B$9="superior",D1287&gt;$B$10),AND($B$9="inferior",D1287&lt;-$B$10)),"Rechazar H0","No rechazar H0")</f>
        <v>No rechazar H0</v>
      </c>
      <c r="F1287" s="0" t="str">
        <f aca="false">IF(AND(B1287="H0 verdadera",E1287="Rechazar H0"),"Error tipo I",IF(AND(B1287="Ha verdadera",E1287="No rechazar H0"),"Error tipo II","Decisión correcta"))</f>
        <v>Decisión correcta</v>
      </c>
    </row>
    <row r="1288" customFormat="false" ht="15" hidden="false" customHeight="false" outlineLevel="0" collapsed="false">
      <c r="A1288" s="0" t="n">
        <v>1267</v>
      </c>
      <c r="B1288" s="0" t="s">
        <v>86</v>
      </c>
      <c r="C1288" s="17" t="n">
        <v>-0.443075886945577</v>
      </c>
      <c r="D1288" s="17" t="n">
        <f aca="false">(C1288-$B$4)/($B$6/SQRT($B$7))</f>
        <v>-2.21537943472789</v>
      </c>
      <c r="E1288" s="0" t="str">
        <f aca="false">IF(OR(AND($B$9="superior",D1288&gt;$B$10),AND($B$9="inferior",D1288&lt;-$B$10)),"Rechazar H0","No rechazar H0")</f>
        <v>Rechazar H0</v>
      </c>
      <c r="F1288" s="0" t="str">
        <f aca="false">IF(AND(B1288="H0 verdadera",E1288="Rechazar H0"),"Error tipo I",IF(AND(B1288="Ha verdadera",E1288="No rechazar H0"),"Error tipo II","Decisión correcta"))</f>
        <v>Decisión correcta</v>
      </c>
    </row>
    <row r="1289" customFormat="false" ht="15" hidden="false" customHeight="false" outlineLevel="0" collapsed="false">
      <c r="A1289" s="0" t="n">
        <v>1268</v>
      </c>
      <c r="B1289" s="0" t="s">
        <v>85</v>
      </c>
      <c r="C1289" s="17" t="n">
        <v>0.166957349248908</v>
      </c>
      <c r="D1289" s="17" t="n">
        <f aca="false">(C1289-$B$4)/($B$6/SQRT($B$7))</f>
        <v>0.834786746244542</v>
      </c>
      <c r="E1289" s="0" t="str">
        <f aca="false">IF(OR(AND($B$9="superior",D1289&gt;$B$10),AND($B$9="inferior",D1289&lt;-$B$10)),"Rechazar H0","No rechazar H0")</f>
        <v>No rechazar H0</v>
      </c>
      <c r="F1289" s="0" t="str">
        <f aca="false">IF(AND(B1289="H0 verdadera",E1289="Rechazar H0"),"Error tipo I",IF(AND(B1289="Ha verdadera",E1289="No rechazar H0"),"Error tipo II","Decisión correcta"))</f>
        <v>Decisión correcta</v>
      </c>
    </row>
    <row r="1290" customFormat="false" ht="15" hidden="false" customHeight="false" outlineLevel="0" collapsed="false">
      <c r="A1290" s="0" t="n">
        <v>1269</v>
      </c>
      <c r="B1290" s="0" t="s">
        <v>86</v>
      </c>
      <c r="C1290" s="17" t="n">
        <v>-0.255723681271558</v>
      </c>
      <c r="D1290" s="17" t="n">
        <f aca="false">(C1290-$B$4)/($B$6/SQRT($B$7))</f>
        <v>-1.27861840635779</v>
      </c>
      <c r="E1290" s="0" t="str">
        <f aca="false">IF(OR(AND($B$9="superior",D1290&gt;$B$10),AND($B$9="inferior",D1290&lt;-$B$10)),"Rechazar H0","No rechazar H0")</f>
        <v>No rechazar H0</v>
      </c>
      <c r="F1290" s="0" t="str">
        <f aca="false">IF(AND(B1290="H0 verdadera",E1290="Rechazar H0"),"Error tipo I",IF(AND(B1290="Ha verdadera",E1290="No rechazar H0"),"Error tipo II","Decisión correcta"))</f>
        <v>Error tipo II</v>
      </c>
    </row>
    <row r="1291" customFormat="false" ht="15" hidden="false" customHeight="false" outlineLevel="0" collapsed="false">
      <c r="A1291" s="0" t="n">
        <v>1270</v>
      </c>
      <c r="B1291" s="0" t="s">
        <v>85</v>
      </c>
      <c r="C1291" s="17" t="n">
        <v>0.264761965407463</v>
      </c>
      <c r="D1291" s="17" t="n">
        <f aca="false">(C1291-$B$4)/($B$6/SQRT($B$7))</f>
        <v>1.32380982703731</v>
      </c>
      <c r="E1291" s="0" t="str">
        <f aca="false">IF(OR(AND($B$9="superior",D1291&gt;$B$10),AND($B$9="inferior",D1291&lt;-$B$10)),"Rechazar H0","No rechazar H0")</f>
        <v>No rechazar H0</v>
      </c>
      <c r="F1291" s="0" t="str">
        <f aca="false">IF(AND(B1291="H0 verdadera",E1291="Rechazar H0"),"Error tipo I",IF(AND(B1291="Ha verdadera",E1291="No rechazar H0"),"Error tipo II","Decisión correcta"))</f>
        <v>Decisión correcta</v>
      </c>
    </row>
    <row r="1292" customFormat="false" ht="15" hidden="false" customHeight="false" outlineLevel="0" collapsed="false">
      <c r="A1292" s="0" t="n">
        <v>1271</v>
      </c>
      <c r="B1292" s="0" t="s">
        <v>86</v>
      </c>
      <c r="C1292" s="17" t="n">
        <v>-0.45655416515245</v>
      </c>
      <c r="D1292" s="17" t="n">
        <f aca="false">(C1292-$B$4)/($B$6/SQRT($B$7))</f>
        <v>-2.28277082576225</v>
      </c>
      <c r="E1292" s="0" t="str">
        <f aca="false">IF(OR(AND($B$9="superior",D1292&gt;$B$10),AND($B$9="inferior",D1292&lt;-$B$10)),"Rechazar H0","No rechazar H0")</f>
        <v>Rechazar H0</v>
      </c>
      <c r="F1292" s="0" t="str">
        <f aca="false">IF(AND(B1292="H0 verdadera",E1292="Rechazar H0"),"Error tipo I",IF(AND(B1292="Ha verdadera",E1292="No rechazar H0"),"Error tipo II","Decisión correcta"))</f>
        <v>Decisión correcta</v>
      </c>
    </row>
    <row r="1293" customFormat="false" ht="15" hidden="false" customHeight="false" outlineLevel="0" collapsed="false">
      <c r="A1293" s="0" t="n">
        <v>1272</v>
      </c>
      <c r="B1293" s="0" t="s">
        <v>85</v>
      </c>
      <c r="C1293" s="17" t="n">
        <v>0.13695576520312</v>
      </c>
      <c r="D1293" s="17" t="n">
        <f aca="false">(C1293-$B$4)/($B$6/SQRT($B$7))</f>
        <v>0.684778826015601</v>
      </c>
      <c r="E1293" s="0" t="str">
        <f aca="false">IF(OR(AND($B$9="superior",D1293&gt;$B$10),AND($B$9="inferior",D1293&lt;-$B$10)),"Rechazar H0","No rechazar H0")</f>
        <v>No rechazar H0</v>
      </c>
      <c r="F1293" s="0" t="str">
        <f aca="false">IF(AND(B1293="H0 verdadera",E1293="Rechazar H0"),"Error tipo I",IF(AND(B1293="Ha verdadera",E1293="No rechazar H0"),"Error tipo II","Decisión correcta"))</f>
        <v>Decisión correcta</v>
      </c>
    </row>
    <row r="1294" customFormat="false" ht="15" hidden="false" customHeight="false" outlineLevel="0" collapsed="false">
      <c r="A1294" s="0" t="n">
        <v>1273</v>
      </c>
      <c r="B1294" s="0" t="s">
        <v>85</v>
      </c>
      <c r="C1294" s="17" t="n">
        <v>-0.258170441763884</v>
      </c>
      <c r="D1294" s="17" t="n">
        <f aca="false">(C1294-$B$4)/($B$6/SQRT($B$7))</f>
        <v>-1.29085220881942</v>
      </c>
      <c r="E1294" s="0" t="str">
        <f aca="false">IF(OR(AND($B$9="superior",D1294&gt;$B$10),AND($B$9="inferior",D1294&lt;-$B$10)),"Rechazar H0","No rechazar H0")</f>
        <v>No rechazar H0</v>
      </c>
      <c r="F1294" s="0" t="str">
        <f aca="false">IF(AND(B1294="H0 verdadera",E1294="Rechazar H0"),"Error tipo I",IF(AND(B1294="Ha verdadera",E1294="No rechazar H0"),"Error tipo II","Decisión correcta"))</f>
        <v>Decisión correcta</v>
      </c>
    </row>
    <row r="1295" customFormat="false" ht="15" hidden="false" customHeight="false" outlineLevel="0" collapsed="false">
      <c r="A1295" s="0" t="n">
        <v>1274</v>
      </c>
      <c r="B1295" s="0" t="s">
        <v>85</v>
      </c>
      <c r="C1295" s="17" t="n">
        <v>-0.258611826080051</v>
      </c>
      <c r="D1295" s="17" t="n">
        <f aca="false">(C1295-$B$4)/($B$6/SQRT($B$7))</f>
        <v>-1.29305913040026</v>
      </c>
      <c r="E1295" s="0" t="str">
        <f aca="false">IF(OR(AND($B$9="superior",D1295&gt;$B$10),AND($B$9="inferior",D1295&lt;-$B$10)),"Rechazar H0","No rechazar H0")</f>
        <v>No rechazar H0</v>
      </c>
      <c r="F1295" s="0" t="str">
        <f aca="false">IF(AND(B1295="H0 verdadera",E1295="Rechazar H0"),"Error tipo I",IF(AND(B1295="Ha verdadera",E1295="No rechazar H0"),"Error tipo II","Decisión correcta"))</f>
        <v>Decisión correcta</v>
      </c>
    </row>
    <row r="1296" customFormat="false" ht="15" hidden="false" customHeight="false" outlineLevel="0" collapsed="false">
      <c r="A1296" s="0" t="n">
        <v>1275</v>
      </c>
      <c r="B1296" s="0" t="s">
        <v>86</v>
      </c>
      <c r="C1296" s="17" t="n">
        <v>-0.183387289003414</v>
      </c>
      <c r="D1296" s="17" t="n">
        <f aca="false">(C1296-$B$4)/($B$6/SQRT($B$7))</f>
        <v>-0.916936445017068</v>
      </c>
      <c r="E1296" s="0" t="str">
        <f aca="false">IF(OR(AND($B$9="superior",D1296&gt;$B$10),AND($B$9="inferior",D1296&lt;-$B$10)),"Rechazar H0","No rechazar H0")</f>
        <v>No rechazar H0</v>
      </c>
      <c r="F1296" s="0" t="str">
        <f aca="false">IF(AND(B1296="H0 verdadera",E1296="Rechazar H0"),"Error tipo I",IF(AND(B1296="Ha verdadera",E1296="No rechazar H0"),"Error tipo II","Decisión correcta"))</f>
        <v>Error tipo II</v>
      </c>
    </row>
    <row r="1297" customFormat="false" ht="15" hidden="false" customHeight="false" outlineLevel="0" collapsed="false">
      <c r="A1297" s="0" t="n">
        <v>1276</v>
      </c>
      <c r="B1297" s="0" t="s">
        <v>86</v>
      </c>
      <c r="C1297" s="17" t="n">
        <v>-0.462896363264941</v>
      </c>
      <c r="D1297" s="17" t="n">
        <f aca="false">(C1297-$B$4)/($B$6/SQRT($B$7))</f>
        <v>-2.3144818163247</v>
      </c>
      <c r="E1297" s="0" t="str">
        <f aca="false">IF(OR(AND($B$9="superior",D1297&gt;$B$10),AND($B$9="inferior",D1297&lt;-$B$10)),"Rechazar H0","No rechazar H0")</f>
        <v>Rechazar H0</v>
      </c>
      <c r="F1297" s="0" t="str">
        <f aca="false">IF(AND(B1297="H0 verdadera",E1297="Rechazar H0"),"Error tipo I",IF(AND(B1297="Ha verdadera",E1297="No rechazar H0"),"Error tipo II","Decisión correcta"))</f>
        <v>Decisión correcta</v>
      </c>
    </row>
    <row r="1298" customFormat="false" ht="15" hidden="false" customHeight="false" outlineLevel="0" collapsed="false">
      <c r="A1298" s="0" t="n">
        <v>1277</v>
      </c>
      <c r="B1298" s="0" t="s">
        <v>85</v>
      </c>
      <c r="C1298" s="17" t="n">
        <v>0.0312953856085684</v>
      </c>
      <c r="D1298" s="17" t="n">
        <f aca="false">(C1298-$B$4)/($B$6/SQRT($B$7))</f>
        <v>0.156476928042842</v>
      </c>
      <c r="E1298" s="0" t="str">
        <f aca="false">IF(OR(AND($B$9="superior",D1298&gt;$B$10),AND($B$9="inferior",D1298&lt;-$B$10)),"Rechazar H0","No rechazar H0")</f>
        <v>No rechazar H0</v>
      </c>
      <c r="F1298" s="0" t="str">
        <f aca="false">IF(AND(B1298="H0 verdadera",E1298="Rechazar H0"),"Error tipo I",IF(AND(B1298="Ha verdadera",E1298="No rechazar H0"),"Error tipo II","Decisión correcta"))</f>
        <v>Decisión correcta</v>
      </c>
    </row>
    <row r="1299" customFormat="false" ht="15" hidden="false" customHeight="false" outlineLevel="0" collapsed="false">
      <c r="A1299" s="0" t="n">
        <v>1278</v>
      </c>
      <c r="B1299" s="0" t="s">
        <v>85</v>
      </c>
      <c r="C1299" s="17" t="n">
        <v>-0.247550407618738</v>
      </c>
      <c r="D1299" s="17" t="n">
        <f aca="false">(C1299-$B$4)/($B$6/SQRT($B$7))</f>
        <v>-1.23775203809369</v>
      </c>
      <c r="E1299" s="0" t="str">
        <f aca="false">IF(OR(AND($B$9="superior",D1299&gt;$B$10),AND($B$9="inferior",D1299&lt;-$B$10)),"Rechazar H0","No rechazar H0")</f>
        <v>No rechazar H0</v>
      </c>
      <c r="F1299" s="0" t="str">
        <f aca="false">IF(AND(B1299="H0 verdadera",E1299="Rechazar H0"),"Error tipo I",IF(AND(B1299="Ha verdadera",E1299="No rechazar H0"),"Error tipo II","Decisión correcta"))</f>
        <v>Decisión correcta</v>
      </c>
    </row>
    <row r="1300" customFormat="false" ht="15" hidden="false" customHeight="false" outlineLevel="0" collapsed="false">
      <c r="A1300" s="0" t="n">
        <v>1279</v>
      </c>
      <c r="B1300" s="0" t="s">
        <v>85</v>
      </c>
      <c r="C1300" s="17" t="n">
        <v>-0.244450974146246</v>
      </c>
      <c r="D1300" s="17" t="n">
        <f aca="false">(C1300-$B$4)/($B$6/SQRT($B$7))</f>
        <v>-1.22225487073123</v>
      </c>
      <c r="E1300" s="0" t="str">
        <f aca="false">IF(OR(AND($B$9="superior",D1300&gt;$B$10),AND($B$9="inferior",D1300&lt;-$B$10)),"Rechazar H0","No rechazar H0")</f>
        <v>No rechazar H0</v>
      </c>
      <c r="F1300" s="0" t="str">
        <f aca="false">IF(AND(B1300="H0 verdadera",E1300="Rechazar H0"),"Error tipo I",IF(AND(B1300="Ha verdadera",E1300="No rechazar H0"),"Error tipo II","Decisión correcta"))</f>
        <v>Decisión correcta</v>
      </c>
    </row>
    <row r="1301" customFormat="false" ht="15" hidden="false" customHeight="false" outlineLevel="0" collapsed="false">
      <c r="A1301" s="0" t="n">
        <v>1280</v>
      </c>
      <c r="B1301" s="0" t="s">
        <v>86</v>
      </c>
      <c r="C1301" s="17" t="n">
        <v>-0.0256247521642874</v>
      </c>
      <c r="D1301" s="17" t="n">
        <f aca="false">(C1301-$B$4)/($B$6/SQRT($B$7))</f>
        <v>-0.128123760821437</v>
      </c>
      <c r="E1301" s="0" t="str">
        <f aca="false">IF(OR(AND($B$9="superior",D1301&gt;$B$10),AND($B$9="inferior",D1301&lt;-$B$10)),"Rechazar H0","No rechazar H0")</f>
        <v>No rechazar H0</v>
      </c>
      <c r="F1301" s="0" t="str">
        <f aca="false">IF(AND(B1301="H0 verdadera",E1301="Rechazar H0"),"Error tipo I",IF(AND(B1301="Ha verdadera",E1301="No rechazar H0"),"Error tipo II","Decisión correcta"))</f>
        <v>Error tipo II</v>
      </c>
    </row>
    <row r="1302" customFormat="false" ht="15" hidden="false" customHeight="false" outlineLevel="0" collapsed="false">
      <c r="A1302" s="0" t="n">
        <v>1281</v>
      </c>
      <c r="B1302" s="0" t="s">
        <v>86</v>
      </c>
      <c r="C1302" s="17" t="n">
        <v>-0.474655943183886</v>
      </c>
      <c r="D1302" s="17" t="n">
        <f aca="false">(C1302-$B$4)/($B$6/SQRT($B$7))</f>
        <v>-2.37327971591943</v>
      </c>
      <c r="E1302" s="0" t="str">
        <f aca="false">IF(OR(AND($B$9="superior",D1302&gt;$B$10),AND($B$9="inferior",D1302&lt;-$B$10)),"Rechazar H0","No rechazar H0")</f>
        <v>Rechazar H0</v>
      </c>
      <c r="F1302" s="0" t="str">
        <f aca="false">IF(AND(B1302="H0 verdadera",E1302="Rechazar H0"),"Error tipo I",IF(AND(B1302="Ha verdadera",E1302="No rechazar H0"),"Error tipo II","Decisión correcta"))</f>
        <v>Decisión correcta</v>
      </c>
    </row>
    <row r="1303" customFormat="false" ht="15" hidden="false" customHeight="false" outlineLevel="0" collapsed="false">
      <c r="A1303" s="0" t="n">
        <v>1282</v>
      </c>
      <c r="B1303" s="0" t="s">
        <v>86</v>
      </c>
      <c r="C1303" s="17" t="n">
        <v>-0.510965530080376</v>
      </c>
      <c r="D1303" s="17" t="n">
        <f aca="false">(C1303-$B$4)/($B$6/SQRT($B$7))</f>
        <v>-2.55482765040188</v>
      </c>
      <c r="E1303" s="0" t="str">
        <f aca="false">IF(OR(AND($B$9="superior",D1303&gt;$B$10),AND($B$9="inferior",D1303&lt;-$B$10)),"Rechazar H0","No rechazar H0")</f>
        <v>Rechazar H0</v>
      </c>
      <c r="F1303" s="0" t="str">
        <f aca="false">IF(AND(B1303="H0 verdadera",E1303="Rechazar H0"),"Error tipo I",IF(AND(B1303="Ha verdadera",E1303="No rechazar H0"),"Error tipo II","Decisión correcta"))</f>
        <v>Decisión correcta</v>
      </c>
    </row>
    <row r="1304" customFormat="false" ht="15" hidden="false" customHeight="false" outlineLevel="0" collapsed="false">
      <c r="A1304" s="0" t="n">
        <v>1283</v>
      </c>
      <c r="B1304" s="0" t="s">
        <v>86</v>
      </c>
      <c r="C1304" s="17" t="n">
        <v>-0.46509635621111</v>
      </c>
      <c r="D1304" s="17" t="n">
        <f aca="false">(C1304-$B$4)/($B$6/SQRT($B$7))</f>
        <v>-2.32548178105555</v>
      </c>
      <c r="E1304" s="0" t="str">
        <f aca="false">IF(OR(AND($B$9="superior",D1304&gt;$B$10),AND($B$9="inferior",D1304&lt;-$B$10)),"Rechazar H0","No rechazar H0")</f>
        <v>Rechazar H0</v>
      </c>
      <c r="F1304" s="0" t="str">
        <f aca="false">IF(AND(B1304="H0 verdadera",E1304="Rechazar H0"),"Error tipo I",IF(AND(B1304="Ha verdadera",E1304="No rechazar H0"),"Error tipo II","Decisión correcta"))</f>
        <v>Decisión correcta</v>
      </c>
    </row>
    <row r="1305" customFormat="false" ht="15" hidden="false" customHeight="false" outlineLevel="0" collapsed="false">
      <c r="A1305" s="0" t="n">
        <v>1284</v>
      </c>
      <c r="B1305" s="0" t="s">
        <v>85</v>
      </c>
      <c r="C1305" s="17" t="n">
        <v>-0.472514387315429</v>
      </c>
      <c r="D1305" s="17" t="n">
        <f aca="false">(C1305-$B$4)/($B$6/SQRT($B$7))</f>
        <v>-2.36257193657714</v>
      </c>
      <c r="E1305" s="0" t="str">
        <f aca="false">IF(OR(AND($B$9="superior",D1305&gt;$B$10),AND($B$9="inferior",D1305&lt;-$B$10)),"Rechazar H0","No rechazar H0")</f>
        <v>Rechazar H0</v>
      </c>
      <c r="F1305" s="0" t="str">
        <f aca="false">IF(AND(B1305="H0 verdadera",E1305="Rechazar H0"),"Error tipo I",IF(AND(B1305="Ha verdadera",E1305="No rechazar H0"),"Error tipo II","Decisión correcta"))</f>
        <v>Error tipo I</v>
      </c>
    </row>
    <row r="1306" customFormat="false" ht="15" hidden="false" customHeight="false" outlineLevel="0" collapsed="false">
      <c r="A1306" s="0" t="n">
        <v>1285</v>
      </c>
      <c r="B1306" s="0" t="s">
        <v>86</v>
      </c>
      <c r="C1306" s="17" t="n">
        <v>-0.859965229833864</v>
      </c>
      <c r="D1306" s="17" t="n">
        <f aca="false">(C1306-$B$4)/($B$6/SQRT($B$7))</f>
        <v>-4.29982614916932</v>
      </c>
      <c r="E1306" s="0" t="str">
        <f aca="false">IF(OR(AND($B$9="superior",D1306&gt;$B$10),AND($B$9="inferior",D1306&lt;-$B$10)),"Rechazar H0","No rechazar H0")</f>
        <v>Rechazar H0</v>
      </c>
      <c r="F1306" s="0" t="str">
        <f aca="false">IF(AND(B1306="H0 verdadera",E1306="Rechazar H0"),"Error tipo I",IF(AND(B1306="Ha verdadera",E1306="No rechazar H0"),"Error tipo II","Decisión correcta"))</f>
        <v>Decisión correcta</v>
      </c>
    </row>
    <row r="1307" customFormat="false" ht="15" hidden="false" customHeight="false" outlineLevel="0" collapsed="false">
      <c r="A1307" s="0" t="n">
        <v>1286</v>
      </c>
      <c r="B1307" s="0" t="s">
        <v>85</v>
      </c>
      <c r="C1307" s="17" t="n">
        <v>-0.394568176773406</v>
      </c>
      <c r="D1307" s="17" t="n">
        <f aca="false">(C1307-$B$4)/($B$6/SQRT($B$7))</f>
        <v>-1.97284088386703</v>
      </c>
      <c r="E1307" s="0" t="str">
        <f aca="false">IF(OR(AND($B$9="superior",D1307&gt;$B$10),AND($B$9="inferior",D1307&lt;-$B$10)),"Rechazar H0","No rechazar H0")</f>
        <v>Rechazar H0</v>
      </c>
      <c r="F1307" s="0" t="str">
        <f aca="false">IF(AND(B1307="H0 verdadera",E1307="Rechazar H0"),"Error tipo I",IF(AND(B1307="Ha verdadera",E1307="No rechazar H0"),"Error tipo II","Decisión correcta"))</f>
        <v>Error tipo I</v>
      </c>
    </row>
    <row r="1308" customFormat="false" ht="15" hidden="false" customHeight="false" outlineLevel="0" collapsed="false">
      <c r="A1308" s="0" t="n">
        <v>1287</v>
      </c>
      <c r="B1308" s="0" t="s">
        <v>86</v>
      </c>
      <c r="C1308" s="17" t="n">
        <v>-0.475220910860288</v>
      </c>
      <c r="D1308" s="17" t="n">
        <f aca="false">(C1308-$B$4)/($B$6/SQRT($B$7))</f>
        <v>-2.37610455430144</v>
      </c>
      <c r="E1308" s="0" t="str">
        <f aca="false">IF(OR(AND($B$9="superior",D1308&gt;$B$10),AND($B$9="inferior",D1308&lt;-$B$10)),"Rechazar H0","No rechazar H0")</f>
        <v>Rechazar H0</v>
      </c>
      <c r="F1308" s="0" t="str">
        <f aca="false">IF(AND(B1308="H0 verdadera",E1308="Rechazar H0"),"Error tipo I",IF(AND(B1308="Ha verdadera",E1308="No rechazar H0"),"Error tipo II","Decisión correcta"))</f>
        <v>Decisión correcta</v>
      </c>
    </row>
    <row r="1309" customFormat="false" ht="15" hidden="false" customHeight="false" outlineLevel="0" collapsed="false">
      <c r="A1309" s="0" t="n">
        <v>1288</v>
      </c>
      <c r="B1309" s="0" t="s">
        <v>85</v>
      </c>
      <c r="C1309" s="17" t="n">
        <v>-0.508712005731358</v>
      </c>
      <c r="D1309" s="17" t="n">
        <f aca="false">(C1309-$B$4)/($B$6/SQRT($B$7))</f>
        <v>-2.54356002865679</v>
      </c>
      <c r="E1309" s="0" t="str">
        <f aca="false">IF(OR(AND($B$9="superior",D1309&gt;$B$10),AND($B$9="inferior",D1309&lt;-$B$10)),"Rechazar H0","No rechazar H0")</f>
        <v>Rechazar H0</v>
      </c>
      <c r="F1309" s="0" t="str">
        <f aca="false">IF(AND(B1309="H0 verdadera",E1309="Rechazar H0"),"Error tipo I",IF(AND(B1309="Ha verdadera",E1309="No rechazar H0"),"Error tipo II","Decisión correcta"))</f>
        <v>Error tipo I</v>
      </c>
    </row>
    <row r="1310" customFormat="false" ht="15" hidden="false" customHeight="false" outlineLevel="0" collapsed="false">
      <c r="A1310" s="0" t="n">
        <v>1289</v>
      </c>
      <c r="B1310" s="0" t="s">
        <v>86</v>
      </c>
      <c r="C1310" s="17" t="n">
        <v>-0.113469677236558</v>
      </c>
      <c r="D1310" s="17" t="n">
        <f aca="false">(C1310-$B$4)/($B$6/SQRT($B$7))</f>
        <v>-0.567348386182792</v>
      </c>
      <c r="E1310" s="0" t="str">
        <f aca="false">IF(OR(AND($B$9="superior",D1310&gt;$B$10),AND($B$9="inferior",D1310&lt;-$B$10)),"Rechazar H0","No rechazar H0")</f>
        <v>No rechazar H0</v>
      </c>
      <c r="F1310" s="0" t="str">
        <f aca="false">IF(AND(B1310="H0 verdadera",E1310="Rechazar H0"),"Error tipo I",IF(AND(B1310="Ha verdadera",E1310="No rechazar H0"),"Error tipo II","Decisión correcta"))</f>
        <v>Error tipo II</v>
      </c>
    </row>
    <row r="1311" customFormat="false" ht="15" hidden="false" customHeight="false" outlineLevel="0" collapsed="false">
      <c r="A1311" s="0" t="n">
        <v>1290</v>
      </c>
      <c r="B1311" s="0" t="s">
        <v>85</v>
      </c>
      <c r="C1311" s="17" t="n">
        <v>-0.313998551334235</v>
      </c>
      <c r="D1311" s="17" t="n">
        <f aca="false">(C1311-$B$4)/($B$6/SQRT($B$7))</f>
        <v>-1.56999275667118</v>
      </c>
      <c r="E1311" s="0" t="str">
        <f aca="false">IF(OR(AND($B$9="superior",D1311&gt;$B$10),AND($B$9="inferior",D1311&lt;-$B$10)),"Rechazar H0","No rechazar H0")</f>
        <v>No rechazar H0</v>
      </c>
      <c r="F1311" s="0" t="str">
        <f aca="false">IF(AND(B1311="H0 verdadera",E1311="Rechazar H0"),"Error tipo I",IF(AND(B1311="Ha verdadera",E1311="No rechazar H0"),"Error tipo II","Decisión correcta"))</f>
        <v>Decisión correcta</v>
      </c>
    </row>
    <row r="1312" customFormat="false" ht="15" hidden="false" customHeight="false" outlineLevel="0" collapsed="false">
      <c r="A1312" s="0" t="n">
        <v>1291</v>
      </c>
      <c r="B1312" s="0" t="s">
        <v>85</v>
      </c>
      <c r="C1312" s="17" t="n">
        <v>-0.110381286170805</v>
      </c>
      <c r="D1312" s="17" t="n">
        <f aca="false">(C1312-$B$4)/($B$6/SQRT($B$7))</f>
        <v>-0.551906430854027</v>
      </c>
      <c r="E1312" s="0" t="str">
        <f aca="false">IF(OR(AND($B$9="superior",D1312&gt;$B$10),AND($B$9="inferior",D1312&lt;-$B$10)),"Rechazar H0","No rechazar H0")</f>
        <v>No rechazar H0</v>
      </c>
      <c r="F1312" s="0" t="str">
        <f aca="false">IF(AND(B1312="H0 verdadera",E1312="Rechazar H0"),"Error tipo I",IF(AND(B1312="Ha verdadera",E1312="No rechazar H0"),"Error tipo II","Decisión correcta"))</f>
        <v>Decisión correcta</v>
      </c>
    </row>
    <row r="1313" customFormat="false" ht="15" hidden="false" customHeight="false" outlineLevel="0" collapsed="false">
      <c r="A1313" s="0" t="n">
        <v>1292</v>
      </c>
      <c r="B1313" s="0" t="s">
        <v>85</v>
      </c>
      <c r="C1313" s="17" t="n">
        <v>-0.163523780096092</v>
      </c>
      <c r="D1313" s="17" t="n">
        <f aca="false">(C1313-$B$4)/($B$6/SQRT($B$7))</f>
        <v>-0.817618900480459</v>
      </c>
      <c r="E1313" s="0" t="str">
        <f aca="false">IF(OR(AND($B$9="superior",D1313&gt;$B$10),AND($B$9="inferior",D1313&lt;-$B$10)),"Rechazar H0","No rechazar H0")</f>
        <v>No rechazar H0</v>
      </c>
      <c r="F1313" s="0" t="str">
        <f aca="false">IF(AND(B1313="H0 verdadera",E1313="Rechazar H0"),"Error tipo I",IF(AND(B1313="Ha verdadera",E1313="No rechazar H0"),"Error tipo II","Decisión correcta"))</f>
        <v>Decisión correcta</v>
      </c>
    </row>
    <row r="1314" customFormat="false" ht="15" hidden="false" customHeight="false" outlineLevel="0" collapsed="false">
      <c r="A1314" s="0" t="n">
        <v>1293</v>
      </c>
      <c r="B1314" s="0" t="s">
        <v>85</v>
      </c>
      <c r="C1314" s="17" t="n">
        <v>-0.0504508081488067</v>
      </c>
      <c r="D1314" s="17" t="n">
        <f aca="false">(C1314-$B$4)/($B$6/SQRT($B$7))</f>
        <v>-0.252254040744034</v>
      </c>
      <c r="E1314" s="0" t="str">
        <f aca="false">IF(OR(AND($B$9="superior",D1314&gt;$B$10),AND($B$9="inferior",D1314&lt;-$B$10)),"Rechazar H0","No rechazar H0")</f>
        <v>No rechazar H0</v>
      </c>
      <c r="F1314" s="0" t="str">
        <f aca="false">IF(AND(B1314="H0 verdadera",E1314="Rechazar H0"),"Error tipo I",IF(AND(B1314="Ha verdadera",E1314="No rechazar H0"),"Error tipo II","Decisión correcta"))</f>
        <v>Decisión correcta</v>
      </c>
    </row>
    <row r="1315" customFormat="false" ht="15" hidden="false" customHeight="false" outlineLevel="0" collapsed="false">
      <c r="A1315" s="0" t="n">
        <v>1294</v>
      </c>
      <c r="B1315" s="0" t="s">
        <v>85</v>
      </c>
      <c r="C1315" s="17" t="n">
        <v>0.174600465022413</v>
      </c>
      <c r="D1315" s="17" t="n">
        <f aca="false">(C1315-$B$4)/($B$6/SQRT($B$7))</f>
        <v>0.873002325112064</v>
      </c>
      <c r="E1315" s="0" t="str">
        <f aca="false">IF(OR(AND($B$9="superior",D1315&gt;$B$10),AND($B$9="inferior",D1315&lt;-$B$10)),"Rechazar H0","No rechazar H0")</f>
        <v>No rechazar H0</v>
      </c>
      <c r="F1315" s="0" t="str">
        <f aca="false">IF(AND(B1315="H0 verdadera",E1315="Rechazar H0"),"Error tipo I",IF(AND(B1315="Ha verdadera",E1315="No rechazar H0"),"Error tipo II","Decisión correcta"))</f>
        <v>Decisión correcta</v>
      </c>
    </row>
    <row r="1316" customFormat="false" ht="15" hidden="false" customHeight="false" outlineLevel="0" collapsed="false">
      <c r="A1316" s="0" t="n">
        <v>1295</v>
      </c>
      <c r="B1316" s="0" t="s">
        <v>86</v>
      </c>
      <c r="C1316" s="17" t="n">
        <v>-0.187888557956743</v>
      </c>
      <c r="D1316" s="17" t="n">
        <f aca="false">(C1316-$B$4)/($B$6/SQRT($B$7))</f>
        <v>-0.939442789783716</v>
      </c>
      <c r="E1316" s="0" t="str">
        <f aca="false">IF(OR(AND($B$9="superior",D1316&gt;$B$10),AND($B$9="inferior",D1316&lt;-$B$10)),"Rechazar H0","No rechazar H0")</f>
        <v>No rechazar H0</v>
      </c>
      <c r="F1316" s="0" t="str">
        <f aca="false">IF(AND(B1316="H0 verdadera",E1316="Rechazar H0"),"Error tipo I",IF(AND(B1316="Ha verdadera",E1316="No rechazar H0"),"Error tipo II","Decisión correcta"))</f>
        <v>Error tipo II</v>
      </c>
    </row>
    <row r="1317" customFormat="false" ht="15" hidden="false" customHeight="false" outlineLevel="0" collapsed="false">
      <c r="A1317" s="0" t="n">
        <v>1296</v>
      </c>
      <c r="B1317" s="0" t="s">
        <v>86</v>
      </c>
      <c r="C1317" s="17" t="n">
        <v>-0.392335570289962</v>
      </c>
      <c r="D1317" s="17" t="n">
        <f aca="false">(C1317-$B$4)/($B$6/SQRT($B$7))</f>
        <v>-1.96167785144981</v>
      </c>
      <c r="E1317" s="0" t="str">
        <f aca="false">IF(OR(AND($B$9="superior",D1317&gt;$B$10),AND($B$9="inferior",D1317&lt;-$B$10)),"Rechazar H0","No rechazar H0")</f>
        <v>Rechazar H0</v>
      </c>
      <c r="F1317" s="0" t="str">
        <f aca="false">IF(AND(B1317="H0 verdadera",E1317="Rechazar H0"),"Error tipo I",IF(AND(B1317="Ha verdadera",E1317="No rechazar H0"),"Error tipo II","Decisión correcta"))</f>
        <v>Decisión correcta</v>
      </c>
    </row>
    <row r="1318" customFormat="false" ht="15" hidden="false" customHeight="false" outlineLevel="0" collapsed="false">
      <c r="A1318" s="0" t="n">
        <v>1297</v>
      </c>
      <c r="B1318" s="0" t="s">
        <v>85</v>
      </c>
      <c r="C1318" s="17" t="n">
        <v>-0.0625558489990329</v>
      </c>
      <c r="D1318" s="17" t="n">
        <f aca="false">(C1318-$B$4)/($B$6/SQRT($B$7))</f>
        <v>-0.312779244995164</v>
      </c>
      <c r="E1318" s="0" t="str">
        <f aca="false">IF(OR(AND($B$9="superior",D1318&gt;$B$10),AND($B$9="inferior",D1318&lt;-$B$10)),"Rechazar H0","No rechazar H0")</f>
        <v>No rechazar H0</v>
      </c>
      <c r="F1318" s="0" t="str">
        <f aca="false">IF(AND(B1318="H0 verdadera",E1318="Rechazar H0"),"Error tipo I",IF(AND(B1318="Ha verdadera",E1318="No rechazar H0"),"Error tipo II","Decisión correcta"))</f>
        <v>Decisión correcta</v>
      </c>
    </row>
    <row r="1319" customFormat="false" ht="15" hidden="false" customHeight="false" outlineLevel="0" collapsed="false">
      <c r="A1319" s="0" t="n">
        <v>1298</v>
      </c>
      <c r="B1319" s="0" t="s">
        <v>86</v>
      </c>
      <c r="C1319" s="17" t="n">
        <v>-0.658214169945065</v>
      </c>
      <c r="D1319" s="17" t="n">
        <f aca="false">(C1319-$B$4)/($B$6/SQRT($B$7))</f>
        <v>-3.29107084972532</v>
      </c>
      <c r="E1319" s="0" t="str">
        <f aca="false">IF(OR(AND($B$9="superior",D1319&gt;$B$10),AND($B$9="inferior",D1319&lt;-$B$10)),"Rechazar H0","No rechazar H0")</f>
        <v>Rechazar H0</v>
      </c>
      <c r="F1319" s="0" t="str">
        <f aca="false">IF(AND(B1319="H0 verdadera",E1319="Rechazar H0"),"Error tipo I",IF(AND(B1319="Ha verdadera",E1319="No rechazar H0"),"Error tipo II","Decisión correcta"))</f>
        <v>Decisión correcta</v>
      </c>
    </row>
    <row r="1320" customFormat="false" ht="15" hidden="false" customHeight="false" outlineLevel="0" collapsed="false">
      <c r="A1320" s="0" t="n">
        <v>1299</v>
      </c>
      <c r="B1320" s="0" t="s">
        <v>86</v>
      </c>
      <c r="C1320" s="17" t="n">
        <v>-0.219580902974614</v>
      </c>
      <c r="D1320" s="17" t="n">
        <f aca="false">(C1320-$B$4)/($B$6/SQRT($B$7))</f>
        <v>-1.09790451487307</v>
      </c>
      <c r="E1320" s="0" t="str">
        <f aca="false">IF(OR(AND($B$9="superior",D1320&gt;$B$10),AND($B$9="inferior",D1320&lt;-$B$10)),"Rechazar H0","No rechazar H0")</f>
        <v>No rechazar H0</v>
      </c>
      <c r="F1320" s="0" t="str">
        <f aca="false">IF(AND(B1320="H0 verdadera",E1320="Rechazar H0"),"Error tipo I",IF(AND(B1320="Ha verdadera",E1320="No rechazar H0"),"Error tipo II","Decisión correcta"))</f>
        <v>Error tipo II</v>
      </c>
    </row>
    <row r="1321" customFormat="false" ht="15" hidden="false" customHeight="false" outlineLevel="0" collapsed="false">
      <c r="A1321" s="0" t="n">
        <v>1300</v>
      </c>
      <c r="B1321" s="0" t="s">
        <v>86</v>
      </c>
      <c r="C1321" s="17" t="n">
        <v>-0.297003149224825</v>
      </c>
      <c r="D1321" s="17" t="n">
        <f aca="false">(C1321-$B$4)/($B$6/SQRT($B$7))</f>
        <v>-1.48501574612413</v>
      </c>
      <c r="E1321" s="0" t="str">
        <f aca="false">IF(OR(AND($B$9="superior",D1321&gt;$B$10),AND($B$9="inferior",D1321&lt;-$B$10)),"Rechazar H0","No rechazar H0")</f>
        <v>No rechazar H0</v>
      </c>
      <c r="F1321" s="0" t="str">
        <f aca="false">IF(AND(B1321="H0 verdadera",E1321="Rechazar H0"),"Error tipo I",IF(AND(B1321="Ha verdadera",E1321="No rechazar H0"),"Error tipo II","Decisión correcta"))</f>
        <v>Error tipo II</v>
      </c>
    </row>
    <row r="1322" customFormat="false" ht="15" hidden="false" customHeight="false" outlineLevel="0" collapsed="false">
      <c r="A1322" s="0" t="n">
        <v>1301</v>
      </c>
      <c r="B1322" s="0" t="s">
        <v>86</v>
      </c>
      <c r="C1322" s="17" t="n">
        <v>-0.35585749504357</v>
      </c>
      <c r="D1322" s="17" t="n">
        <f aca="false">(C1322-$B$4)/($B$6/SQRT($B$7))</f>
        <v>-1.77928747521785</v>
      </c>
      <c r="E1322" s="0" t="str">
        <f aca="false">IF(OR(AND($B$9="superior",D1322&gt;$B$10),AND($B$9="inferior",D1322&lt;-$B$10)),"Rechazar H0","No rechazar H0")</f>
        <v>Rechazar H0</v>
      </c>
      <c r="F1322" s="0" t="str">
        <f aca="false">IF(AND(B1322="H0 verdadera",E1322="Rechazar H0"),"Error tipo I",IF(AND(B1322="Ha verdadera",E1322="No rechazar H0"),"Error tipo II","Decisión correcta"))</f>
        <v>Decisión correcta</v>
      </c>
    </row>
    <row r="1323" customFormat="false" ht="15" hidden="false" customHeight="false" outlineLevel="0" collapsed="false">
      <c r="A1323" s="0" t="n">
        <v>1302</v>
      </c>
      <c r="B1323" s="0" t="s">
        <v>86</v>
      </c>
      <c r="C1323" s="17" t="n">
        <v>-0.119904075030112</v>
      </c>
      <c r="D1323" s="17" t="n">
        <f aca="false">(C1323-$B$4)/($B$6/SQRT($B$7))</f>
        <v>-0.599520375150559</v>
      </c>
      <c r="E1323" s="0" t="str">
        <f aca="false">IF(OR(AND($B$9="superior",D1323&gt;$B$10),AND($B$9="inferior",D1323&lt;-$B$10)),"Rechazar H0","No rechazar H0")</f>
        <v>No rechazar H0</v>
      </c>
      <c r="F1323" s="0" t="str">
        <f aca="false">IF(AND(B1323="H0 verdadera",E1323="Rechazar H0"),"Error tipo I",IF(AND(B1323="Ha verdadera",E1323="No rechazar H0"),"Error tipo II","Decisión correcta"))</f>
        <v>Error tipo II</v>
      </c>
    </row>
    <row r="1324" customFormat="false" ht="15" hidden="false" customHeight="false" outlineLevel="0" collapsed="false">
      <c r="A1324" s="0" t="n">
        <v>1303</v>
      </c>
      <c r="B1324" s="0" t="s">
        <v>86</v>
      </c>
      <c r="C1324" s="17" t="n">
        <v>-0.017878623001307</v>
      </c>
      <c r="D1324" s="17" t="n">
        <f aca="false">(C1324-$B$4)/($B$6/SQRT($B$7))</f>
        <v>-0.089393115006535</v>
      </c>
      <c r="E1324" s="0" t="str">
        <f aca="false">IF(OR(AND($B$9="superior",D1324&gt;$B$10),AND($B$9="inferior",D1324&lt;-$B$10)),"Rechazar H0","No rechazar H0")</f>
        <v>No rechazar H0</v>
      </c>
      <c r="F1324" s="0" t="str">
        <f aca="false">IF(AND(B1324="H0 verdadera",E1324="Rechazar H0"),"Error tipo I",IF(AND(B1324="Ha verdadera",E1324="No rechazar H0"),"Error tipo II","Decisión correcta"))</f>
        <v>Error tipo II</v>
      </c>
    </row>
    <row r="1325" customFormat="false" ht="15" hidden="false" customHeight="false" outlineLevel="0" collapsed="false">
      <c r="A1325" s="0" t="n">
        <v>1304</v>
      </c>
      <c r="B1325" s="0" t="s">
        <v>86</v>
      </c>
      <c r="C1325" s="17" t="n">
        <v>-0.598058159688245</v>
      </c>
      <c r="D1325" s="17" t="n">
        <f aca="false">(C1325-$B$4)/($B$6/SQRT($B$7))</f>
        <v>-2.99029079844122</v>
      </c>
      <c r="E1325" s="0" t="str">
        <f aca="false">IF(OR(AND($B$9="superior",D1325&gt;$B$10),AND($B$9="inferior",D1325&lt;-$B$10)),"Rechazar H0","No rechazar H0")</f>
        <v>Rechazar H0</v>
      </c>
      <c r="F1325" s="0" t="str">
        <f aca="false">IF(AND(B1325="H0 verdadera",E1325="Rechazar H0"),"Error tipo I",IF(AND(B1325="Ha verdadera",E1325="No rechazar H0"),"Error tipo II","Decisión correcta"))</f>
        <v>Decisión correcta</v>
      </c>
    </row>
    <row r="1326" customFormat="false" ht="15" hidden="false" customHeight="false" outlineLevel="0" collapsed="false">
      <c r="A1326" s="0" t="n">
        <v>1305</v>
      </c>
      <c r="B1326" s="0" t="s">
        <v>86</v>
      </c>
      <c r="C1326" s="17" t="n">
        <v>-0.0642638060497525</v>
      </c>
      <c r="D1326" s="17" t="n">
        <f aca="false">(C1326-$B$4)/($B$6/SQRT($B$7))</f>
        <v>-0.321319030248763</v>
      </c>
      <c r="E1326" s="0" t="str">
        <f aca="false">IF(OR(AND($B$9="superior",D1326&gt;$B$10),AND($B$9="inferior",D1326&lt;-$B$10)),"Rechazar H0","No rechazar H0")</f>
        <v>No rechazar H0</v>
      </c>
      <c r="F1326" s="0" t="str">
        <f aca="false">IF(AND(B1326="H0 verdadera",E1326="Rechazar H0"),"Error tipo I",IF(AND(B1326="Ha verdadera",E1326="No rechazar H0"),"Error tipo II","Decisión correcta"))</f>
        <v>Error tipo II</v>
      </c>
    </row>
    <row r="1327" customFormat="false" ht="15" hidden="false" customHeight="false" outlineLevel="0" collapsed="false">
      <c r="A1327" s="0" t="n">
        <v>1306</v>
      </c>
      <c r="B1327" s="0" t="s">
        <v>86</v>
      </c>
      <c r="C1327" s="17" t="n">
        <v>-0.601861874342981</v>
      </c>
      <c r="D1327" s="17" t="n">
        <f aca="false">(C1327-$B$4)/($B$6/SQRT($B$7))</f>
        <v>-3.0093093717149</v>
      </c>
      <c r="E1327" s="0" t="str">
        <f aca="false">IF(OR(AND($B$9="superior",D1327&gt;$B$10),AND($B$9="inferior",D1327&lt;-$B$10)),"Rechazar H0","No rechazar H0")</f>
        <v>Rechazar H0</v>
      </c>
      <c r="F1327" s="0" t="str">
        <f aca="false">IF(AND(B1327="H0 verdadera",E1327="Rechazar H0"),"Error tipo I",IF(AND(B1327="Ha verdadera",E1327="No rechazar H0"),"Error tipo II","Decisión correcta"))</f>
        <v>Decisión correcta</v>
      </c>
    </row>
    <row r="1328" customFormat="false" ht="15" hidden="false" customHeight="false" outlineLevel="0" collapsed="false">
      <c r="A1328" s="0" t="n">
        <v>1307</v>
      </c>
      <c r="B1328" s="0" t="s">
        <v>85</v>
      </c>
      <c r="C1328" s="17" t="n">
        <v>0.277558053000732</v>
      </c>
      <c r="D1328" s="17" t="n">
        <f aca="false">(C1328-$B$4)/($B$6/SQRT($B$7))</f>
        <v>1.38779026500366</v>
      </c>
      <c r="E1328" s="0" t="str">
        <f aca="false">IF(OR(AND($B$9="superior",D1328&gt;$B$10),AND($B$9="inferior",D1328&lt;-$B$10)),"Rechazar H0","No rechazar H0")</f>
        <v>No rechazar H0</v>
      </c>
      <c r="F1328" s="0" t="str">
        <f aca="false">IF(AND(B1328="H0 verdadera",E1328="Rechazar H0"),"Error tipo I",IF(AND(B1328="Ha verdadera",E1328="No rechazar H0"),"Error tipo II","Decisión correcta"))</f>
        <v>Decisión correcta</v>
      </c>
    </row>
    <row r="1329" customFormat="false" ht="15" hidden="false" customHeight="false" outlineLevel="0" collapsed="false">
      <c r="A1329" s="0" t="n">
        <v>1308</v>
      </c>
      <c r="B1329" s="0" t="s">
        <v>85</v>
      </c>
      <c r="C1329" s="17" t="n">
        <v>0.22650879179726</v>
      </c>
      <c r="D1329" s="17" t="n">
        <f aca="false">(C1329-$B$4)/($B$6/SQRT($B$7))</f>
        <v>1.1325439589863</v>
      </c>
      <c r="E1329" s="0" t="str">
        <f aca="false">IF(OR(AND($B$9="superior",D1329&gt;$B$10),AND($B$9="inferior",D1329&lt;-$B$10)),"Rechazar H0","No rechazar H0")</f>
        <v>No rechazar H0</v>
      </c>
      <c r="F1329" s="0" t="str">
        <f aca="false">IF(AND(B1329="H0 verdadera",E1329="Rechazar H0"),"Error tipo I",IF(AND(B1329="Ha verdadera",E1329="No rechazar H0"),"Error tipo II","Decisión correcta"))</f>
        <v>Decisión correcta</v>
      </c>
    </row>
    <row r="1330" customFormat="false" ht="15" hidden="false" customHeight="false" outlineLevel="0" collapsed="false">
      <c r="A1330" s="0" t="n">
        <v>1309</v>
      </c>
      <c r="B1330" s="0" t="s">
        <v>86</v>
      </c>
      <c r="C1330" s="17" t="n">
        <v>-0.557076481408091</v>
      </c>
      <c r="D1330" s="17" t="n">
        <f aca="false">(C1330-$B$4)/($B$6/SQRT($B$7))</f>
        <v>-2.78538240704046</v>
      </c>
      <c r="E1330" s="0" t="str">
        <f aca="false">IF(OR(AND($B$9="superior",D1330&gt;$B$10),AND($B$9="inferior",D1330&lt;-$B$10)),"Rechazar H0","No rechazar H0")</f>
        <v>Rechazar H0</v>
      </c>
      <c r="F1330" s="0" t="str">
        <f aca="false">IF(AND(B1330="H0 verdadera",E1330="Rechazar H0"),"Error tipo I",IF(AND(B1330="Ha verdadera",E1330="No rechazar H0"),"Error tipo II","Decisión correcta"))</f>
        <v>Decisión correcta</v>
      </c>
    </row>
    <row r="1331" customFormat="false" ht="15" hidden="false" customHeight="false" outlineLevel="0" collapsed="false">
      <c r="A1331" s="0" t="n">
        <v>1310</v>
      </c>
      <c r="B1331" s="0" t="s">
        <v>85</v>
      </c>
      <c r="C1331" s="17" t="n">
        <v>0.13467782418033</v>
      </c>
      <c r="D1331" s="17" t="n">
        <f aca="false">(C1331-$B$4)/($B$6/SQRT($B$7))</f>
        <v>0.673389120901651</v>
      </c>
      <c r="E1331" s="0" t="str">
        <f aca="false">IF(OR(AND($B$9="superior",D1331&gt;$B$10),AND($B$9="inferior",D1331&lt;-$B$10)),"Rechazar H0","No rechazar H0")</f>
        <v>No rechazar H0</v>
      </c>
      <c r="F1331" s="0" t="str">
        <f aca="false">IF(AND(B1331="H0 verdadera",E1331="Rechazar H0"),"Error tipo I",IF(AND(B1331="Ha verdadera",E1331="No rechazar H0"),"Error tipo II","Decisión correcta"))</f>
        <v>Decisión correcta</v>
      </c>
    </row>
    <row r="1332" customFormat="false" ht="15" hidden="false" customHeight="false" outlineLevel="0" collapsed="false">
      <c r="A1332" s="0" t="n">
        <v>1311</v>
      </c>
      <c r="B1332" s="0" t="s">
        <v>86</v>
      </c>
      <c r="C1332" s="17" t="n">
        <v>-0.53848486422493</v>
      </c>
      <c r="D1332" s="17" t="n">
        <f aca="false">(C1332-$B$4)/($B$6/SQRT($B$7))</f>
        <v>-2.69242432112465</v>
      </c>
      <c r="E1332" s="0" t="str">
        <f aca="false">IF(OR(AND($B$9="superior",D1332&gt;$B$10),AND($B$9="inferior",D1332&lt;-$B$10)),"Rechazar H0","No rechazar H0")</f>
        <v>Rechazar H0</v>
      </c>
      <c r="F1332" s="0" t="str">
        <f aca="false">IF(AND(B1332="H0 verdadera",E1332="Rechazar H0"),"Error tipo I",IF(AND(B1332="Ha verdadera",E1332="No rechazar H0"),"Error tipo II","Decisión correcta"))</f>
        <v>Decisión correcta</v>
      </c>
    </row>
    <row r="1333" customFormat="false" ht="15" hidden="false" customHeight="false" outlineLevel="0" collapsed="false">
      <c r="A1333" s="0" t="n">
        <v>1312</v>
      </c>
      <c r="B1333" s="0" t="s">
        <v>86</v>
      </c>
      <c r="C1333" s="17" t="n">
        <v>-0.457399733149392</v>
      </c>
      <c r="D1333" s="17" t="n">
        <f aca="false">(C1333-$B$4)/($B$6/SQRT($B$7))</f>
        <v>-2.28699866574696</v>
      </c>
      <c r="E1333" s="0" t="str">
        <f aca="false">IF(OR(AND($B$9="superior",D1333&gt;$B$10),AND($B$9="inferior",D1333&lt;-$B$10)),"Rechazar H0","No rechazar H0")</f>
        <v>Rechazar H0</v>
      </c>
      <c r="F1333" s="0" t="str">
        <f aca="false">IF(AND(B1333="H0 verdadera",E1333="Rechazar H0"),"Error tipo I",IF(AND(B1333="Ha verdadera",E1333="No rechazar H0"),"Error tipo II","Decisión correcta"))</f>
        <v>Decisión correcta</v>
      </c>
    </row>
    <row r="1334" customFormat="false" ht="15" hidden="false" customHeight="false" outlineLevel="0" collapsed="false">
      <c r="A1334" s="0" t="n">
        <v>1313</v>
      </c>
      <c r="B1334" s="0" t="s">
        <v>86</v>
      </c>
      <c r="C1334" s="17" t="n">
        <v>-0.261094951781907</v>
      </c>
      <c r="D1334" s="17" t="n">
        <f aca="false">(C1334-$B$4)/($B$6/SQRT($B$7))</f>
        <v>-1.30547475890953</v>
      </c>
      <c r="E1334" s="0" t="str">
        <f aca="false">IF(OR(AND($B$9="superior",D1334&gt;$B$10),AND($B$9="inferior",D1334&lt;-$B$10)),"Rechazar H0","No rechazar H0")</f>
        <v>No rechazar H0</v>
      </c>
      <c r="F1334" s="0" t="str">
        <f aca="false">IF(AND(B1334="H0 verdadera",E1334="Rechazar H0"),"Error tipo I",IF(AND(B1334="Ha verdadera",E1334="No rechazar H0"),"Error tipo II","Decisión correcta"))</f>
        <v>Error tipo II</v>
      </c>
    </row>
    <row r="1335" customFormat="false" ht="15" hidden="false" customHeight="false" outlineLevel="0" collapsed="false">
      <c r="A1335" s="0" t="n">
        <v>1314</v>
      </c>
      <c r="B1335" s="0" t="s">
        <v>85</v>
      </c>
      <c r="C1335" s="17" t="n">
        <v>-0.0241064614533102</v>
      </c>
      <c r="D1335" s="17" t="n">
        <f aca="false">(C1335-$B$4)/($B$6/SQRT($B$7))</f>
        <v>-0.120532307266551</v>
      </c>
      <c r="E1335" s="0" t="str">
        <f aca="false">IF(OR(AND($B$9="superior",D1335&gt;$B$10),AND($B$9="inferior",D1335&lt;-$B$10)),"Rechazar H0","No rechazar H0")</f>
        <v>No rechazar H0</v>
      </c>
      <c r="F1335" s="0" t="str">
        <f aca="false">IF(AND(B1335="H0 verdadera",E1335="Rechazar H0"),"Error tipo I",IF(AND(B1335="Ha verdadera",E1335="No rechazar H0"),"Error tipo II","Decisión correcta"))</f>
        <v>Decisión correcta</v>
      </c>
    </row>
    <row r="1336" customFormat="false" ht="15" hidden="false" customHeight="false" outlineLevel="0" collapsed="false">
      <c r="A1336" s="0" t="n">
        <v>1315</v>
      </c>
      <c r="B1336" s="0" t="s">
        <v>86</v>
      </c>
      <c r="C1336" s="17" t="n">
        <v>-0.41064670576035</v>
      </c>
      <c r="D1336" s="17" t="n">
        <f aca="false">(C1336-$B$4)/($B$6/SQRT($B$7))</f>
        <v>-2.05323352880175</v>
      </c>
      <c r="E1336" s="0" t="str">
        <f aca="false">IF(OR(AND($B$9="superior",D1336&gt;$B$10),AND($B$9="inferior",D1336&lt;-$B$10)),"Rechazar H0","No rechazar H0")</f>
        <v>Rechazar H0</v>
      </c>
      <c r="F1336" s="0" t="str">
        <f aca="false">IF(AND(B1336="H0 verdadera",E1336="Rechazar H0"),"Error tipo I",IF(AND(B1336="Ha verdadera",E1336="No rechazar H0"),"Error tipo II","Decisión correcta"))</f>
        <v>Decisión correcta</v>
      </c>
    </row>
    <row r="1337" customFormat="false" ht="15" hidden="false" customHeight="false" outlineLevel="0" collapsed="false">
      <c r="A1337" s="0" t="n">
        <v>1316</v>
      </c>
      <c r="B1337" s="0" t="s">
        <v>86</v>
      </c>
      <c r="C1337" s="17" t="n">
        <v>-0.66952116099975</v>
      </c>
      <c r="D1337" s="17" t="n">
        <f aca="false">(C1337-$B$4)/($B$6/SQRT($B$7))</f>
        <v>-3.34760580499875</v>
      </c>
      <c r="E1337" s="0" t="str">
        <f aca="false">IF(OR(AND($B$9="superior",D1337&gt;$B$10),AND($B$9="inferior",D1337&lt;-$B$10)),"Rechazar H0","No rechazar H0")</f>
        <v>Rechazar H0</v>
      </c>
      <c r="F1337" s="0" t="str">
        <f aca="false">IF(AND(B1337="H0 verdadera",E1337="Rechazar H0"),"Error tipo I",IF(AND(B1337="Ha verdadera",E1337="No rechazar H0"),"Error tipo II","Decisión correcta"))</f>
        <v>Decisión correcta</v>
      </c>
    </row>
    <row r="1338" customFormat="false" ht="15" hidden="false" customHeight="false" outlineLevel="0" collapsed="false">
      <c r="A1338" s="0" t="n">
        <v>1317</v>
      </c>
      <c r="B1338" s="0" t="s">
        <v>85</v>
      </c>
      <c r="C1338" s="17" t="n">
        <v>-0.0669770608456694</v>
      </c>
      <c r="D1338" s="17" t="n">
        <f aca="false">(C1338-$B$4)/($B$6/SQRT($B$7))</f>
        <v>-0.334885304228347</v>
      </c>
      <c r="E1338" s="0" t="str">
        <f aca="false">IF(OR(AND($B$9="superior",D1338&gt;$B$10),AND($B$9="inferior",D1338&lt;-$B$10)),"Rechazar H0","No rechazar H0")</f>
        <v>No rechazar H0</v>
      </c>
      <c r="F1338" s="0" t="str">
        <f aca="false">IF(AND(B1338="H0 verdadera",E1338="Rechazar H0"),"Error tipo I",IF(AND(B1338="Ha verdadera",E1338="No rechazar H0"),"Error tipo II","Decisión correcta"))</f>
        <v>Decisión correcta</v>
      </c>
    </row>
    <row r="1339" customFormat="false" ht="15" hidden="false" customHeight="false" outlineLevel="0" collapsed="false">
      <c r="A1339" s="0" t="n">
        <v>1318</v>
      </c>
      <c r="B1339" s="0" t="s">
        <v>86</v>
      </c>
      <c r="C1339" s="17" t="n">
        <v>-0.263434297787092</v>
      </c>
      <c r="D1339" s="17" t="n">
        <f aca="false">(C1339-$B$4)/($B$6/SQRT($B$7))</f>
        <v>-1.31717148893546</v>
      </c>
      <c r="E1339" s="0" t="str">
        <f aca="false">IF(OR(AND($B$9="superior",D1339&gt;$B$10),AND($B$9="inferior",D1339&lt;-$B$10)),"Rechazar H0","No rechazar H0")</f>
        <v>No rechazar H0</v>
      </c>
      <c r="F1339" s="0" t="str">
        <f aca="false">IF(AND(B1339="H0 verdadera",E1339="Rechazar H0"),"Error tipo I",IF(AND(B1339="Ha verdadera",E1339="No rechazar H0"),"Error tipo II","Decisión correcta"))</f>
        <v>Error tipo II</v>
      </c>
    </row>
    <row r="1340" customFormat="false" ht="15" hidden="false" customHeight="false" outlineLevel="0" collapsed="false">
      <c r="A1340" s="0" t="n">
        <v>1319</v>
      </c>
      <c r="B1340" s="0" t="s">
        <v>86</v>
      </c>
      <c r="C1340" s="17" t="n">
        <v>-0.496164224824792</v>
      </c>
      <c r="D1340" s="17" t="n">
        <f aca="false">(C1340-$B$4)/($B$6/SQRT($B$7))</f>
        <v>-2.48082112412396</v>
      </c>
      <c r="E1340" s="0" t="str">
        <f aca="false">IF(OR(AND($B$9="superior",D1340&gt;$B$10),AND($B$9="inferior",D1340&lt;-$B$10)),"Rechazar H0","No rechazar H0")</f>
        <v>Rechazar H0</v>
      </c>
      <c r="F1340" s="0" t="str">
        <f aca="false">IF(AND(B1340="H0 verdadera",E1340="Rechazar H0"),"Error tipo I",IF(AND(B1340="Ha verdadera",E1340="No rechazar H0"),"Error tipo II","Decisión correcta"))</f>
        <v>Decisión correcta</v>
      </c>
    </row>
    <row r="1341" customFormat="false" ht="15" hidden="false" customHeight="false" outlineLevel="0" collapsed="false">
      <c r="A1341" s="0" t="n">
        <v>1320</v>
      </c>
      <c r="B1341" s="0" t="s">
        <v>86</v>
      </c>
      <c r="C1341" s="17" t="n">
        <v>-0.256552985756283</v>
      </c>
      <c r="D1341" s="17" t="n">
        <f aca="false">(C1341-$B$4)/($B$6/SQRT($B$7))</f>
        <v>-1.28276492878142</v>
      </c>
      <c r="E1341" s="0" t="str">
        <f aca="false">IF(OR(AND($B$9="superior",D1341&gt;$B$10),AND($B$9="inferior",D1341&lt;-$B$10)),"Rechazar H0","No rechazar H0")</f>
        <v>No rechazar H0</v>
      </c>
      <c r="F1341" s="0" t="str">
        <f aca="false">IF(AND(B1341="H0 verdadera",E1341="Rechazar H0"),"Error tipo I",IF(AND(B1341="Ha verdadera",E1341="No rechazar H0"),"Error tipo II","Decisión correcta"))</f>
        <v>Error tipo II</v>
      </c>
    </row>
    <row r="1342" customFormat="false" ht="15" hidden="false" customHeight="false" outlineLevel="0" collapsed="false">
      <c r="A1342" s="0" t="n">
        <v>1321</v>
      </c>
      <c r="B1342" s="0" t="s">
        <v>85</v>
      </c>
      <c r="C1342" s="17" t="n">
        <v>0.013937759720385</v>
      </c>
      <c r="D1342" s="17" t="n">
        <f aca="false">(C1342-$B$4)/($B$6/SQRT($B$7))</f>
        <v>0.0696887986019252</v>
      </c>
      <c r="E1342" s="0" t="str">
        <f aca="false">IF(OR(AND($B$9="superior",D1342&gt;$B$10),AND($B$9="inferior",D1342&lt;-$B$10)),"Rechazar H0","No rechazar H0")</f>
        <v>No rechazar H0</v>
      </c>
      <c r="F1342" s="0" t="str">
        <f aca="false">IF(AND(B1342="H0 verdadera",E1342="Rechazar H0"),"Error tipo I",IF(AND(B1342="Ha verdadera",E1342="No rechazar H0"),"Error tipo II","Decisión correcta"))</f>
        <v>Decisión correcta</v>
      </c>
    </row>
    <row r="1343" customFormat="false" ht="15" hidden="false" customHeight="false" outlineLevel="0" collapsed="false">
      <c r="A1343" s="0" t="n">
        <v>1322</v>
      </c>
      <c r="B1343" s="0" t="s">
        <v>86</v>
      </c>
      <c r="C1343" s="17" t="n">
        <v>0.0447545031319327</v>
      </c>
      <c r="D1343" s="17" t="n">
        <f aca="false">(C1343-$B$4)/($B$6/SQRT($B$7))</f>
        <v>0.223772515659664</v>
      </c>
      <c r="E1343" s="0" t="str">
        <f aca="false">IF(OR(AND($B$9="superior",D1343&gt;$B$10),AND($B$9="inferior",D1343&lt;-$B$10)),"Rechazar H0","No rechazar H0")</f>
        <v>No rechazar H0</v>
      </c>
      <c r="F1343" s="0" t="str">
        <f aca="false">IF(AND(B1343="H0 verdadera",E1343="Rechazar H0"),"Error tipo I",IF(AND(B1343="Ha verdadera",E1343="No rechazar H0"),"Error tipo II","Decisión correcta"))</f>
        <v>Error tipo II</v>
      </c>
    </row>
    <row r="1344" customFormat="false" ht="15" hidden="false" customHeight="false" outlineLevel="0" collapsed="false">
      <c r="A1344" s="0" t="n">
        <v>1323</v>
      </c>
      <c r="B1344" s="0" t="s">
        <v>85</v>
      </c>
      <c r="C1344" s="17" t="n">
        <v>-0.0198356910627343</v>
      </c>
      <c r="D1344" s="17" t="n">
        <f aca="false">(C1344-$B$4)/($B$6/SQRT($B$7))</f>
        <v>-0.0991784553136714</v>
      </c>
      <c r="E1344" s="0" t="str">
        <f aca="false">IF(OR(AND($B$9="superior",D1344&gt;$B$10),AND($B$9="inferior",D1344&lt;-$B$10)),"Rechazar H0","No rechazar H0")</f>
        <v>No rechazar H0</v>
      </c>
      <c r="F1344" s="0" t="str">
        <f aca="false">IF(AND(B1344="H0 verdadera",E1344="Rechazar H0"),"Error tipo I",IF(AND(B1344="Ha verdadera",E1344="No rechazar H0"),"Error tipo II","Decisión correcta"))</f>
        <v>Decisión correcta</v>
      </c>
    </row>
    <row r="1345" customFormat="false" ht="15" hidden="false" customHeight="false" outlineLevel="0" collapsed="false">
      <c r="A1345" s="0" t="n">
        <v>1324</v>
      </c>
      <c r="B1345" s="0" t="s">
        <v>86</v>
      </c>
      <c r="C1345" s="17" t="n">
        <v>-0.524192538074768</v>
      </c>
      <c r="D1345" s="17" t="n">
        <f aca="false">(C1345-$B$4)/($B$6/SQRT($B$7))</f>
        <v>-2.62096269037384</v>
      </c>
      <c r="E1345" s="0" t="str">
        <f aca="false">IF(OR(AND($B$9="superior",D1345&gt;$B$10),AND($B$9="inferior",D1345&lt;-$B$10)),"Rechazar H0","No rechazar H0")</f>
        <v>Rechazar H0</v>
      </c>
      <c r="F1345" s="0" t="str">
        <f aca="false">IF(AND(B1345="H0 verdadera",E1345="Rechazar H0"),"Error tipo I",IF(AND(B1345="Ha verdadera",E1345="No rechazar H0"),"Error tipo II","Decisión correcta"))</f>
        <v>Decisión correcta</v>
      </c>
    </row>
    <row r="1346" customFormat="false" ht="15" hidden="false" customHeight="false" outlineLevel="0" collapsed="false">
      <c r="A1346" s="0" t="n">
        <v>1325</v>
      </c>
      <c r="B1346" s="0" t="s">
        <v>86</v>
      </c>
      <c r="C1346" s="17" t="n">
        <v>-0.567472092291494</v>
      </c>
      <c r="D1346" s="17" t="n">
        <f aca="false">(C1346-$B$4)/($B$6/SQRT($B$7))</f>
        <v>-2.83736046145747</v>
      </c>
      <c r="E1346" s="0" t="str">
        <f aca="false">IF(OR(AND($B$9="superior",D1346&gt;$B$10),AND($B$9="inferior",D1346&lt;-$B$10)),"Rechazar H0","No rechazar H0")</f>
        <v>Rechazar H0</v>
      </c>
      <c r="F1346" s="0" t="str">
        <f aca="false">IF(AND(B1346="H0 verdadera",E1346="Rechazar H0"),"Error tipo I",IF(AND(B1346="Ha verdadera",E1346="No rechazar H0"),"Error tipo II","Decisión correcta"))</f>
        <v>Decisión correcta</v>
      </c>
    </row>
    <row r="1347" customFormat="false" ht="15" hidden="false" customHeight="false" outlineLevel="0" collapsed="false">
      <c r="A1347" s="0" t="n">
        <v>1326</v>
      </c>
      <c r="B1347" s="0" t="s">
        <v>86</v>
      </c>
      <c r="C1347" s="17" t="n">
        <v>-0.354295102687013</v>
      </c>
      <c r="D1347" s="17" t="n">
        <f aca="false">(C1347-$B$4)/($B$6/SQRT($B$7))</f>
        <v>-1.77147551343506</v>
      </c>
      <c r="E1347" s="0" t="str">
        <f aca="false">IF(OR(AND($B$9="superior",D1347&gt;$B$10),AND($B$9="inferior",D1347&lt;-$B$10)),"Rechazar H0","No rechazar H0")</f>
        <v>Rechazar H0</v>
      </c>
      <c r="F1347" s="0" t="str">
        <f aca="false">IF(AND(B1347="H0 verdadera",E1347="Rechazar H0"),"Error tipo I",IF(AND(B1347="Ha verdadera",E1347="No rechazar H0"),"Error tipo II","Decisión correcta"))</f>
        <v>Decisión correcta</v>
      </c>
    </row>
    <row r="1348" customFormat="false" ht="15" hidden="false" customHeight="false" outlineLevel="0" collapsed="false">
      <c r="A1348" s="0" t="n">
        <v>1327</v>
      </c>
      <c r="B1348" s="0" t="s">
        <v>85</v>
      </c>
      <c r="C1348" s="17" t="n">
        <v>-0.218720423555245</v>
      </c>
      <c r="D1348" s="17" t="n">
        <f aca="false">(C1348-$B$4)/($B$6/SQRT($B$7))</f>
        <v>-1.09360211777622</v>
      </c>
      <c r="E1348" s="0" t="str">
        <f aca="false">IF(OR(AND($B$9="superior",D1348&gt;$B$10),AND($B$9="inferior",D1348&lt;-$B$10)),"Rechazar H0","No rechazar H0")</f>
        <v>No rechazar H0</v>
      </c>
      <c r="F1348" s="0" t="str">
        <f aca="false">IF(AND(B1348="H0 verdadera",E1348="Rechazar H0"),"Error tipo I",IF(AND(B1348="Ha verdadera",E1348="No rechazar H0"),"Error tipo II","Decisión correcta"))</f>
        <v>Decisión correcta</v>
      </c>
    </row>
    <row r="1349" customFormat="false" ht="15" hidden="false" customHeight="false" outlineLevel="0" collapsed="false">
      <c r="A1349" s="0" t="n">
        <v>1328</v>
      </c>
      <c r="B1349" s="0" t="s">
        <v>86</v>
      </c>
      <c r="C1349" s="17" t="n">
        <v>-0.420104887517179</v>
      </c>
      <c r="D1349" s="17" t="n">
        <f aca="false">(C1349-$B$4)/($B$6/SQRT($B$7))</f>
        <v>-2.10052443758589</v>
      </c>
      <c r="E1349" s="0" t="str">
        <f aca="false">IF(OR(AND($B$9="superior",D1349&gt;$B$10),AND($B$9="inferior",D1349&lt;-$B$10)),"Rechazar H0","No rechazar H0")</f>
        <v>Rechazar H0</v>
      </c>
      <c r="F1349" s="0" t="str">
        <f aca="false">IF(AND(B1349="H0 verdadera",E1349="Rechazar H0"),"Error tipo I",IF(AND(B1349="Ha verdadera",E1349="No rechazar H0"),"Error tipo II","Decisión correcta"))</f>
        <v>Decisión correcta</v>
      </c>
    </row>
    <row r="1350" customFormat="false" ht="15" hidden="false" customHeight="false" outlineLevel="0" collapsed="false">
      <c r="A1350" s="0" t="n">
        <v>1329</v>
      </c>
      <c r="B1350" s="0" t="s">
        <v>86</v>
      </c>
      <c r="C1350" s="17" t="n">
        <v>-0.511423084790197</v>
      </c>
      <c r="D1350" s="17" t="n">
        <f aca="false">(C1350-$B$4)/($B$6/SQRT($B$7))</f>
        <v>-2.55711542395099</v>
      </c>
      <c r="E1350" s="0" t="str">
        <f aca="false">IF(OR(AND($B$9="superior",D1350&gt;$B$10),AND($B$9="inferior",D1350&lt;-$B$10)),"Rechazar H0","No rechazar H0")</f>
        <v>Rechazar H0</v>
      </c>
      <c r="F1350" s="0" t="str">
        <f aca="false">IF(AND(B1350="H0 verdadera",E1350="Rechazar H0"),"Error tipo I",IF(AND(B1350="Ha verdadera",E1350="No rechazar H0"),"Error tipo II","Decisión correcta"))</f>
        <v>Decisión correcta</v>
      </c>
    </row>
    <row r="1351" customFormat="false" ht="15" hidden="false" customHeight="false" outlineLevel="0" collapsed="false">
      <c r="A1351" s="0" t="n">
        <v>1330</v>
      </c>
      <c r="B1351" s="0" t="s">
        <v>85</v>
      </c>
      <c r="C1351" s="17" t="n">
        <v>-0.064566125529295</v>
      </c>
      <c r="D1351" s="17" t="n">
        <f aca="false">(C1351-$B$4)/($B$6/SQRT($B$7))</f>
        <v>-0.322830627646475</v>
      </c>
      <c r="E1351" s="0" t="str">
        <f aca="false">IF(OR(AND($B$9="superior",D1351&gt;$B$10),AND($B$9="inferior",D1351&lt;-$B$10)),"Rechazar H0","No rechazar H0")</f>
        <v>No rechazar H0</v>
      </c>
      <c r="F1351" s="0" t="str">
        <f aca="false">IF(AND(B1351="H0 verdadera",E1351="Rechazar H0"),"Error tipo I",IF(AND(B1351="Ha verdadera",E1351="No rechazar H0"),"Error tipo II","Decisión correcta"))</f>
        <v>Decisión correcta</v>
      </c>
    </row>
    <row r="1352" customFormat="false" ht="15" hidden="false" customHeight="false" outlineLevel="0" collapsed="false">
      <c r="A1352" s="0" t="n">
        <v>1331</v>
      </c>
      <c r="B1352" s="0" t="s">
        <v>86</v>
      </c>
      <c r="C1352" s="17" t="n">
        <v>-0.705362753689426</v>
      </c>
      <c r="D1352" s="17" t="n">
        <f aca="false">(C1352-$B$4)/($B$6/SQRT($B$7))</f>
        <v>-3.52681376844713</v>
      </c>
      <c r="E1352" s="0" t="str">
        <f aca="false">IF(OR(AND($B$9="superior",D1352&gt;$B$10),AND($B$9="inferior",D1352&lt;-$B$10)),"Rechazar H0","No rechazar H0")</f>
        <v>Rechazar H0</v>
      </c>
      <c r="F1352" s="0" t="str">
        <f aca="false">IF(AND(B1352="H0 verdadera",E1352="Rechazar H0"),"Error tipo I",IF(AND(B1352="Ha verdadera",E1352="No rechazar H0"),"Error tipo II","Decisión correcta"))</f>
        <v>Decisión correcta</v>
      </c>
    </row>
    <row r="1353" customFormat="false" ht="15" hidden="false" customHeight="false" outlineLevel="0" collapsed="false">
      <c r="A1353" s="0" t="n">
        <v>1332</v>
      </c>
      <c r="B1353" s="0" t="s">
        <v>86</v>
      </c>
      <c r="C1353" s="17" t="n">
        <v>-0.0555096739142001</v>
      </c>
      <c r="D1353" s="17" t="n">
        <f aca="false">(C1353-$B$4)/($B$6/SQRT($B$7))</f>
        <v>-0.277548369571001</v>
      </c>
      <c r="E1353" s="0" t="str">
        <f aca="false">IF(OR(AND($B$9="superior",D1353&gt;$B$10),AND($B$9="inferior",D1353&lt;-$B$10)),"Rechazar H0","No rechazar H0")</f>
        <v>No rechazar H0</v>
      </c>
      <c r="F1353" s="0" t="str">
        <f aca="false">IF(AND(B1353="H0 verdadera",E1353="Rechazar H0"),"Error tipo I",IF(AND(B1353="Ha verdadera",E1353="No rechazar H0"),"Error tipo II","Decisión correcta"))</f>
        <v>Error tipo II</v>
      </c>
    </row>
    <row r="1354" customFormat="false" ht="15" hidden="false" customHeight="false" outlineLevel="0" collapsed="false">
      <c r="A1354" s="0" t="n">
        <v>1333</v>
      </c>
      <c r="B1354" s="0" t="s">
        <v>86</v>
      </c>
      <c r="C1354" s="17" t="n">
        <v>-0.166281663587438</v>
      </c>
      <c r="D1354" s="17" t="n">
        <f aca="false">(C1354-$B$4)/($B$6/SQRT($B$7))</f>
        <v>-0.831408317937191</v>
      </c>
      <c r="E1354" s="0" t="str">
        <f aca="false">IF(OR(AND($B$9="superior",D1354&gt;$B$10),AND($B$9="inferior",D1354&lt;-$B$10)),"Rechazar H0","No rechazar H0")</f>
        <v>No rechazar H0</v>
      </c>
      <c r="F1354" s="0" t="str">
        <f aca="false">IF(AND(B1354="H0 verdadera",E1354="Rechazar H0"),"Error tipo I",IF(AND(B1354="Ha verdadera",E1354="No rechazar H0"),"Error tipo II","Decisión correcta"))</f>
        <v>Error tipo II</v>
      </c>
    </row>
    <row r="1355" customFormat="false" ht="15" hidden="false" customHeight="false" outlineLevel="0" collapsed="false">
      <c r="A1355" s="0" t="n">
        <v>1334</v>
      </c>
      <c r="B1355" s="0" t="s">
        <v>86</v>
      </c>
      <c r="C1355" s="17" t="n">
        <v>-0.318525936118589</v>
      </c>
      <c r="D1355" s="17" t="n">
        <f aca="false">(C1355-$B$4)/($B$6/SQRT($B$7))</f>
        <v>-1.59262968059294</v>
      </c>
      <c r="E1355" s="0" t="str">
        <f aca="false">IF(OR(AND($B$9="superior",D1355&gt;$B$10),AND($B$9="inferior",D1355&lt;-$B$10)),"Rechazar H0","No rechazar H0")</f>
        <v>No rechazar H0</v>
      </c>
      <c r="F1355" s="0" t="str">
        <f aca="false">IF(AND(B1355="H0 verdadera",E1355="Rechazar H0"),"Error tipo I",IF(AND(B1355="Ha verdadera",E1355="No rechazar H0"),"Error tipo II","Decisión correcta"))</f>
        <v>Error tipo II</v>
      </c>
    </row>
    <row r="1356" customFormat="false" ht="15" hidden="false" customHeight="false" outlineLevel="0" collapsed="false">
      <c r="A1356" s="0" t="n">
        <v>1335</v>
      </c>
      <c r="B1356" s="0" t="s">
        <v>85</v>
      </c>
      <c r="C1356" s="17" t="n">
        <v>0.164142836395838</v>
      </c>
      <c r="D1356" s="17" t="n">
        <f aca="false">(C1356-$B$4)/($B$6/SQRT($B$7))</f>
        <v>0.820714181979189</v>
      </c>
      <c r="E1356" s="0" t="str">
        <f aca="false">IF(OR(AND($B$9="superior",D1356&gt;$B$10),AND($B$9="inferior",D1356&lt;-$B$10)),"Rechazar H0","No rechazar H0")</f>
        <v>No rechazar H0</v>
      </c>
      <c r="F1356" s="0" t="str">
        <f aca="false">IF(AND(B1356="H0 verdadera",E1356="Rechazar H0"),"Error tipo I",IF(AND(B1356="Ha verdadera",E1356="No rechazar H0"),"Error tipo II","Decisión correcta"))</f>
        <v>Decisión correcta</v>
      </c>
    </row>
    <row r="1357" customFormat="false" ht="15" hidden="false" customHeight="false" outlineLevel="0" collapsed="false">
      <c r="A1357" s="0" t="n">
        <v>1336</v>
      </c>
      <c r="B1357" s="0" t="s">
        <v>86</v>
      </c>
      <c r="C1357" s="17" t="n">
        <v>-0.13161342411978</v>
      </c>
      <c r="D1357" s="17" t="n">
        <f aca="false">(C1357-$B$4)/($B$6/SQRT($B$7))</f>
        <v>-0.6580671205989</v>
      </c>
      <c r="E1357" s="0" t="str">
        <f aca="false">IF(OR(AND($B$9="superior",D1357&gt;$B$10),AND($B$9="inferior",D1357&lt;-$B$10)),"Rechazar H0","No rechazar H0")</f>
        <v>No rechazar H0</v>
      </c>
      <c r="F1357" s="0" t="str">
        <f aca="false">IF(AND(B1357="H0 verdadera",E1357="Rechazar H0"),"Error tipo I",IF(AND(B1357="Ha verdadera",E1357="No rechazar H0"),"Error tipo II","Decisión correcta"))</f>
        <v>Error tipo II</v>
      </c>
    </row>
    <row r="1358" customFormat="false" ht="15" hidden="false" customHeight="false" outlineLevel="0" collapsed="false">
      <c r="A1358" s="0" t="n">
        <v>1337</v>
      </c>
      <c r="B1358" s="0" t="s">
        <v>86</v>
      </c>
      <c r="C1358" s="17" t="n">
        <v>-0.639582914260431</v>
      </c>
      <c r="D1358" s="17" t="n">
        <f aca="false">(C1358-$B$4)/($B$6/SQRT($B$7))</f>
        <v>-3.19791457130216</v>
      </c>
      <c r="E1358" s="0" t="str">
        <f aca="false">IF(OR(AND($B$9="superior",D1358&gt;$B$10),AND($B$9="inferior",D1358&lt;-$B$10)),"Rechazar H0","No rechazar H0")</f>
        <v>Rechazar H0</v>
      </c>
      <c r="F1358" s="0" t="str">
        <f aca="false">IF(AND(B1358="H0 verdadera",E1358="Rechazar H0"),"Error tipo I",IF(AND(B1358="Ha verdadera",E1358="No rechazar H0"),"Error tipo II","Decisión correcta"))</f>
        <v>Decisión correcta</v>
      </c>
    </row>
    <row r="1359" customFormat="false" ht="15" hidden="false" customHeight="false" outlineLevel="0" collapsed="false">
      <c r="A1359" s="0" t="n">
        <v>1338</v>
      </c>
      <c r="B1359" s="0" t="s">
        <v>86</v>
      </c>
      <c r="C1359" s="17" t="n">
        <v>-0.302820680436383</v>
      </c>
      <c r="D1359" s="17" t="n">
        <f aca="false">(C1359-$B$4)/($B$6/SQRT($B$7))</f>
        <v>-1.51410340218192</v>
      </c>
      <c r="E1359" s="0" t="str">
        <f aca="false">IF(OR(AND($B$9="superior",D1359&gt;$B$10),AND($B$9="inferior",D1359&lt;-$B$10)),"Rechazar H0","No rechazar H0")</f>
        <v>No rechazar H0</v>
      </c>
      <c r="F1359" s="0" t="str">
        <f aca="false">IF(AND(B1359="H0 verdadera",E1359="Rechazar H0"),"Error tipo I",IF(AND(B1359="Ha verdadera",E1359="No rechazar H0"),"Error tipo II","Decisión correcta"))</f>
        <v>Error tipo II</v>
      </c>
    </row>
    <row r="1360" customFormat="false" ht="15" hidden="false" customHeight="false" outlineLevel="0" collapsed="false">
      <c r="A1360" s="0" t="n">
        <v>1339</v>
      </c>
      <c r="B1360" s="0" t="s">
        <v>85</v>
      </c>
      <c r="C1360" s="17" t="n">
        <v>-0.100003791991918</v>
      </c>
      <c r="D1360" s="17" t="n">
        <f aca="false">(C1360-$B$4)/($B$6/SQRT($B$7))</f>
        <v>-0.500018959959588</v>
      </c>
      <c r="E1360" s="0" t="str">
        <f aca="false">IF(OR(AND($B$9="superior",D1360&gt;$B$10),AND($B$9="inferior",D1360&lt;-$B$10)),"Rechazar H0","No rechazar H0")</f>
        <v>No rechazar H0</v>
      </c>
      <c r="F1360" s="0" t="str">
        <f aca="false">IF(AND(B1360="H0 verdadera",E1360="Rechazar H0"),"Error tipo I",IF(AND(B1360="Ha verdadera",E1360="No rechazar H0"),"Error tipo II","Decisión correcta"))</f>
        <v>Decisión correcta</v>
      </c>
    </row>
    <row r="1361" customFormat="false" ht="15" hidden="false" customHeight="false" outlineLevel="0" collapsed="false">
      <c r="A1361" s="0" t="n">
        <v>1340</v>
      </c>
      <c r="B1361" s="0" t="s">
        <v>85</v>
      </c>
      <c r="C1361" s="17" t="n">
        <v>0.109321385836126</v>
      </c>
      <c r="D1361" s="17" t="n">
        <f aca="false">(C1361-$B$4)/($B$6/SQRT($B$7))</f>
        <v>0.546606929180632</v>
      </c>
      <c r="E1361" s="0" t="str">
        <f aca="false">IF(OR(AND($B$9="superior",D1361&gt;$B$10),AND($B$9="inferior",D1361&lt;-$B$10)),"Rechazar H0","No rechazar H0")</f>
        <v>No rechazar H0</v>
      </c>
      <c r="F1361" s="0" t="str">
        <f aca="false">IF(AND(B1361="H0 verdadera",E1361="Rechazar H0"),"Error tipo I",IF(AND(B1361="Ha verdadera",E1361="No rechazar H0"),"Error tipo II","Decisión correcta"))</f>
        <v>Decisión correcta</v>
      </c>
    </row>
    <row r="1362" customFormat="false" ht="15" hidden="false" customHeight="false" outlineLevel="0" collapsed="false">
      <c r="A1362" s="0" t="n">
        <v>1341</v>
      </c>
      <c r="B1362" s="0" t="s">
        <v>85</v>
      </c>
      <c r="C1362" s="17" t="n">
        <v>-0.265531557666015</v>
      </c>
      <c r="D1362" s="17" t="n">
        <f aca="false">(C1362-$B$4)/($B$6/SQRT($B$7))</f>
        <v>-1.32765778833007</v>
      </c>
      <c r="E1362" s="0" t="str">
        <f aca="false">IF(OR(AND($B$9="superior",D1362&gt;$B$10),AND($B$9="inferior",D1362&lt;-$B$10)),"Rechazar H0","No rechazar H0")</f>
        <v>No rechazar H0</v>
      </c>
      <c r="F1362" s="0" t="str">
        <f aca="false">IF(AND(B1362="H0 verdadera",E1362="Rechazar H0"),"Error tipo I",IF(AND(B1362="Ha verdadera",E1362="No rechazar H0"),"Error tipo II","Decisión correcta"))</f>
        <v>Decisión correcta</v>
      </c>
    </row>
    <row r="1363" customFormat="false" ht="15" hidden="false" customHeight="false" outlineLevel="0" collapsed="false">
      <c r="A1363" s="0" t="n">
        <v>1342</v>
      </c>
      <c r="B1363" s="0" t="s">
        <v>85</v>
      </c>
      <c r="C1363" s="17" t="n">
        <v>0.324458628565169</v>
      </c>
      <c r="D1363" s="17" t="n">
        <f aca="false">(C1363-$B$4)/($B$6/SQRT($B$7))</f>
        <v>1.62229314282585</v>
      </c>
      <c r="E1363" s="0" t="str">
        <f aca="false">IF(OR(AND($B$9="superior",D1363&gt;$B$10),AND($B$9="inferior",D1363&lt;-$B$10)),"Rechazar H0","No rechazar H0")</f>
        <v>No rechazar H0</v>
      </c>
      <c r="F1363" s="0" t="str">
        <f aca="false">IF(AND(B1363="H0 verdadera",E1363="Rechazar H0"),"Error tipo I",IF(AND(B1363="Ha verdadera",E1363="No rechazar H0"),"Error tipo II","Decisión correcta"))</f>
        <v>Decisión correcta</v>
      </c>
    </row>
    <row r="1364" customFormat="false" ht="15" hidden="false" customHeight="false" outlineLevel="0" collapsed="false">
      <c r="A1364" s="0" t="n">
        <v>1343</v>
      </c>
      <c r="B1364" s="0" t="s">
        <v>85</v>
      </c>
      <c r="C1364" s="17" t="n">
        <v>-0.144680299976502</v>
      </c>
      <c r="D1364" s="17" t="n">
        <f aca="false">(C1364-$B$4)/($B$6/SQRT($B$7))</f>
        <v>-0.723401499882512</v>
      </c>
      <c r="E1364" s="0" t="str">
        <f aca="false">IF(OR(AND($B$9="superior",D1364&gt;$B$10),AND($B$9="inferior",D1364&lt;-$B$10)),"Rechazar H0","No rechazar H0")</f>
        <v>No rechazar H0</v>
      </c>
      <c r="F1364" s="0" t="str">
        <f aca="false">IF(AND(B1364="H0 verdadera",E1364="Rechazar H0"),"Error tipo I",IF(AND(B1364="Ha verdadera",E1364="No rechazar H0"),"Error tipo II","Decisión correcta"))</f>
        <v>Decisión correcta</v>
      </c>
    </row>
    <row r="1365" customFormat="false" ht="15" hidden="false" customHeight="false" outlineLevel="0" collapsed="false">
      <c r="A1365" s="0" t="n">
        <v>1344</v>
      </c>
      <c r="B1365" s="0" t="s">
        <v>85</v>
      </c>
      <c r="C1365" s="17" t="n">
        <v>-0.126343224037156</v>
      </c>
      <c r="D1365" s="17" t="n">
        <f aca="false">(C1365-$B$4)/($B$6/SQRT($B$7))</f>
        <v>-0.631716120185778</v>
      </c>
      <c r="E1365" s="0" t="str">
        <f aca="false">IF(OR(AND($B$9="superior",D1365&gt;$B$10),AND($B$9="inferior",D1365&lt;-$B$10)),"Rechazar H0","No rechazar H0")</f>
        <v>No rechazar H0</v>
      </c>
      <c r="F1365" s="0" t="str">
        <f aca="false">IF(AND(B1365="H0 verdadera",E1365="Rechazar H0"),"Error tipo I",IF(AND(B1365="Ha verdadera",E1365="No rechazar H0"),"Error tipo II","Decisión correcta"))</f>
        <v>Decisión correcta</v>
      </c>
    </row>
    <row r="1366" customFormat="false" ht="15" hidden="false" customHeight="false" outlineLevel="0" collapsed="false">
      <c r="A1366" s="0" t="n">
        <v>1345</v>
      </c>
      <c r="B1366" s="0" t="s">
        <v>86</v>
      </c>
      <c r="C1366" s="17" t="n">
        <v>-0.460979848361952</v>
      </c>
      <c r="D1366" s="17" t="n">
        <f aca="false">(C1366-$B$4)/($B$6/SQRT($B$7))</f>
        <v>-2.30489924180976</v>
      </c>
      <c r="E1366" s="0" t="str">
        <f aca="false">IF(OR(AND($B$9="superior",D1366&gt;$B$10),AND($B$9="inferior",D1366&lt;-$B$10)),"Rechazar H0","No rechazar H0")</f>
        <v>Rechazar H0</v>
      </c>
      <c r="F1366" s="0" t="str">
        <f aca="false">IF(AND(B1366="H0 verdadera",E1366="Rechazar H0"),"Error tipo I",IF(AND(B1366="Ha verdadera",E1366="No rechazar H0"),"Error tipo II","Decisión correcta"))</f>
        <v>Decisión correcta</v>
      </c>
    </row>
    <row r="1367" customFormat="false" ht="15" hidden="false" customHeight="false" outlineLevel="0" collapsed="false">
      <c r="A1367" s="0" t="n">
        <v>1346</v>
      </c>
      <c r="B1367" s="0" t="s">
        <v>86</v>
      </c>
      <c r="C1367" s="17" t="n">
        <v>-0.322451915252715</v>
      </c>
      <c r="D1367" s="17" t="n">
        <f aca="false">(C1367-$B$4)/($B$6/SQRT($B$7))</f>
        <v>-1.61225957626358</v>
      </c>
      <c r="E1367" s="0" t="str">
        <f aca="false">IF(OR(AND($B$9="superior",D1367&gt;$B$10),AND($B$9="inferior",D1367&lt;-$B$10)),"Rechazar H0","No rechazar H0")</f>
        <v>No rechazar H0</v>
      </c>
      <c r="F1367" s="0" t="str">
        <f aca="false">IF(AND(B1367="H0 verdadera",E1367="Rechazar H0"),"Error tipo I",IF(AND(B1367="Ha verdadera",E1367="No rechazar H0"),"Error tipo II","Decisión correcta"))</f>
        <v>Error tipo II</v>
      </c>
    </row>
    <row r="1368" customFormat="false" ht="15" hidden="false" customHeight="false" outlineLevel="0" collapsed="false">
      <c r="A1368" s="0" t="n">
        <v>1347</v>
      </c>
      <c r="B1368" s="0" t="s">
        <v>85</v>
      </c>
      <c r="C1368" s="17" t="n">
        <v>0.151521023648678</v>
      </c>
      <c r="D1368" s="17" t="n">
        <f aca="false">(C1368-$B$4)/($B$6/SQRT($B$7))</f>
        <v>0.757605118243389</v>
      </c>
      <c r="E1368" s="0" t="str">
        <f aca="false">IF(OR(AND($B$9="superior",D1368&gt;$B$10),AND($B$9="inferior",D1368&lt;-$B$10)),"Rechazar H0","No rechazar H0")</f>
        <v>No rechazar H0</v>
      </c>
      <c r="F1368" s="0" t="str">
        <f aca="false">IF(AND(B1368="H0 verdadera",E1368="Rechazar H0"),"Error tipo I",IF(AND(B1368="Ha verdadera",E1368="No rechazar H0"),"Error tipo II","Decisión correcta"))</f>
        <v>Decisión correcta</v>
      </c>
    </row>
    <row r="1369" customFormat="false" ht="15" hidden="false" customHeight="false" outlineLevel="0" collapsed="false">
      <c r="A1369" s="0" t="n">
        <v>1348</v>
      </c>
      <c r="B1369" s="0" t="s">
        <v>85</v>
      </c>
      <c r="C1369" s="17" t="n">
        <v>0.222584441252204</v>
      </c>
      <c r="D1369" s="17" t="n">
        <f aca="false">(C1369-$B$4)/($B$6/SQRT($B$7))</f>
        <v>1.11292220626102</v>
      </c>
      <c r="E1369" s="0" t="str">
        <f aca="false">IF(OR(AND($B$9="superior",D1369&gt;$B$10),AND($B$9="inferior",D1369&lt;-$B$10)),"Rechazar H0","No rechazar H0")</f>
        <v>No rechazar H0</v>
      </c>
      <c r="F1369" s="0" t="str">
        <f aca="false">IF(AND(B1369="H0 verdadera",E1369="Rechazar H0"),"Error tipo I",IF(AND(B1369="Ha verdadera",E1369="No rechazar H0"),"Error tipo II","Decisión correcta"))</f>
        <v>Decisión correcta</v>
      </c>
    </row>
    <row r="1370" customFormat="false" ht="15" hidden="false" customHeight="false" outlineLevel="0" collapsed="false">
      <c r="A1370" s="0" t="n">
        <v>1349</v>
      </c>
      <c r="B1370" s="0" t="s">
        <v>85</v>
      </c>
      <c r="C1370" s="17" t="n">
        <v>0.0125538407215626</v>
      </c>
      <c r="D1370" s="17" t="n">
        <f aca="false">(C1370-$B$4)/($B$6/SQRT($B$7))</f>
        <v>0.0627692036078131</v>
      </c>
      <c r="E1370" s="0" t="str">
        <f aca="false">IF(OR(AND($B$9="superior",D1370&gt;$B$10),AND($B$9="inferior",D1370&lt;-$B$10)),"Rechazar H0","No rechazar H0")</f>
        <v>No rechazar H0</v>
      </c>
      <c r="F1370" s="0" t="str">
        <f aca="false">IF(AND(B1370="H0 verdadera",E1370="Rechazar H0"),"Error tipo I",IF(AND(B1370="Ha verdadera",E1370="No rechazar H0"),"Error tipo II","Decisión correcta"))</f>
        <v>Decisión correcta</v>
      </c>
    </row>
    <row r="1371" customFormat="false" ht="15" hidden="false" customHeight="false" outlineLevel="0" collapsed="false">
      <c r="A1371" s="0" t="n">
        <v>1350</v>
      </c>
      <c r="B1371" s="0" t="s">
        <v>85</v>
      </c>
      <c r="C1371" s="17" t="n">
        <v>0.118715101928831</v>
      </c>
      <c r="D1371" s="17" t="n">
        <f aca="false">(C1371-$B$4)/($B$6/SQRT($B$7))</f>
        <v>0.593575509644154</v>
      </c>
      <c r="E1371" s="0" t="str">
        <f aca="false">IF(OR(AND($B$9="superior",D1371&gt;$B$10),AND($B$9="inferior",D1371&lt;-$B$10)),"Rechazar H0","No rechazar H0")</f>
        <v>No rechazar H0</v>
      </c>
      <c r="F1371" s="0" t="str">
        <f aca="false">IF(AND(B1371="H0 verdadera",E1371="Rechazar H0"),"Error tipo I",IF(AND(B1371="Ha verdadera",E1371="No rechazar H0"),"Error tipo II","Decisión correcta"))</f>
        <v>Decisión correcta</v>
      </c>
    </row>
    <row r="1372" customFormat="false" ht="15" hidden="false" customHeight="false" outlineLevel="0" collapsed="false">
      <c r="A1372" s="0" t="n">
        <v>1351</v>
      </c>
      <c r="B1372" s="0" t="s">
        <v>85</v>
      </c>
      <c r="C1372" s="17" t="n">
        <v>0.257972518798563</v>
      </c>
      <c r="D1372" s="17" t="n">
        <f aca="false">(C1372-$B$4)/($B$6/SQRT($B$7))</f>
        <v>1.28986259399281</v>
      </c>
      <c r="E1372" s="0" t="str">
        <f aca="false">IF(OR(AND($B$9="superior",D1372&gt;$B$10),AND($B$9="inferior",D1372&lt;-$B$10)),"Rechazar H0","No rechazar H0")</f>
        <v>No rechazar H0</v>
      </c>
      <c r="F1372" s="0" t="str">
        <f aca="false">IF(AND(B1372="H0 verdadera",E1372="Rechazar H0"),"Error tipo I",IF(AND(B1372="Ha verdadera",E1372="No rechazar H0"),"Error tipo II","Decisión correcta"))</f>
        <v>Decisión correcta</v>
      </c>
    </row>
    <row r="1373" customFormat="false" ht="15" hidden="false" customHeight="false" outlineLevel="0" collapsed="false">
      <c r="A1373" s="0" t="n">
        <v>1352</v>
      </c>
      <c r="B1373" s="0" t="s">
        <v>85</v>
      </c>
      <c r="C1373" s="17" t="n">
        <v>0.130576555427407</v>
      </c>
      <c r="D1373" s="17" t="n">
        <f aca="false">(C1373-$B$4)/($B$6/SQRT($B$7))</f>
        <v>0.652882777137035</v>
      </c>
      <c r="E1373" s="0" t="str">
        <f aca="false">IF(OR(AND($B$9="superior",D1373&gt;$B$10),AND($B$9="inferior",D1373&lt;-$B$10)),"Rechazar H0","No rechazar H0")</f>
        <v>No rechazar H0</v>
      </c>
      <c r="F1373" s="0" t="str">
        <f aca="false">IF(AND(B1373="H0 verdadera",E1373="Rechazar H0"),"Error tipo I",IF(AND(B1373="Ha verdadera",E1373="No rechazar H0"),"Error tipo II","Decisión correcta"))</f>
        <v>Decisión correcta</v>
      </c>
    </row>
    <row r="1374" customFormat="false" ht="15" hidden="false" customHeight="false" outlineLevel="0" collapsed="false">
      <c r="A1374" s="0" t="n">
        <v>1353</v>
      </c>
      <c r="B1374" s="0" t="s">
        <v>85</v>
      </c>
      <c r="C1374" s="17" t="n">
        <v>0.0511411969099814</v>
      </c>
      <c r="D1374" s="17" t="n">
        <f aca="false">(C1374-$B$4)/($B$6/SQRT($B$7))</f>
        <v>0.255705984549907</v>
      </c>
      <c r="E1374" s="0" t="str">
        <f aca="false">IF(OR(AND($B$9="superior",D1374&gt;$B$10),AND($B$9="inferior",D1374&lt;-$B$10)),"Rechazar H0","No rechazar H0")</f>
        <v>No rechazar H0</v>
      </c>
      <c r="F1374" s="0" t="str">
        <f aca="false">IF(AND(B1374="H0 verdadera",E1374="Rechazar H0"),"Error tipo I",IF(AND(B1374="Ha verdadera",E1374="No rechazar H0"),"Error tipo II","Decisión correcta"))</f>
        <v>Decisión correcta</v>
      </c>
    </row>
    <row r="1375" customFormat="false" ht="15" hidden="false" customHeight="false" outlineLevel="0" collapsed="false">
      <c r="A1375" s="0" t="n">
        <v>1354</v>
      </c>
      <c r="B1375" s="0" t="s">
        <v>85</v>
      </c>
      <c r="C1375" s="17" t="n">
        <v>0.185694305265004</v>
      </c>
      <c r="D1375" s="17" t="n">
        <f aca="false">(C1375-$B$4)/($B$6/SQRT($B$7))</f>
        <v>0.928471526325022</v>
      </c>
      <c r="E1375" s="0" t="str">
        <f aca="false">IF(OR(AND($B$9="superior",D1375&gt;$B$10),AND($B$9="inferior",D1375&lt;-$B$10)),"Rechazar H0","No rechazar H0")</f>
        <v>No rechazar H0</v>
      </c>
      <c r="F1375" s="0" t="str">
        <f aca="false">IF(AND(B1375="H0 verdadera",E1375="Rechazar H0"),"Error tipo I",IF(AND(B1375="Ha verdadera",E1375="No rechazar H0"),"Error tipo II","Decisión correcta"))</f>
        <v>Decisión correcta</v>
      </c>
    </row>
    <row r="1376" customFormat="false" ht="15" hidden="false" customHeight="false" outlineLevel="0" collapsed="false">
      <c r="A1376" s="0" t="n">
        <v>1355</v>
      </c>
      <c r="B1376" s="0" t="s">
        <v>85</v>
      </c>
      <c r="C1376" s="17" t="n">
        <v>-0.136032744390526</v>
      </c>
      <c r="D1376" s="17" t="n">
        <f aca="false">(C1376-$B$4)/($B$6/SQRT($B$7))</f>
        <v>-0.68016372195263</v>
      </c>
      <c r="E1376" s="0" t="str">
        <f aca="false">IF(OR(AND($B$9="superior",D1376&gt;$B$10),AND($B$9="inferior",D1376&lt;-$B$10)),"Rechazar H0","No rechazar H0")</f>
        <v>No rechazar H0</v>
      </c>
      <c r="F1376" s="0" t="str">
        <f aca="false">IF(AND(B1376="H0 verdadera",E1376="Rechazar H0"),"Error tipo I",IF(AND(B1376="Ha verdadera",E1376="No rechazar H0"),"Error tipo II","Decisión correcta"))</f>
        <v>Decisión correcta</v>
      </c>
    </row>
    <row r="1377" customFormat="false" ht="15" hidden="false" customHeight="false" outlineLevel="0" collapsed="false">
      <c r="A1377" s="0" t="n">
        <v>1356</v>
      </c>
      <c r="B1377" s="0" t="s">
        <v>86</v>
      </c>
      <c r="C1377" s="17" t="n">
        <v>-0.728550057076078</v>
      </c>
      <c r="D1377" s="17" t="n">
        <f aca="false">(C1377-$B$4)/($B$6/SQRT($B$7))</f>
        <v>-3.64275028538039</v>
      </c>
      <c r="E1377" s="0" t="str">
        <f aca="false">IF(OR(AND($B$9="superior",D1377&gt;$B$10),AND($B$9="inferior",D1377&lt;-$B$10)),"Rechazar H0","No rechazar H0")</f>
        <v>Rechazar H0</v>
      </c>
      <c r="F1377" s="0" t="str">
        <f aca="false">IF(AND(B1377="H0 verdadera",E1377="Rechazar H0"),"Error tipo I",IF(AND(B1377="Ha verdadera",E1377="No rechazar H0"),"Error tipo II","Decisión correcta"))</f>
        <v>Decisión correcta</v>
      </c>
    </row>
    <row r="1378" customFormat="false" ht="15" hidden="false" customHeight="false" outlineLevel="0" collapsed="false">
      <c r="A1378" s="0" t="n">
        <v>1357</v>
      </c>
      <c r="B1378" s="0" t="s">
        <v>85</v>
      </c>
      <c r="C1378" s="17" t="n">
        <v>0.0356597952790711</v>
      </c>
      <c r="D1378" s="17" t="n">
        <f aca="false">(C1378-$B$4)/($B$6/SQRT($B$7))</f>
        <v>0.178298976395356</v>
      </c>
      <c r="E1378" s="0" t="str">
        <f aca="false">IF(OR(AND($B$9="superior",D1378&gt;$B$10),AND($B$9="inferior",D1378&lt;-$B$10)),"Rechazar H0","No rechazar H0")</f>
        <v>No rechazar H0</v>
      </c>
      <c r="F1378" s="0" t="str">
        <f aca="false">IF(AND(B1378="H0 verdadera",E1378="Rechazar H0"),"Error tipo I",IF(AND(B1378="Ha verdadera",E1378="No rechazar H0"),"Error tipo II","Decisión correcta"))</f>
        <v>Decisión correcta</v>
      </c>
    </row>
    <row r="1379" customFormat="false" ht="15" hidden="false" customHeight="false" outlineLevel="0" collapsed="false">
      <c r="A1379" s="0" t="n">
        <v>1358</v>
      </c>
      <c r="B1379" s="0" t="s">
        <v>85</v>
      </c>
      <c r="C1379" s="17" t="n">
        <v>-0.011839178719836</v>
      </c>
      <c r="D1379" s="17" t="n">
        <f aca="false">(C1379-$B$4)/($B$6/SQRT($B$7))</f>
        <v>-0.0591958935991801</v>
      </c>
      <c r="E1379" s="0" t="str">
        <f aca="false">IF(OR(AND($B$9="superior",D1379&gt;$B$10),AND($B$9="inferior",D1379&lt;-$B$10)),"Rechazar H0","No rechazar H0")</f>
        <v>No rechazar H0</v>
      </c>
      <c r="F1379" s="0" t="str">
        <f aca="false">IF(AND(B1379="H0 verdadera",E1379="Rechazar H0"),"Error tipo I",IF(AND(B1379="Ha verdadera",E1379="No rechazar H0"),"Error tipo II","Decisión correcta"))</f>
        <v>Decisión correcta</v>
      </c>
    </row>
    <row r="1380" customFormat="false" ht="15" hidden="false" customHeight="false" outlineLevel="0" collapsed="false">
      <c r="A1380" s="0" t="n">
        <v>1359</v>
      </c>
      <c r="B1380" s="0" t="s">
        <v>86</v>
      </c>
      <c r="C1380" s="17" t="n">
        <v>-0.552542604637294</v>
      </c>
      <c r="D1380" s="17" t="n">
        <f aca="false">(C1380-$B$4)/($B$6/SQRT($B$7))</f>
        <v>-2.76271302318647</v>
      </c>
      <c r="E1380" s="0" t="str">
        <f aca="false">IF(OR(AND($B$9="superior",D1380&gt;$B$10),AND($B$9="inferior",D1380&lt;-$B$10)),"Rechazar H0","No rechazar H0")</f>
        <v>Rechazar H0</v>
      </c>
      <c r="F1380" s="0" t="str">
        <f aca="false">IF(AND(B1380="H0 verdadera",E1380="Rechazar H0"),"Error tipo I",IF(AND(B1380="Ha verdadera",E1380="No rechazar H0"),"Error tipo II","Decisión correcta"))</f>
        <v>Decisión correcta</v>
      </c>
    </row>
    <row r="1381" customFormat="false" ht="15" hidden="false" customHeight="false" outlineLevel="0" collapsed="false">
      <c r="A1381" s="0" t="n">
        <v>1360</v>
      </c>
      <c r="B1381" s="0" t="s">
        <v>86</v>
      </c>
      <c r="C1381" s="17" t="n">
        <v>-0.315510732913125</v>
      </c>
      <c r="D1381" s="17" t="n">
        <f aca="false">(C1381-$B$4)/($B$6/SQRT($B$7))</f>
        <v>-1.57755366456562</v>
      </c>
      <c r="E1381" s="0" t="str">
        <f aca="false">IF(OR(AND($B$9="superior",D1381&gt;$B$10),AND($B$9="inferior",D1381&lt;-$B$10)),"Rechazar H0","No rechazar H0")</f>
        <v>No rechazar H0</v>
      </c>
      <c r="F1381" s="0" t="str">
        <f aca="false">IF(AND(B1381="H0 verdadera",E1381="Rechazar H0"),"Error tipo I",IF(AND(B1381="Ha verdadera",E1381="No rechazar H0"),"Error tipo II","Decisión correcta"))</f>
        <v>Error tipo II</v>
      </c>
    </row>
    <row r="1382" customFormat="false" ht="15" hidden="false" customHeight="false" outlineLevel="0" collapsed="false">
      <c r="A1382" s="0" t="n">
        <v>1361</v>
      </c>
      <c r="B1382" s="0" t="s">
        <v>86</v>
      </c>
      <c r="C1382" s="17" t="n">
        <v>-0.560718207225642</v>
      </c>
      <c r="D1382" s="17" t="n">
        <f aca="false">(C1382-$B$4)/($B$6/SQRT($B$7))</f>
        <v>-2.80359103612821</v>
      </c>
      <c r="E1382" s="0" t="str">
        <f aca="false">IF(OR(AND($B$9="superior",D1382&gt;$B$10),AND($B$9="inferior",D1382&lt;-$B$10)),"Rechazar H0","No rechazar H0")</f>
        <v>Rechazar H0</v>
      </c>
      <c r="F1382" s="0" t="str">
        <f aca="false">IF(AND(B1382="H0 verdadera",E1382="Rechazar H0"),"Error tipo I",IF(AND(B1382="Ha verdadera",E1382="No rechazar H0"),"Error tipo II","Decisión correcta"))</f>
        <v>Decisión correcta</v>
      </c>
    </row>
    <row r="1383" customFormat="false" ht="15" hidden="false" customHeight="false" outlineLevel="0" collapsed="false">
      <c r="A1383" s="0" t="n">
        <v>1362</v>
      </c>
      <c r="B1383" s="0" t="s">
        <v>86</v>
      </c>
      <c r="C1383" s="17" t="n">
        <v>-0.451580050851527</v>
      </c>
      <c r="D1383" s="17" t="n">
        <f aca="false">(C1383-$B$4)/($B$6/SQRT($B$7))</f>
        <v>-2.25790025425764</v>
      </c>
      <c r="E1383" s="0" t="str">
        <f aca="false">IF(OR(AND($B$9="superior",D1383&gt;$B$10),AND($B$9="inferior",D1383&lt;-$B$10)),"Rechazar H0","No rechazar H0")</f>
        <v>Rechazar H0</v>
      </c>
      <c r="F1383" s="0" t="str">
        <f aca="false">IF(AND(B1383="H0 verdadera",E1383="Rechazar H0"),"Error tipo I",IF(AND(B1383="Ha verdadera",E1383="No rechazar H0"),"Error tipo II","Decisión correcta"))</f>
        <v>Decisión correcta</v>
      </c>
    </row>
    <row r="1384" customFormat="false" ht="15" hidden="false" customHeight="false" outlineLevel="0" collapsed="false">
      <c r="A1384" s="0" t="n">
        <v>1363</v>
      </c>
      <c r="B1384" s="0" t="s">
        <v>85</v>
      </c>
      <c r="C1384" s="17" t="n">
        <v>0.127897854573468</v>
      </c>
      <c r="D1384" s="17" t="n">
        <f aca="false">(C1384-$B$4)/($B$6/SQRT($B$7))</f>
        <v>0.639489272867338</v>
      </c>
      <c r="E1384" s="0" t="str">
        <f aca="false">IF(OR(AND($B$9="superior",D1384&gt;$B$10),AND($B$9="inferior",D1384&lt;-$B$10)),"Rechazar H0","No rechazar H0")</f>
        <v>No rechazar H0</v>
      </c>
      <c r="F1384" s="0" t="str">
        <f aca="false">IF(AND(B1384="H0 verdadera",E1384="Rechazar H0"),"Error tipo I",IF(AND(B1384="Ha verdadera",E1384="No rechazar H0"),"Error tipo II","Decisión correcta"))</f>
        <v>Decisión correcta</v>
      </c>
    </row>
    <row r="1385" customFormat="false" ht="15" hidden="false" customHeight="false" outlineLevel="0" collapsed="false">
      <c r="A1385" s="0" t="n">
        <v>1364</v>
      </c>
      <c r="B1385" s="0" t="s">
        <v>86</v>
      </c>
      <c r="C1385" s="17" t="n">
        <v>-0.441018626837107</v>
      </c>
      <c r="D1385" s="17" t="n">
        <f aca="false">(C1385-$B$4)/($B$6/SQRT($B$7))</f>
        <v>-2.20509313418554</v>
      </c>
      <c r="E1385" s="0" t="str">
        <f aca="false">IF(OR(AND($B$9="superior",D1385&gt;$B$10),AND($B$9="inferior",D1385&lt;-$B$10)),"Rechazar H0","No rechazar H0")</f>
        <v>Rechazar H0</v>
      </c>
      <c r="F1385" s="0" t="str">
        <f aca="false">IF(AND(B1385="H0 verdadera",E1385="Rechazar H0"),"Error tipo I",IF(AND(B1385="Ha verdadera",E1385="No rechazar H0"),"Error tipo II","Decisión correcta"))</f>
        <v>Decisión correcta</v>
      </c>
    </row>
    <row r="1386" customFormat="false" ht="15" hidden="false" customHeight="false" outlineLevel="0" collapsed="false">
      <c r="A1386" s="0" t="n">
        <v>1365</v>
      </c>
      <c r="B1386" s="0" t="s">
        <v>86</v>
      </c>
      <c r="C1386" s="17" t="n">
        <v>-0.0266981687487466</v>
      </c>
      <c r="D1386" s="17" t="n">
        <f aca="false">(C1386-$B$4)/($B$6/SQRT($B$7))</f>
        <v>-0.133490843743733</v>
      </c>
      <c r="E1386" s="0" t="str">
        <f aca="false">IF(OR(AND($B$9="superior",D1386&gt;$B$10),AND($B$9="inferior",D1386&lt;-$B$10)),"Rechazar H0","No rechazar H0")</f>
        <v>No rechazar H0</v>
      </c>
      <c r="F1386" s="0" t="str">
        <f aca="false">IF(AND(B1386="H0 verdadera",E1386="Rechazar H0"),"Error tipo I",IF(AND(B1386="Ha verdadera",E1386="No rechazar H0"),"Error tipo II","Decisión correcta"))</f>
        <v>Error tipo II</v>
      </c>
    </row>
    <row r="1387" customFormat="false" ht="15" hidden="false" customHeight="false" outlineLevel="0" collapsed="false">
      <c r="A1387" s="0" t="n">
        <v>1366</v>
      </c>
      <c r="B1387" s="0" t="s">
        <v>86</v>
      </c>
      <c r="C1387" s="17" t="n">
        <v>-0.440180298825316</v>
      </c>
      <c r="D1387" s="17" t="n">
        <f aca="false">(C1387-$B$4)/($B$6/SQRT($B$7))</f>
        <v>-2.20090149412658</v>
      </c>
      <c r="E1387" s="0" t="str">
        <f aca="false">IF(OR(AND($B$9="superior",D1387&gt;$B$10),AND($B$9="inferior",D1387&lt;-$B$10)),"Rechazar H0","No rechazar H0")</f>
        <v>Rechazar H0</v>
      </c>
      <c r="F1387" s="0" t="str">
        <f aca="false">IF(AND(B1387="H0 verdadera",E1387="Rechazar H0"),"Error tipo I",IF(AND(B1387="Ha verdadera",E1387="No rechazar H0"),"Error tipo II","Decisión correcta"))</f>
        <v>Decisión correcta</v>
      </c>
    </row>
    <row r="1388" customFormat="false" ht="15" hidden="false" customHeight="false" outlineLevel="0" collapsed="false">
      <c r="A1388" s="0" t="n">
        <v>1367</v>
      </c>
      <c r="B1388" s="0" t="s">
        <v>85</v>
      </c>
      <c r="C1388" s="17" t="n">
        <v>0.0692155038720247</v>
      </c>
      <c r="D1388" s="17" t="n">
        <f aca="false">(C1388-$B$4)/($B$6/SQRT($B$7))</f>
        <v>0.346077519360124</v>
      </c>
      <c r="E1388" s="0" t="str">
        <f aca="false">IF(OR(AND($B$9="superior",D1388&gt;$B$10),AND($B$9="inferior",D1388&lt;-$B$10)),"Rechazar H0","No rechazar H0")</f>
        <v>No rechazar H0</v>
      </c>
      <c r="F1388" s="0" t="str">
        <f aca="false">IF(AND(B1388="H0 verdadera",E1388="Rechazar H0"),"Error tipo I",IF(AND(B1388="Ha verdadera",E1388="No rechazar H0"),"Error tipo II","Decisión correcta"))</f>
        <v>Decisión correcta</v>
      </c>
    </row>
    <row r="1389" customFormat="false" ht="15" hidden="false" customHeight="false" outlineLevel="0" collapsed="false">
      <c r="A1389" s="0" t="n">
        <v>1368</v>
      </c>
      <c r="B1389" s="0" t="s">
        <v>85</v>
      </c>
      <c r="C1389" s="17" t="n">
        <v>-0.00706821576638899</v>
      </c>
      <c r="D1389" s="17" t="n">
        <f aca="false">(C1389-$B$4)/($B$6/SQRT($B$7))</f>
        <v>-0.035341078831945</v>
      </c>
      <c r="E1389" s="0" t="str">
        <f aca="false">IF(OR(AND($B$9="superior",D1389&gt;$B$10),AND($B$9="inferior",D1389&lt;-$B$10)),"Rechazar H0","No rechazar H0")</f>
        <v>No rechazar H0</v>
      </c>
      <c r="F1389" s="0" t="str">
        <f aca="false">IF(AND(B1389="H0 verdadera",E1389="Rechazar H0"),"Error tipo I",IF(AND(B1389="Ha verdadera",E1389="No rechazar H0"),"Error tipo II","Decisión correcta"))</f>
        <v>Decisión correcta</v>
      </c>
    </row>
    <row r="1390" customFormat="false" ht="15" hidden="false" customHeight="false" outlineLevel="0" collapsed="false">
      <c r="A1390" s="0" t="n">
        <v>1369</v>
      </c>
      <c r="B1390" s="0" t="s">
        <v>86</v>
      </c>
      <c r="C1390" s="17" t="n">
        <v>-0.238132080035152</v>
      </c>
      <c r="D1390" s="17" t="n">
        <f aca="false">(C1390-$B$4)/($B$6/SQRT($B$7))</f>
        <v>-1.19066040017576</v>
      </c>
      <c r="E1390" s="0" t="str">
        <f aca="false">IF(OR(AND($B$9="superior",D1390&gt;$B$10),AND($B$9="inferior",D1390&lt;-$B$10)),"Rechazar H0","No rechazar H0")</f>
        <v>No rechazar H0</v>
      </c>
      <c r="F1390" s="0" t="str">
        <f aca="false">IF(AND(B1390="H0 verdadera",E1390="Rechazar H0"),"Error tipo I",IF(AND(B1390="Ha verdadera",E1390="No rechazar H0"),"Error tipo II","Decisión correcta"))</f>
        <v>Error tipo II</v>
      </c>
    </row>
    <row r="1391" customFormat="false" ht="15" hidden="false" customHeight="false" outlineLevel="0" collapsed="false">
      <c r="A1391" s="0" t="n">
        <v>1370</v>
      </c>
      <c r="B1391" s="0" t="s">
        <v>85</v>
      </c>
      <c r="C1391" s="17" t="n">
        <v>-0.112076339349868</v>
      </c>
      <c r="D1391" s="17" t="n">
        <f aca="false">(C1391-$B$4)/($B$6/SQRT($B$7))</f>
        <v>-0.56038169674934</v>
      </c>
      <c r="E1391" s="0" t="str">
        <f aca="false">IF(OR(AND($B$9="superior",D1391&gt;$B$10),AND($B$9="inferior",D1391&lt;-$B$10)),"Rechazar H0","No rechazar H0")</f>
        <v>No rechazar H0</v>
      </c>
      <c r="F1391" s="0" t="str">
        <f aca="false">IF(AND(B1391="H0 verdadera",E1391="Rechazar H0"),"Error tipo I",IF(AND(B1391="Ha verdadera",E1391="No rechazar H0"),"Error tipo II","Decisión correcta"))</f>
        <v>Decisión correcta</v>
      </c>
    </row>
    <row r="1392" customFormat="false" ht="15" hidden="false" customHeight="false" outlineLevel="0" collapsed="false">
      <c r="A1392" s="0" t="n">
        <v>1371</v>
      </c>
      <c r="B1392" s="0" t="s">
        <v>86</v>
      </c>
      <c r="C1392" s="17" t="n">
        <v>-0.572954574268194</v>
      </c>
      <c r="D1392" s="17" t="n">
        <f aca="false">(C1392-$B$4)/($B$6/SQRT($B$7))</f>
        <v>-2.86477287134097</v>
      </c>
      <c r="E1392" s="0" t="str">
        <f aca="false">IF(OR(AND($B$9="superior",D1392&gt;$B$10),AND($B$9="inferior",D1392&lt;-$B$10)),"Rechazar H0","No rechazar H0")</f>
        <v>Rechazar H0</v>
      </c>
      <c r="F1392" s="0" t="str">
        <f aca="false">IF(AND(B1392="H0 verdadera",E1392="Rechazar H0"),"Error tipo I",IF(AND(B1392="Ha verdadera",E1392="No rechazar H0"),"Error tipo II","Decisión correcta"))</f>
        <v>Decisión correcta</v>
      </c>
    </row>
    <row r="1393" customFormat="false" ht="15" hidden="false" customHeight="false" outlineLevel="0" collapsed="false">
      <c r="A1393" s="0" t="n">
        <v>1372</v>
      </c>
      <c r="B1393" s="0" t="s">
        <v>86</v>
      </c>
      <c r="C1393" s="17" t="n">
        <v>-0.3150224340869</v>
      </c>
      <c r="D1393" s="17" t="n">
        <f aca="false">(C1393-$B$4)/($B$6/SQRT($B$7))</f>
        <v>-1.5751121704345</v>
      </c>
      <c r="E1393" s="0" t="str">
        <f aca="false">IF(OR(AND($B$9="superior",D1393&gt;$B$10),AND($B$9="inferior",D1393&lt;-$B$10)),"Rechazar H0","No rechazar H0")</f>
        <v>No rechazar H0</v>
      </c>
      <c r="F1393" s="0" t="str">
        <f aca="false">IF(AND(B1393="H0 verdadera",E1393="Rechazar H0"),"Error tipo I",IF(AND(B1393="Ha verdadera",E1393="No rechazar H0"),"Error tipo II","Decisión correcta"))</f>
        <v>Error tipo II</v>
      </c>
    </row>
    <row r="1394" customFormat="false" ht="15" hidden="false" customHeight="false" outlineLevel="0" collapsed="false">
      <c r="A1394" s="0" t="n">
        <v>1373</v>
      </c>
      <c r="B1394" s="0" t="s">
        <v>85</v>
      </c>
      <c r="C1394" s="17" t="n">
        <v>-0.0778894589367115</v>
      </c>
      <c r="D1394" s="17" t="n">
        <f aca="false">(C1394-$B$4)/($B$6/SQRT($B$7))</f>
        <v>-0.389447294683558</v>
      </c>
      <c r="E1394" s="0" t="str">
        <f aca="false">IF(OR(AND($B$9="superior",D1394&gt;$B$10),AND($B$9="inferior",D1394&lt;-$B$10)),"Rechazar H0","No rechazar H0")</f>
        <v>No rechazar H0</v>
      </c>
      <c r="F1394" s="0" t="str">
        <f aca="false">IF(AND(B1394="H0 verdadera",E1394="Rechazar H0"),"Error tipo I",IF(AND(B1394="Ha verdadera",E1394="No rechazar H0"),"Error tipo II","Decisión correcta"))</f>
        <v>Decisión correcta</v>
      </c>
    </row>
    <row r="1395" customFormat="false" ht="15" hidden="false" customHeight="false" outlineLevel="0" collapsed="false">
      <c r="A1395" s="0" t="n">
        <v>1374</v>
      </c>
      <c r="B1395" s="0" t="s">
        <v>86</v>
      </c>
      <c r="C1395" s="17" t="n">
        <v>-0.45756857852715</v>
      </c>
      <c r="D1395" s="17" t="n">
        <f aca="false">(C1395-$B$4)/($B$6/SQRT($B$7))</f>
        <v>-2.28784289263575</v>
      </c>
      <c r="E1395" s="0" t="str">
        <f aca="false">IF(OR(AND($B$9="superior",D1395&gt;$B$10),AND($B$9="inferior",D1395&lt;-$B$10)),"Rechazar H0","No rechazar H0")</f>
        <v>Rechazar H0</v>
      </c>
      <c r="F1395" s="0" t="str">
        <f aca="false">IF(AND(B1395="H0 verdadera",E1395="Rechazar H0"),"Error tipo I",IF(AND(B1395="Ha verdadera",E1395="No rechazar H0"),"Error tipo II","Decisión correcta"))</f>
        <v>Decisión correcta</v>
      </c>
    </row>
    <row r="1396" customFormat="false" ht="15" hidden="false" customHeight="false" outlineLevel="0" collapsed="false">
      <c r="A1396" s="0" t="n">
        <v>1375</v>
      </c>
      <c r="B1396" s="0" t="s">
        <v>85</v>
      </c>
      <c r="C1396" s="17" t="n">
        <v>0.19764875813113</v>
      </c>
      <c r="D1396" s="17" t="n">
        <f aca="false">(C1396-$B$4)/($B$6/SQRT($B$7))</f>
        <v>0.988243790655652</v>
      </c>
      <c r="E1396" s="0" t="str">
        <f aca="false">IF(OR(AND($B$9="superior",D1396&gt;$B$10),AND($B$9="inferior",D1396&lt;-$B$10)),"Rechazar H0","No rechazar H0")</f>
        <v>No rechazar H0</v>
      </c>
      <c r="F1396" s="0" t="str">
        <f aca="false">IF(AND(B1396="H0 verdadera",E1396="Rechazar H0"),"Error tipo I",IF(AND(B1396="Ha verdadera",E1396="No rechazar H0"),"Error tipo II","Decisión correcta"))</f>
        <v>Decisión correcta</v>
      </c>
    </row>
    <row r="1397" customFormat="false" ht="15" hidden="false" customHeight="false" outlineLevel="0" collapsed="false">
      <c r="A1397" s="0" t="n">
        <v>1376</v>
      </c>
      <c r="B1397" s="0" t="s">
        <v>86</v>
      </c>
      <c r="C1397" s="17" t="n">
        <v>-0.433082412516454</v>
      </c>
      <c r="D1397" s="17" t="n">
        <f aca="false">(C1397-$B$4)/($B$6/SQRT($B$7))</f>
        <v>-2.16541206258227</v>
      </c>
      <c r="E1397" s="0" t="str">
        <f aca="false">IF(OR(AND($B$9="superior",D1397&gt;$B$10),AND($B$9="inferior",D1397&lt;-$B$10)),"Rechazar H0","No rechazar H0")</f>
        <v>Rechazar H0</v>
      </c>
      <c r="F1397" s="0" t="str">
        <f aca="false">IF(AND(B1397="H0 verdadera",E1397="Rechazar H0"),"Error tipo I",IF(AND(B1397="Ha verdadera",E1397="No rechazar H0"),"Error tipo II","Decisión correcta"))</f>
        <v>Decisión correcta</v>
      </c>
    </row>
    <row r="1398" customFormat="false" ht="15" hidden="false" customHeight="false" outlineLevel="0" collapsed="false">
      <c r="A1398" s="0" t="n">
        <v>1377</v>
      </c>
      <c r="B1398" s="0" t="s">
        <v>86</v>
      </c>
      <c r="C1398" s="17" t="n">
        <v>-0.632276727630533</v>
      </c>
      <c r="D1398" s="17" t="n">
        <f aca="false">(C1398-$B$4)/($B$6/SQRT($B$7))</f>
        <v>-3.16138363815267</v>
      </c>
      <c r="E1398" s="0" t="str">
        <f aca="false">IF(OR(AND($B$9="superior",D1398&gt;$B$10),AND($B$9="inferior",D1398&lt;-$B$10)),"Rechazar H0","No rechazar H0")</f>
        <v>Rechazar H0</v>
      </c>
      <c r="F1398" s="0" t="str">
        <f aca="false">IF(AND(B1398="H0 verdadera",E1398="Rechazar H0"),"Error tipo I",IF(AND(B1398="Ha verdadera",E1398="No rechazar H0"),"Error tipo II","Decisión correcta"))</f>
        <v>Decisión correcta</v>
      </c>
    </row>
    <row r="1399" customFormat="false" ht="15" hidden="false" customHeight="false" outlineLevel="0" collapsed="false">
      <c r="A1399" s="0" t="n">
        <v>1378</v>
      </c>
      <c r="B1399" s="0" t="s">
        <v>86</v>
      </c>
      <c r="C1399" s="17" t="n">
        <v>-0.590957429576471</v>
      </c>
      <c r="D1399" s="17" t="n">
        <f aca="false">(C1399-$B$4)/($B$6/SQRT($B$7))</f>
        <v>-2.95478714788235</v>
      </c>
      <c r="E1399" s="0" t="str">
        <f aca="false">IF(OR(AND($B$9="superior",D1399&gt;$B$10),AND($B$9="inferior",D1399&lt;-$B$10)),"Rechazar H0","No rechazar H0")</f>
        <v>Rechazar H0</v>
      </c>
      <c r="F1399" s="0" t="str">
        <f aca="false">IF(AND(B1399="H0 verdadera",E1399="Rechazar H0"),"Error tipo I",IF(AND(B1399="Ha verdadera",E1399="No rechazar H0"),"Error tipo II","Decisión correcta"))</f>
        <v>Decisión correcta</v>
      </c>
    </row>
    <row r="1400" customFormat="false" ht="15" hidden="false" customHeight="false" outlineLevel="0" collapsed="false">
      <c r="A1400" s="0" t="n">
        <v>1379</v>
      </c>
      <c r="B1400" s="0" t="s">
        <v>85</v>
      </c>
      <c r="C1400" s="17" t="n">
        <v>-0.0387950964730667</v>
      </c>
      <c r="D1400" s="17" t="n">
        <f aca="false">(C1400-$B$4)/($B$6/SQRT($B$7))</f>
        <v>-0.193975482365333</v>
      </c>
      <c r="E1400" s="0" t="str">
        <f aca="false">IF(OR(AND($B$9="superior",D1400&gt;$B$10),AND($B$9="inferior",D1400&lt;-$B$10)),"Rechazar H0","No rechazar H0")</f>
        <v>No rechazar H0</v>
      </c>
      <c r="F1400" s="0" t="str">
        <f aca="false">IF(AND(B1400="H0 verdadera",E1400="Rechazar H0"),"Error tipo I",IF(AND(B1400="Ha verdadera",E1400="No rechazar H0"),"Error tipo II","Decisión correcta"))</f>
        <v>Decisión correcta</v>
      </c>
    </row>
    <row r="1401" customFormat="false" ht="15" hidden="false" customHeight="false" outlineLevel="0" collapsed="false">
      <c r="A1401" s="0" t="n">
        <v>1380</v>
      </c>
      <c r="B1401" s="0" t="s">
        <v>85</v>
      </c>
      <c r="C1401" s="17" t="n">
        <v>-0.00566174745410338</v>
      </c>
      <c r="D1401" s="17" t="n">
        <f aca="false">(C1401-$B$4)/($B$6/SQRT($B$7))</f>
        <v>-0.0283087372705169</v>
      </c>
      <c r="E1401" s="0" t="str">
        <f aca="false">IF(OR(AND($B$9="superior",D1401&gt;$B$10),AND($B$9="inferior",D1401&lt;-$B$10)),"Rechazar H0","No rechazar H0")</f>
        <v>No rechazar H0</v>
      </c>
      <c r="F1401" s="0" t="str">
        <f aca="false">IF(AND(B1401="H0 verdadera",E1401="Rechazar H0"),"Error tipo I",IF(AND(B1401="Ha verdadera",E1401="No rechazar H0"),"Error tipo II","Decisión correcta"))</f>
        <v>Decisión correcta</v>
      </c>
    </row>
    <row r="1402" customFormat="false" ht="15" hidden="false" customHeight="false" outlineLevel="0" collapsed="false">
      <c r="A1402" s="0" t="n">
        <v>1381</v>
      </c>
      <c r="B1402" s="0" t="s">
        <v>85</v>
      </c>
      <c r="C1402" s="17" t="n">
        <v>0.0974248539460742</v>
      </c>
      <c r="D1402" s="17" t="n">
        <f aca="false">(C1402-$B$4)/($B$6/SQRT($B$7))</f>
        <v>0.487124269730371</v>
      </c>
      <c r="E1402" s="0" t="str">
        <f aca="false">IF(OR(AND($B$9="superior",D1402&gt;$B$10),AND($B$9="inferior",D1402&lt;-$B$10)),"Rechazar H0","No rechazar H0")</f>
        <v>No rechazar H0</v>
      </c>
      <c r="F1402" s="0" t="str">
        <f aca="false">IF(AND(B1402="H0 verdadera",E1402="Rechazar H0"),"Error tipo I",IF(AND(B1402="Ha verdadera",E1402="No rechazar H0"),"Error tipo II","Decisión correcta"))</f>
        <v>Decisión correcta</v>
      </c>
    </row>
    <row r="1403" customFormat="false" ht="15" hidden="false" customHeight="false" outlineLevel="0" collapsed="false">
      <c r="A1403" s="0" t="n">
        <v>1382</v>
      </c>
      <c r="B1403" s="0" t="s">
        <v>86</v>
      </c>
      <c r="C1403" s="17" t="n">
        <v>-0.272122928698708</v>
      </c>
      <c r="D1403" s="17" t="n">
        <f aca="false">(C1403-$B$4)/($B$6/SQRT($B$7))</f>
        <v>-1.36061464349354</v>
      </c>
      <c r="E1403" s="0" t="str">
        <f aca="false">IF(OR(AND($B$9="superior",D1403&gt;$B$10),AND($B$9="inferior",D1403&lt;-$B$10)),"Rechazar H0","No rechazar H0")</f>
        <v>No rechazar H0</v>
      </c>
      <c r="F1403" s="0" t="str">
        <f aca="false">IF(AND(B1403="H0 verdadera",E1403="Rechazar H0"),"Error tipo I",IF(AND(B1403="Ha verdadera",E1403="No rechazar H0"),"Error tipo II","Decisión correcta"))</f>
        <v>Error tipo II</v>
      </c>
    </row>
    <row r="1404" customFormat="false" ht="15" hidden="false" customHeight="false" outlineLevel="0" collapsed="false">
      <c r="A1404" s="0" t="n">
        <v>1383</v>
      </c>
      <c r="B1404" s="0" t="s">
        <v>86</v>
      </c>
      <c r="C1404" s="17" t="n">
        <v>-0.442629842763351</v>
      </c>
      <c r="D1404" s="17" t="n">
        <f aca="false">(C1404-$B$4)/($B$6/SQRT($B$7))</f>
        <v>-2.21314921381676</v>
      </c>
      <c r="E1404" s="0" t="str">
        <f aca="false">IF(OR(AND($B$9="superior",D1404&gt;$B$10),AND($B$9="inferior",D1404&lt;-$B$10)),"Rechazar H0","No rechazar H0")</f>
        <v>Rechazar H0</v>
      </c>
      <c r="F1404" s="0" t="str">
        <f aca="false">IF(AND(B1404="H0 verdadera",E1404="Rechazar H0"),"Error tipo I",IF(AND(B1404="Ha verdadera",E1404="No rechazar H0"),"Error tipo II","Decisión correcta"))</f>
        <v>Decisión correcta</v>
      </c>
    </row>
    <row r="1405" customFormat="false" ht="15" hidden="false" customHeight="false" outlineLevel="0" collapsed="false">
      <c r="A1405" s="0" t="n">
        <v>1384</v>
      </c>
      <c r="B1405" s="0" t="s">
        <v>85</v>
      </c>
      <c r="C1405" s="17" t="n">
        <v>-0.0320607786062513</v>
      </c>
      <c r="D1405" s="17" t="n">
        <f aca="false">(C1405-$B$4)/($B$6/SQRT($B$7))</f>
        <v>-0.160303893031257</v>
      </c>
      <c r="E1405" s="0" t="str">
        <f aca="false">IF(OR(AND($B$9="superior",D1405&gt;$B$10),AND($B$9="inferior",D1405&lt;-$B$10)),"Rechazar H0","No rechazar H0")</f>
        <v>No rechazar H0</v>
      </c>
      <c r="F1405" s="0" t="str">
        <f aca="false">IF(AND(B1405="H0 verdadera",E1405="Rechazar H0"),"Error tipo I",IF(AND(B1405="Ha verdadera",E1405="No rechazar H0"),"Error tipo II","Decisión correcta"))</f>
        <v>Decisión correcta</v>
      </c>
    </row>
    <row r="1406" customFormat="false" ht="15" hidden="false" customHeight="false" outlineLevel="0" collapsed="false">
      <c r="A1406" s="0" t="n">
        <v>1385</v>
      </c>
      <c r="B1406" s="0" t="s">
        <v>85</v>
      </c>
      <c r="C1406" s="17" t="n">
        <v>-0.411233295980454</v>
      </c>
      <c r="D1406" s="17" t="n">
        <f aca="false">(C1406-$B$4)/($B$6/SQRT($B$7))</f>
        <v>-2.05616647990227</v>
      </c>
      <c r="E1406" s="0" t="str">
        <f aca="false">IF(OR(AND($B$9="superior",D1406&gt;$B$10),AND($B$9="inferior",D1406&lt;-$B$10)),"Rechazar H0","No rechazar H0")</f>
        <v>Rechazar H0</v>
      </c>
      <c r="F1406" s="0" t="str">
        <f aca="false">IF(AND(B1406="H0 verdadera",E1406="Rechazar H0"),"Error tipo I",IF(AND(B1406="Ha verdadera",E1406="No rechazar H0"),"Error tipo II","Decisión correcta"))</f>
        <v>Error tipo I</v>
      </c>
    </row>
    <row r="1407" customFormat="false" ht="15" hidden="false" customHeight="false" outlineLevel="0" collapsed="false">
      <c r="A1407" s="0" t="n">
        <v>1386</v>
      </c>
      <c r="B1407" s="0" t="s">
        <v>86</v>
      </c>
      <c r="C1407" s="17" t="n">
        <v>-0.465052777128912</v>
      </c>
      <c r="D1407" s="17" t="n">
        <f aca="false">(C1407-$B$4)/($B$6/SQRT($B$7))</f>
        <v>-2.32526388564456</v>
      </c>
      <c r="E1407" s="0" t="str">
        <f aca="false">IF(OR(AND($B$9="superior",D1407&gt;$B$10),AND($B$9="inferior",D1407&lt;-$B$10)),"Rechazar H0","No rechazar H0")</f>
        <v>Rechazar H0</v>
      </c>
      <c r="F1407" s="0" t="str">
        <f aca="false">IF(AND(B1407="H0 verdadera",E1407="Rechazar H0"),"Error tipo I",IF(AND(B1407="Ha verdadera",E1407="No rechazar H0"),"Error tipo II","Decisión correcta"))</f>
        <v>Decisión correcta</v>
      </c>
    </row>
    <row r="1408" customFormat="false" ht="15" hidden="false" customHeight="false" outlineLevel="0" collapsed="false">
      <c r="A1408" s="0" t="n">
        <v>1387</v>
      </c>
      <c r="B1408" s="0" t="s">
        <v>85</v>
      </c>
      <c r="C1408" s="17" t="n">
        <v>-0.498827494409879</v>
      </c>
      <c r="D1408" s="17" t="n">
        <f aca="false">(C1408-$B$4)/($B$6/SQRT($B$7))</f>
        <v>-2.49413747204939</v>
      </c>
      <c r="E1408" s="0" t="str">
        <f aca="false">IF(OR(AND($B$9="superior",D1408&gt;$B$10),AND($B$9="inferior",D1408&lt;-$B$10)),"Rechazar H0","No rechazar H0")</f>
        <v>Rechazar H0</v>
      </c>
      <c r="F1408" s="0" t="str">
        <f aca="false">IF(AND(B1408="H0 verdadera",E1408="Rechazar H0"),"Error tipo I",IF(AND(B1408="Ha verdadera",E1408="No rechazar H0"),"Error tipo II","Decisión correcta"))</f>
        <v>Error tipo I</v>
      </c>
    </row>
    <row r="1409" customFormat="false" ht="15" hidden="false" customHeight="false" outlineLevel="0" collapsed="false">
      <c r="A1409" s="0" t="n">
        <v>1388</v>
      </c>
      <c r="B1409" s="0" t="s">
        <v>86</v>
      </c>
      <c r="C1409" s="17" t="n">
        <v>-0.341307938987246</v>
      </c>
      <c r="D1409" s="17" t="n">
        <f aca="false">(C1409-$B$4)/($B$6/SQRT($B$7))</f>
        <v>-1.70653969493623</v>
      </c>
      <c r="E1409" s="0" t="str">
        <f aca="false">IF(OR(AND($B$9="superior",D1409&gt;$B$10),AND($B$9="inferior",D1409&lt;-$B$10)),"Rechazar H0","No rechazar H0")</f>
        <v>Rechazar H0</v>
      </c>
      <c r="F1409" s="0" t="str">
        <f aca="false">IF(AND(B1409="H0 verdadera",E1409="Rechazar H0"),"Error tipo I",IF(AND(B1409="Ha verdadera",E1409="No rechazar H0"),"Error tipo II","Decisión correcta"))</f>
        <v>Decisión correcta</v>
      </c>
    </row>
    <row r="1410" customFormat="false" ht="15" hidden="false" customHeight="false" outlineLevel="0" collapsed="false">
      <c r="A1410" s="0" t="n">
        <v>1389</v>
      </c>
      <c r="B1410" s="0" t="s">
        <v>86</v>
      </c>
      <c r="C1410" s="17" t="n">
        <v>-0.631149540814623</v>
      </c>
      <c r="D1410" s="17" t="n">
        <f aca="false">(C1410-$B$4)/($B$6/SQRT($B$7))</f>
        <v>-3.15574770407312</v>
      </c>
      <c r="E1410" s="0" t="str">
        <f aca="false">IF(OR(AND($B$9="superior",D1410&gt;$B$10),AND($B$9="inferior",D1410&lt;-$B$10)),"Rechazar H0","No rechazar H0")</f>
        <v>Rechazar H0</v>
      </c>
      <c r="F1410" s="0" t="str">
        <f aca="false">IF(AND(B1410="H0 verdadera",E1410="Rechazar H0"),"Error tipo I",IF(AND(B1410="Ha verdadera",E1410="No rechazar H0"),"Error tipo II","Decisión correcta"))</f>
        <v>Decisión correcta</v>
      </c>
    </row>
    <row r="1411" customFormat="false" ht="15" hidden="false" customHeight="false" outlineLevel="0" collapsed="false">
      <c r="A1411" s="0" t="n">
        <v>1390</v>
      </c>
      <c r="B1411" s="0" t="s">
        <v>86</v>
      </c>
      <c r="C1411" s="17" t="n">
        <v>-0.241705506609998</v>
      </c>
      <c r="D1411" s="17" t="n">
        <f aca="false">(C1411-$B$4)/($B$6/SQRT($B$7))</f>
        <v>-1.20852753304999</v>
      </c>
      <c r="E1411" s="0" t="str">
        <f aca="false">IF(OR(AND($B$9="superior",D1411&gt;$B$10),AND($B$9="inferior",D1411&lt;-$B$10)),"Rechazar H0","No rechazar H0")</f>
        <v>No rechazar H0</v>
      </c>
      <c r="F1411" s="0" t="str">
        <f aca="false">IF(AND(B1411="H0 verdadera",E1411="Rechazar H0"),"Error tipo I",IF(AND(B1411="Ha verdadera",E1411="No rechazar H0"),"Error tipo II","Decisión correcta"))</f>
        <v>Error tipo II</v>
      </c>
    </row>
    <row r="1412" customFormat="false" ht="15" hidden="false" customHeight="false" outlineLevel="0" collapsed="false">
      <c r="A1412" s="0" t="n">
        <v>1391</v>
      </c>
      <c r="B1412" s="0" t="s">
        <v>85</v>
      </c>
      <c r="C1412" s="17" t="n">
        <v>-0.368279582889946</v>
      </c>
      <c r="D1412" s="17" t="n">
        <f aca="false">(C1412-$B$4)/($B$6/SQRT($B$7))</f>
        <v>-1.84139791444973</v>
      </c>
      <c r="E1412" s="0" t="str">
        <f aca="false">IF(OR(AND($B$9="superior",D1412&gt;$B$10),AND($B$9="inferior",D1412&lt;-$B$10)),"Rechazar H0","No rechazar H0")</f>
        <v>Rechazar H0</v>
      </c>
      <c r="F1412" s="0" t="str">
        <f aca="false">IF(AND(B1412="H0 verdadera",E1412="Rechazar H0"),"Error tipo I",IF(AND(B1412="Ha verdadera",E1412="No rechazar H0"),"Error tipo II","Decisión correcta"))</f>
        <v>Error tipo I</v>
      </c>
    </row>
    <row r="1413" customFormat="false" ht="15" hidden="false" customHeight="false" outlineLevel="0" collapsed="false">
      <c r="A1413" s="0" t="n">
        <v>1392</v>
      </c>
      <c r="B1413" s="0" t="s">
        <v>86</v>
      </c>
      <c r="C1413" s="17" t="n">
        <v>-0.528479968773553</v>
      </c>
      <c r="D1413" s="17" t="n">
        <f aca="false">(C1413-$B$4)/($B$6/SQRT($B$7))</f>
        <v>-2.64239984386776</v>
      </c>
      <c r="E1413" s="0" t="str">
        <f aca="false">IF(OR(AND($B$9="superior",D1413&gt;$B$10),AND($B$9="inferior",D1413&lt;-$B$10)),"Rechazar H0","No rechazar H0")</f>
        <v>Rechazar H0</v>
      </c>
      <c r="F1413" s="0" t="str">
        <f aca="false">IF(AND(B1413="H0 verdadera",E1413="Rechazar H0"),"Error tipo I",IF(AND(B1413="Ha verdadera",E1413="No rechazar H0"),"Error tipo II","Decisión correcta"))</f>
        <v>Decisión correcta</v>
      </c>
    </row>
    <row r="1414" customFormat="false" ht="15" hidden="false" customHeight="false" outlineLevel="0" collapsed="false">
      <c r="A1414" s="0" t="n">
        <v>1393</v>
      </c>
      <c r="B1414" s="0" t="s">
        <v>85</v>
      </c>
      <c r="C1414" s="17" t="n">
        <v>-0.0644440721732036</v>
      </c>
      <c r="D1414" s="17" t="n">
        <f aca="false">(C1414-$B$4)/($B$6/SQRT($B$7))</f>
        <v>-0.322220360866018</v>
      </c>
      <c r="E1414" s="0" t="str">
        <f aca="false">IF(OR(AND($B$9="superior",D1414&gt;$B$10),AND($B$9="inferior",D1414&lt;-$B$10)),"Rechazar H0","No rechazar H0")</f>
        <v>No rechazar H0</v>
      </c>
      <c r="F1414" s="0" t="str">
        <f aca="false">IF(AND(B1414="H0 verdadera",E1414="Rechazar H0"),"Error tipo I",IF(AND(B1414="Ha verdadera",E1414="No rechazar H0"),"Error tipo II","Decisión correcta"))</f>
        <v>Decisión correcta</v>
      </c>
    </row>
    <row r="1415" customFormat="false" ht="15" hidden="false" customHeight="false" outlineLevel="0" collapsed="false">
      <c r="A1415" s="0" t="n">
        <v>1394</v>
      </c>
      <c r="B1415" s="0" t="s">
        <v>85</v>
      </c>
      <c r="C1415" s="17" t="n">
        <v>-0.000858670755390336</v>
      </c>
      <c r="D1415" s="17" t="n">
        <f aca="false">(C1415-$B$4)/($B$6/SQRT($B$7))</f>
        <v>-0.00429335377695168</v>
      </c>
      <c r="E1415" s="0" t="str">
        <f aca="false">IF(OR(AND($B$9="superior",D1415&gt;$B$10),AND($B$9="inferior",D1415&lt;-$B$10)),"Rechazar H0","No rechazar H0")</f>
        <v>No rechazar H0</v>
      </c>
      <c r="F1415" s="0" t="str">
        <f aca="false">IF(AND(B1415="H0 verdadera",E1415="Rechazar H0"),"Error tipo I",IF(AND(B1415="Ha verdadera",E1415="No rechazar H0"),"Error tipo II","Decisión correcta"))</f>
        <v>Decisión correcta</v>
      </c>
    </row>
    <row r="1416" customFormat="false" ht="15" hidden="false" customHeight="false" outlineLevel="0" collapsed="false">
      <c r="A1416" s="0" t="n">
        <v>1395</v>
      </c>
      <c r="B1416" s="0" t="s">
        <v>86</v>
      </c>
      <c r="C1416" s="17" t="n">
        <v>-0.54724368320747</v>
      </c>
      <c r="D1416" s="17" t="n">
        <f aca="false">(C1416-$B$4)/($B$6/SQRT($B$7))</f>
        <v>-2.73621841603735</v>
      </c>
      <c r="E1416" s="0" t="str">
        <f aca="false">IF(OR(AND($B$9="superior",D1416&gt;$B$10),AND($B$9="inferior",D1416&lt;-$B$10)),"Rechazar H0","No rechazar H0")</f>
        <v>Rechazar H0</v>
      </c>
      <c r="F1416" s="0" t="str">
        <f aca="false">IF(AND(B1416="H0 verdadera",E1416="Rechazar H0"),"Error tipo I",IF(AND(B1416="Ha verdadera",E1416="No rechazar H0"),"Error tipo II","Decisión correcta"))</f>
        <v>Decisión correcta</v>
      </c>
    </row>
    <row r="1417" customFormat="false" ht="15" hidden="false" customHeight="false" outlineLevel="0" collapsed="false">
      <c r="A1417" s="0" t="n">
        <v>1396</v>
      </c>
      <c r="B1417" s="0" t="s">
        <v>86</v>
      </c>
      <c r="C1417" s="17" t="n">
        <v>-0.762396705507233</v>
      </c>
      <c r="D1417" s="17" t="n">
        <f aca="false">(C1417-$B$4)/($B$6/SQRT($B$7))</f>
        <v>-3.81198352753617</v>
      </c>
      <c r="E1417" s="0" t="str">
        <f aca="false">IF(OR(AND($B$9="superior",D1417&gt;$B$10),AND($B$9="inferior",D1417&lt;-$B$10)),"Rechazar H0","No rechazar H0")</f>
        <v>Rechazar H0</v>
      </c>
      <c r="F1417" s="0" t="str">
        <f aca="false">IF(AND(B1417="H0 verdadera",E1417="Rechazar H0"),"Error tipo I",IF(AND(B1417="Ha verdadera",E1417="No rechazar H0"),"Error tipo II","Decisión correcta"))</f>
        <v>Decisión correcta</v>
      </c>
    </row>
    <row r="1418" customFormat="false" ht="15" hidden="false" customHeight="false" outlineLevel="0" collapsed="false">
      <c r="A1418" s="0" t="n">
        <v>1397</v>
      </c>
      <c r="B1418" s="0" t="s">
        <v>85</v>
      </c>
      <c r="C1418" s="17" t="n">
        <v>0.234654386724485</v>
      </c>
      <c r="D1418" s="17" t="n">
        <f aca="false">(C1418-$B$4)/($B$6/SQRT($B$7))</f>
        <v>1.17327193362242</v>
      </c>
      <c r="E1418" s="0" t="str">
        <f aca="false">IF(OR(AND($B$9="superior",D1418&gt;$B$10),AND($B$9="inferior",D1418&lt;-$B$10)),"Rechazar H0","No rechazar H0")</f>
        <v>No rechazar H0</v>
      </c>
      <c r="F1418" s="0" t="str">
        <f aca="false">IF(AND(B1418="H0 verdadera",E1418="Rechazar H0"),"Error tipo I",IF(AND(B1418="Ha verdadera",E1418="No rechazar H0"),"Error tipo II","Decisión correcta"))</f>
        <v>Decisión correcta</v>
      </c>
    </row>
    <row r="1419" customFormat="false" ht="15" hidden="false" customHeight="false" outlineLevel="0" collapsed="false">
      <c r="A1419" s="0" t="n">
        <v>1398</v>
      </c>
      <c r="B1419" s="0" t="s">
        <v>86</v>
      </c>
      <c r="C1419" s="17" t="n">
        <v>0.00413858510624877</v>
      </c>
      <c r="D1419" s="17" t="n">
        <f aca="false">(C1419-$B$4)/($B$6/SQRT($B$7))</f>
        <v>0.0206929255312438</v>
      </c>
      <c r="E1419" s="0" t="str">
        <f aca="false">IF(OR(AND($B$9="superior",D1419&gt;$B$10),AND($B$9="inferior",D1419&lt;-$B$10)),"Rechazar H0","No rechazar H0")</f>
        <v>No rechazar H0</v>
      </c>
      <c r="F1419" s="0" t="str">
        <f aca="false">IF(AND(B1419="H0 verdadera",E1419="Rechazar H0"),"Error tipo I",IF(AND(B1419="Ha verdadera",E1419="No rechazar H0"),"Error tipo II","Decisión correcta"))</f>
        <v>Error tipo II</v>
      </c>
    </row>
    <row r="1420" customFormat="false" ht="15" hidden="false" customHeight="false" outlineLevel="0" collapsed="false">
      <c r="A1420" s="0" t="n">
        <v>1399</v>
      </c>
      <c r="B1420" s="0" t="s">
        <v>86</v>
      </c>
      <c r="C1420" s="17" t="n">
        <v>-0.186828701109185</v>
      </c>
      <c r="D1420" s="17" t="n">
        <f aca="false">(C1420-$B$4)/($B$6/SQRT($B$7))</f>
        <v>-0.934143505545925</v>
      </c>
      <c r="E1420" s="0" t="str">
        <f aca="false">IF(OR(AND($B$9="superior",D1420&gt;$B$10),AND($B$9="inferior",D1420&lt;-$B$10)),"Rechazar H0","No rechazar H0")</f>
        <v>No rechazar H0</v>
      </c>
      <c r="F1420" s="0" t="str">
        <f aca="false">IF(AND(B1420="H0 verdadera",E1420="Rechazar H0"),"Error tipo I",IF(AND(B1420="Ha verdadera",E1420="No rechazar H0"),"Error tipo II","Decisión correcta"))</f>
        <v>Error tipo II</v>
      </c>
    </row>
    <row r="1421" customFormat="false" ht="15" hidden="false" customHeight="false" outlineLevel="0" collapsed="false">
      <c r="A1421" s="0" t="n">
        <v>1400</v>
      </c>
      <c r="B1421" s="0" t="s">
        <v>86</v>
      </c>
      <c r="C1421" s="17" t="n">
        <v>-0.169846473251271</v>
      </c>
      <c r="D1421" s="17" t="n">
        <f aca="false">(C1421-$B$4)/($B$6/SQRT($B$7))</f>
        <v>-0.849232366256353</v>
      </c>
      <c r="E1421" s="0" t="str">
        <f aca="false">IF(OR(AND($B$9="superior",D1421&gt;$B$10),AND($B$9="inferior",D1421&lt;-$B$10)),"Rechazar H0","No rechazar H0")</f>
        <v>No rechazar H0</v>
      </c>
      <c r="F1421" s="0" t="str">
        <f aca="false">IF(AND(B1421="H0 verdadera",E1421="Rechazar H0"),"Error tipo I",IF(AND(B1421="Ha verdadera",E1421="No rechazar H0"),"Error tipo II","Decisión correcta"))</f>
        <v>Error tipo II</v>
      </c>
    </row>
    <row r="1422" customFormat="false" ht="15" hidden="false" customHeight="false" outlineLevel="0" collapsed="false">
      <c r="A1422" s="0" t="n">
        <v>1401</v>
      </c>
      <c r="B1422" s="0" t="s">
        <v>86</v>
      </c>
      <c r="C1422" s="17" t="n">
        <v>-0.376432704690048</v>
      </c>
      <c r="D1422" s="17" t="n">
        <f aca="false">(C1422-$B$4)/($B$6/SQRT($B$7))</f>
        <v>-1.88216352345024</v>
      </c>
      <c r="E1422" s="0" t="str">
        <f aca="false">IF(OR(AND($B$9="superior",D1422&gt;$B$10),AND($B$9="inferior",D1422&lt;-$B$10)),"Rechazar H0","No rechazar H0")</f>
        <v>Rechazar H0</v>
      </c>
      <c r="F1422" s="0" t="str">
        <f aca="false">IF(AND(B1422="H0 verdadera",E1422="Rechazar H0"),"Error tipo I",IF(AND(B1422="Ha verdadera",E1422="No rechazar H0"),"Error tipo II","Decisión correcta"))</f>
        <v>Decisión correcta</v>
      </c>
    </row>
    <row r="1423" customFormat="false" ht="15" hidden="false" customHeight="false" outlineLevel="0" collapsed="false">
      <c r="A1423" s="0" t="n">
        <v>1402</v>
      </c>
      <c r="B1423" s="0" t="s">
        <v>86</v>
      </c>
      <c r="C1423" s="17" t="n">
        <v>-0.50138557976809</v>
      </c>
      <c r="D1423" s="17" t="n">
        <f aca="false">(C1423-$B$4)/($B$6/SQRT($B$7))</f>
        <v>-2.50692789884045</v>
      </c>
      <c r="E1423" s="0" t="str">
        <f aca="false">IF(OR(AND($B$9="superior",D1423&gt;$B$10),AND($B$9="inferior",D1423&lt;-$B$10)),"Rechazar H0","No rechazar H0")</f>
        <v>Rechazar H0</v>
      </c>
      <c r="F1423" s="0" t="str">
        <f aca="false">IF(AND(B1423="H0 verdadera",E1423="Rechazar H0"),"Error tipo I",IF(AND(B1423="Ha verdadera",E1423="No rechazar H0"),"Error tipo II","Decisión correcta"))</f>
        <v>Decisión correcta</v>
      </c>
    </row>
    <row r="1424" customFormat="false" ht="15" hidden="false" customHeight="false" outlineLevel="0" collapsed="false">
      <c r="A1424" s="0" t="n">
        <v>1403</v>
      </c>
      <c r="B1424" s="0" t="s">
        <v>86</v>
      </c>
      <c r="C1424" s="17" t="n">
        <v>-0.0208930011732951</v>
      </c>
      <c r="D1424" s="17" t="n">
        <f aca="false">(C1424-$B$4)/($B$6/SQRT($B$7))</f>
        <v>-0.104465005866475</v>
      </c>
      <c r="E1424" s="0" t="str">
        <f aca="false">IF(OR(AND($B$9="superior",D1424&gt;$B$10),AND($B$9="inferior",D1424&lt;-$B$10)),"Rechazar H0","No rechazar H0")</f>
        <v>No rechazar H0</v>
      </c>
      <c r="F1424" s="0" t="str">
        <f aca="false">IF(AND(B1424="H0 verdadera",E1424="Rechazar H0"),"Error tipo I",IF(AND(B1424="Ha verdadera",E1424="No rechazar H0"),"Error tipo II","Decisión correcta"))</f>
        <v>Error tipo II</v>
      </c>
    </row>
    <row r="1425" customFormat="false" ht="15" hidden="false" customHeight="false" outlineLevel="0" collapsed="false">
      <c r="A1425" s="0" t="n">
        <v>1404</v>
      </c>
      <c r="B1425" s="0" t="s">
        <v>85</v>
      </c>
      <c r="C1425" s="17" t="n">
        <v>0.0130987531784455</v>
      </c>
      <c r="D1425" s="17" t="n">
        <f aca="false">(C1425-$B$4)/($B$6/SQRT($B$7))</f>
        <v>0.0654937658922275</v>
      </c>
      <c r="E1425" s="0" t="str">
        <f aca="false">IF(OR(AND($B$9="superior",D1425&gt;$B$10),AND($B$9="inferior",D1425&lt;-$B$10)),"Rechazar H0","No rechazar H0")</f>
        <v>No rechazar H0</v>
      </c>
      <c r="F1425" s="0" t="str">
        <f aca="false">IF(AND(B1425="H0 verdadera",E1425="Rechazar H0"),"Error tipo I",IF(AND(B1425="Ha verdadera",E1425="No rechazar H0"),"Error tipo II","Decisión correcta"))</f>
        <v>Decisión correcta</v>
      </c>
    </row>
    <row r="1426" customFormat="false" ht="15" hidden="false" customHeight="false" outlineLevel="0" collapsed="false">
      <c r="A1426" s="0" t="n">
        <v>1405</v>
      </c>
      <c r="B1426" s="0" t="s">
        <v>85</v>
      </c>
      <c r="C1426" s="17" t="n">
        <v>0.134777830521582</v>
      </c>
      <c r="D1426" s="17" t="n">
        <f aca="false">(C1426-$B$4)/($B$6/SQRT($B$7))</f>
        <v>0.673889152607911</v>
      </c>
      <c r="E1426" s="0" t="str">
        <f aca="false">IF(OR(AND($B$9="superior",D1426&gt;$B$10),AND($B$9="inferior",D1426&lt;-$B$10)),"Rechazar H0","No rechazar H0")</f>
        <v>No rechazar H0</v>
      </c>
      <c r="F1426" s="0" t="str">
        <f aca="false">IF(AND(B1426="H0 verdadera",E1426="Rechazar H0"),"Error tipo I",IF(AND(B1426="Ha verdadera",E1426="No rechazar H0"),"Error tipo II","Decisión correcta"))</f>
        <v>Decisión correcta</v>
      </c>
    </row>
    <row r="1427" customFormat="false" ht="15" hidden="false" customHeight="false" outlineLevel="0" collapsed="false">
      <c r="A1427" s="0" t="n">
        <v>1406</v>
      </c>
      <c r="B1427" s="0" t="s">
        <v>85</v>
      </c>
      <c r="C1427" s="17" t="n">
        <v>-0.067195620179209</v>
      </c>
      <c r="D1427" s="17" t="n">
        <f aca="false">(C1427-$B$4)/($B$6/SQRT($B$7))</f>
        <v>-0.335978100896045</v>
      </c>
      <c r="E1427" s="0" t="str">
        <f aca="false">IF(OR(AND($B$9="superior",D1427&gt;$B$10),AND($B$9="inferior",D1427&lt;-$B$10)),"Rechazar H0","No rechazar H0")</f>
        <v>No rechazar H0</v>
      </c>
      <c r="F1427" s="0" t="str">
        <f aca="false">IF(AND(B1427="H0 verdadera",E1427="Rechazar H0"),"Error tipo I",IF(AND(B1427="Ha verdadera",E1427="No rechazar H0"),"Error tipo II","Decisión correcta"))</f>
        <v>Decisión correcta</v>
      </c>
    </row>
    <row r="1428" customFormat="false" ht="15" hidden="false" customHeight="false" outlineLevel="0" collapsed="false">
      <c r="A1428" s="0" t="n">
        <v>1407</v>
      </c>
      <c r="B1428" s="0" t="s">
        <v>85</v>
      </c>
      <c r="C1428" s="17" t="n">
        <v>0.0236546906337037</v>
      </c>
      <c r="D1428" s="17" t="n">
        <f aca="false">(C1428-$B$4)/($B$6/SQRT($B$7))</f>
        <v>0.118273453168518</v>
      </c>
      <c r="E1428" s="0" t="str">
        <f aca="false">IF(OR(AND($B$9="superior",D1428&gt;$B$10),AND($B$9="inferior",D1428&lt;-$B$10)),"Rechazar H0","No rechazar H0")</f>
        <v>No rechazar H0</v>
      </c>
      <c r="F1428" s="0" t="str">
        <f aca="false">IF(AND(B1428="H0 verdadera",E1428="Rechazar H0"),"Error tipo I",IF(AND(B1428="Ha verdadera",E1428="No rechazar H0"),"Error tipo II","Decisión correcta"))</f>
        <v>Decisión correcta</v>
      </c>
    </row>
    <row r="1429" customFormat="false" ht="15" hidden="false" customHeight="false" outlineLevel="0" collapsed="false">
      <c r="A1429" s="0" t="n">
        <v>1408</v>
      </c>
      <c r="B1429" s="0" t="s">
        <v>85</v>
      </c>
      <c r="C1429" s="17" t="n">
        <v>-0.0188246250084717</v>
      </c>
      <c r="D1429" s="17" t="n">
        <f aca="false">(C1429-$B$4)/($B$6/SQRT($B$7))</f>
        <v>-0.0941231250423587</v>
      </c>
      <c r="E1429" s="0" t="str">
        <f aca="false">IF(OR(AND($B$9="superior",D1429&gt;$B$10),AND($B$9="inferior",D1429&lt;-$B$10)),"Rechazar H0","No rechazar H0")</f>
        <v>No rechazar H0</v>
      </c>
      <c r="F1429" s="0" t="str">
        <f aca="false">IF(AND(B1429="H0 verdadera",E1429="Rechazar H0"),"Error tipo I",IF(AND(B1429="Ha verdadera",E1429="No rechazar H0"),"Error tipo II","Decisión correcta"))</f>
        <v>Decisión correcta</v>
      </c>
    </row>
    <row r="1430" customFormat="false" ht="15" hidden="false" customHeight="false" outlineLevel="0" collapsed="false">
      <c r="A1430" s="0" t="n">
        <v>1409</v>
      </c>
      <c r="B1430" s="0" t="s">
        <v>85</v>
      </c>
      <c r="C1430" s="17" t="n">
        <v>0.125854436699079</v>
      </c>
      <c r="D1430" s="17" t="n">
        <f aca="false">(C1430-$B$4)/($B$6/SQRT($B$7))</f>
        <v>0.629272183495395</v>
      </c>
      <c r="E1430" s="0" t="str">
        <f aca="false">IF(OR(AND($B$9="superior",D1430&gt;$B$10),AND($B$9="inferior",D1430&lt;-$B$10)),"Rechazar H0","No rechazar H0")</f>
        <v>No rechazar H0</v>
      </c>
      <c r="F1430" s="0" t="str">
        <f aca="false">IF(AND(B1430="H0 verdadera",E1430="Rechazar H0"),"Error tipo I",IF(AND(B1430="Ha verdadera",E1430="No rechazar H0"),"Error tipo II","Decisión correcta"))</f>
        <v>Decisión correcta</v>
      </c>
    </row>
    <row r="1431" customFormat="false" ht="15" hidden="false" customHeight="false" outlineLevel="0" collapsed="false">
      <c r="A1431" s="0" t="n">
        <v>1410</v>
      </c>
      <c r="B1431" s="0" t="s">
        <v>85</v>
      </c>
      <c r="C1431" s="17" t="n">
        <v>0.0357042950681526</v>
      </c>
      <c r="D1431" s="17" t="n">
        <f aca="false">(C1431-$B$4)/($B$6/SQRT($B$7))</f>
        <v>0.178521475340763</v>
      </c>
      <c r="E1431" s="0" t="str">
        <f aca="false">IF(OR(AND($B$9="superior",D1431&gt;$B$10),AND($B$9="inferior",D1431&lt;-$B$10)),"Rechazar H0","No rechazar H0")</f>
        <v>No rechazar H0</v>
      </c>
      <c r="F1431" s="0" t="str">
        <f aca="false">IF(AND(B1431="H0 verdadera",E1431="Rechazar H0"),"Error tipo I",IF(AND(B1431="Ha verdadera",E1431="No rechazar H0"),"Error tipo II","Decisión correcta"))</f>
        <v>Decisión correcta</v>
      </c>
    </row>
    <row r="1432" customFormat="false" ht="15" hidden="false" customHeight="false" outlineLevel="0" collapsed="false">
      <c r="A1432" s="0" t="n">
        <v>1411</v>
      </c>
      <c r="B1432" s="0" t="s">
        <v>85</v>
      </c>
      <c r="C1432" s="17" t="n">
        <v>0.286211115214774</v>
      </c>
      <c r="D1432" s="17" t="n">
        <f aca="false">(C1432-$B$4)/($B$6/SQRT($B$7))</f>
        <v>1.43105557607387</v>
      </c>
      <c r="E1432" s="0" t="str">
        <f aca="false">IF(OR(AND($B$9="superior",D1432&gt;$B$10),AND($B$9="inferior",D1432&lt;-$B$10)),"Rechazar H0","No rechazar H0")</f>
        <v>No rechazar H0</v>
      </c>
      <c r="F1432" s="0" t="str">
        <f aca="false">IF(AND(B1432="H0 verdadera",E1432="Rechazar H0"),"Error tipo I",IF(AND(B1432="Ha verdadera",E1432="No rechazar H0"),"Error tipo II","Decisión correcta"))</f>
        <v>Decisión correcta</v>
      </c>
    </row>
    <row r="1433" customFormat="false" ht="15" hidden="false" customHeight="false" outlineLevel="0" collapsed="false">
      <c r="A1433" s="0" t="n">
        <v>1412</v>
      </c>
      <c r="B1433" s="0" t="s">
        <v>86</v>
      </c>
      <c r="C1433" s="17" t="n">
        <v>-0.206698255202916</v>
      </c>
      <c r="D1433" s="17" t="n">
        <f aca="false">(C1433-$B$4)/($B$6/SQRT($B$7))</f>
        <v>-1.03349127601458</v>
      </c>
      <c r="E1433" s="0" t="str">
        <f aca="false">IF(OR(AND($B$9="superior",D1433&gt;$B$10),AND($B$9="inferior",D1433&lt;-$B$10)),"Rechazar H0","No rechazar H0")</f>
        <v>No rechazar H0</v>
      </c>
      <c r="F1433" s="0" t="str">
        <f aca="false">IF(AND(B1433="H0 verdadera",E1433="Rechazar H0"),"Error tipo I",IF(AND(B1433="Ha verdadera",E1433="No rechazar H0"),"Error tipo II","Decisión correcta"))</f>
        <v>Error tipo II</v>
      </c>
    </row>
    <row r="1434" customFormat="false" ht="15" hidden="false" customHeight="false" outlineLevel="0" collapsed="false">
      <c r="A1434" s="0" t="n">
        <v>1413</v>
      </c>
      <c r="B1434" s="0" t="s">
        <v>85</v>
      </c>
      <c r="C1434" s="17" t="n">
        <v>0.0299725000233653</v>
      </c>
      <c r="D1434" s="17" t="n">
        <f aca="false">(C1434-$B$4)/($B$6/SQRT($B$7))</f>
        <v>0.149862500116826</v>
      </c>
      <c r="E1434" s="0" t="str">
        <f aca="false">IF(OR(AND($B$9="superior",D1434&gt;$B$10),AND($B$9="inferior",D1434&lt;-$B$10)),"Rechazar H0","No rechazar H0")</f>
        <v>No rechazar H0</v>
      </c>
      <c r="F1434" s="0" t="str">
        <f aca="false">IF(AND(B1434="H0 verdadera",E1434="Rechazar H0"),"Error tipo I",IF(AND(B1434="Ha verdadera",E1434="No rechazar H0"),"Error tipo II","Decisión correcta"))</f>
        <v>Decisión correcta</v>
      </c>
    </row>
    <row r="1435" customFormat="false" ht="15" hidden="false" customHeight="false" outlineLevel="0" collapsed="false">
      <c r="A1435" s="0" t="n">
        <v>1414</v>
      </c>
      <c r="B1435" s="0" t="s">
        <v>85</v>
      </c>
      <c r="C1435" s="17" t="n">
        <v>-0.0415642044534662</v>
      </c>
      <c r="D1435" s="17" t="n">
        <f aca="false">(C1435-$B$4)/($B$6/SQRT($B$7))</f>
        <v>-0.207821022267331</v>
      </c>
      <c r="E1435" s="0" t="str">
        <f aca="false">IF(OR(AND($B$9="superior",D1435&gt;$B$10),AND($B$9="inferior",D1435&lt;-$B$10)),"Rechazar H0","No rechazar H0")</f>
        <v>No rechazar H0</v>
      </c>
      <c r="F1435" s="0" t="str">
        <f aca="false">IF(AND(B1435="H0 verdadera",E1435="Rechazar H0"),"Error tipo I",IF(AND(B1435="Ha verdadera",E1435="No rechazar H0"),"Error tipo II","Decisión correcta"))</f>
        <v>Decisión correcta</v>
      </c>
    </row>
    <row r="1436" customFormat="false" ht="15" hidden="false" customHeight="false" outlineLevel="0" collapsed="false">
      <c r="A1436" s="0" t="n">
        <v>1415</v>
      </c>
      <c r="B1436" s="0" t="s">
        <v>86</v>
      </c>
      <c r="C1436" s="17" t="n">
        <v>-0.519766425518769</v>
      </c>
      <c r="D1436" s="17" t="n">
        <f aca="false">(C1436-$B$4)/($B$6/SQRT($B$7))</f>
        <v>-2.59883212759385</v>
      </c>
      <c r="E1436" s="0" t="str">
        <f aca="false">IF(OR(AND($B$9="superior",D1436&gt;$B$10),AND($B$9="inferior",D1436&lt;-$B$10)),"Rechazar H0","No rechazar H0")</f>
        <v>Rechazar H0</v>
      </c>
      <c r="F1436" s="0" t="str">
        <f aca="false">IF(AND(B1436="H0 verdadera",E1436="Rechazar H0"),"Error tipo I",IF(AND(B1436="Ha verdadera",E1436="No rechazar H0"),"Error tipo II","Decisión correcta"))</f>
        <v>Decisión correcta</v>
      </c>
    </row>
    <row r="1437" customFormat="false" ht="15" hidden="false" customHeight="false" outlineLevel="0" collapsed="false">
      <c r="A1437" s="0" t="n">
        <v>1416</v>
      </c>
      <c r="B1437" s="0" t="s">
        <v>85</v>
      </c>
      <c r="C1437" s="17" t="n">
        <v>-0.073562854035285</v>
      </c>
      <c r="D1437" s="17" t="n">
        <f aca="false">(C1437-$B$4)/($B$6/SQRT($B$7))</f>
        <v>-0.367814270176425</v>
      </c>
      <c r="E1437" s="0" t="str">
        <f aca="false">IF(OR(AND($B$9="superior",D1437&gt;$B$10),AND($B$9="inferior",D1437&lt;-$B$10)),"Rechazar H0","No rechazar H0")</f>
        <v>No rechazar H0</v>
      </c>
      <c r="F1437" s="0" t="str">
        <f aca="false">IF(AND(B1437="H0 verdadera",E1437="Rechazar H0"),"Error tipo I",IF(AND(B1437="Ha verdadera",E1437="No rechazar H0"),"Error tipo II","Decisión correcta"))</f>
        <v>Decisión correcta</v>
      </c>
    </row>
    <row r="1438" customFormat="false" ht="15" hidden="false" customHeight="false" outlineLevel="0" collapsed="false">
      <c r="A1438" s="0" t="n">
        <v>1417</v>
      </c>
      <c r="B1438" s="0" t="s">
        <v>85</v>
      </c>
      <c r="C1438" s="17" t="n">
        <v>-0.0922792681823288</v>
      </c>
      <c r="D1438" s="17" t="n">
        <f aca="false">(C1438-$B$4)/($B$6/SQRT($B$7))</f>
        <v>-0.461396340911644</v>
      </c>
      <c r="E1438" s="0" t="str">
        <f aca="false">IF(OR(AND($B$9="superior",D1438&gt;$B$10),AND($B$9="inferior",D1438&lt;-$B$10)),"Rechazar H0","No rechazar H0")</f>
        <v>No rechazar H0</v>
      </c>
      <c r="F1438" s="0" t="str">
        <f aca="false">IF(AND(B1438="H0 verdadera",E1438="Rechazar H0"),"Error tipo I",IF(AND(B1438="Ha verdadera",E1438="No rechazar H0"),"Error tipo II","Decisión correcta"))</f>
        <v>Decisión correcta</v>
      </c>
    </row>
    <row r="1439" customFormat="false" ht="15" hidden="false" customHeight="false" outlineLevel="0" collapsed="false">
      <c r="A1439" s="0" t="n">
        <v>1418</v>
      </c>
      <c r="B1439" s="0" t="s">
        <v>85</v>
      </c>
      <c r="C1439" s="17" t="n">
        <v>0.0882730102036522</v>
      </c>
      <c r="D1439" s="17" t="n">
        <f aca="false">(C1439-$B$4)/($B$6/SQRT($B$7))</f>
        <v>0.441365051018261</v>
      </c>
      <c r="E1439" s="0" t="str">
        <f aca="false">IF(OR(AND($B$9="superior",D1439&gt;$B$10),AND($B$9="inferior",D1439&lt;-$B$10)),"Rechazar H0","No rechazar H0")</f>
        <v>No rechazar H0</v>
      </c>
      <c r="F1439" s="0" t="str">
        <f aca="false">IF(AND(B1439="H0 verdadera",E1439="Rechazar H0"),"Error tipo I",IF(AND(B1439="Ha verdadera",E1439="No rechazar H0"),"Error tipo II","Decisión correcta"))</f>
        <v>Decisión correcta</v>
      </c>
    </row>
    <row r="1440" customFormat="false" ht="15" hidden="false" customHeight="false" outlineLevel="0" collapsed="false">
      <c r="A1440" s="0" t="n">
        <v>1419</v>
      </c>
      <c r="B1440" s="0" t="s">
        <v>86</v>
      </c>
      <c r="C1440" s="17" t="n">
        <v>-0.689296836647231</v>
      </c>
      <c r="D1440" s="17" t="n">
        <f aca="false">(C1440-$B$4)/($B$6/SQRT($B$7))</f>
        <v>-3.44648418323616</v>
      </c>
      <c r="E1440" s="0" t="str">
        <f aca="false">IF(OR(AND($B$9="superior",D1440&gt;$B$10),AND($B$9="inferior",D1440&lt;-$B$10)),"Rechazar H0","No rechazar H0")</f>
        <v>Rechazar H0</v>
      </c>
      <c r="F1440" s="0" t="str">
        <f aca="false">IF(AND(B1440="H0 verdadera",E1440="Rechazar H0"),"Error tipo I",IF(AND(B1440="Ha verdadera",E1440="No rechazar H0"),"Error tipo II","Decisión correcta"))</f>
        <v>Decisión correcta</v>
      </c>
    </row>
    <row r="1441" customFormat="false" ht="15" hidden="false" customHeight="false" outlineLevel="0" collapsed="false">
      <c r="A1441" s="0" t="n">
        <v>1420</v>
      </c>
      <c r="B1441" s="0" t="s">
        <v>85</v>
      </c>
      <c r="C1441" s="17" t="n">
        <v>0.0850694316060677</v>
      </c>
      <c r="D1441" s="17" t="n">
        <f aca="false">(C1441-$B$4)/($B$6/SQRT($B$7))</f>
        <v>0.425347158030338</v>
      </c>
      <c r="E1441" s="0" t="str">
        <f aca="false">IF(OR(AND($B$9="superior",D1441&gt;$B$10),AND($B$9="inferior",D1441&lt;-$B$10)),"Rechazar H0","No rechazar H0")</f>
        <v>No rechazar H0</v>
      </c>
      <c r="F1441" s="0" t="str">
        <f aca="false">IF(AND(B1441="H0 verdadera",E1441="Rechazar H0"),"Error tipo I",IF(AND(B1441="Ha verdadera",E1441="No rechazar H0"),"Error tipo II","Decisión correcta"))</f>
        <v>Decisión correcta</v>
      </c>
    </row>
    <row r="1442" customFormat="false" ht="15" hidden="false" customHeight="false" outlineLevel="0" collapsed="false">
      <c r="A1442" s="0" t="n">
        <v>1421</v>
      </c>
      <c r="B1442" s="0" t="s">
        <v>85</v>
      </c>
      <c r="C1442" s="17" t="n">
        <v>0.0663609032966815</v>
      </c>
      <c r="D1442" s="17" t="n">
        <f aca="false">(C1442-$B$4)/($B$6/SQRT($B$7))</f>
        <v>0.331804516483408</v>
      </c>
      <c r="E1442" s="0" t="str">
        <f aca="false">IF(OR(AND($B$9="superior",D1442&gt;$B$10),AND($B$9="inferior",D1442&lt;-$B$10)),"Rechazar H0","No rechazar H0")</f>
        <v>No rechazar H0</v>
      </c>
      <c r="F1442" s="0" t="str">
        <f aca="false">IF(AND(B1442="H0 verdadera",E1442="Rechazar H0"),"Error tipo I",IF(AND(B1442="Ha verdadera",E1442="No rechazar H0"),"Error tipo II","Decisión correcta"))</f>
        <v>Decisión correcta</v>
      </c>
    </row>
    <row r="1443" customFormat="false" ht="15" hidden="false" customHeight="false" outlineLevel="0" collapsed="false">
      <c r="A1443" s="0" t="n">
        <v>1422</v>
      </c>
      <c r="B1443" s="0" t="s">
        <v>85</v>
      </c>
      <c r="C1443" s="17" t="n">
        <v>0.131065997172561</v>
      </c>
      <c r="D1443" s="17" t="n">
        <f aca="false">(C1443-$B$4)/($B$6/SQRT($B$7))</f>
        <v>0.655329985862805</v>
      </c>
      <c r="E1443" s="0" t="str">
        <f aca="false">IF(OR(AND($B$9="superior",D1443&gt;$B$10),AND($B$9="inferior",D1443&lt;-$B$10)),"Rechazar H0","No rechazar H0")</f>
        <v>No rechazar H0</v>
      </c>
      <c r="F1443" s="0" t="str">
        <f aca="false">IF(AND(B1443="H0 verdadera",E1443="Rechazar H0"),"Error tipo I",IF(AND(B1443="Ha verdadera",E1443="No rechazar H0"),"Error tipo II","Decisión correcta"))</f>
        <v>Decisión correcta</v>
      </c>
    </row>
    <row r="1444" customFormat="false" ht="15" hidden="false" customHeight="false" outlineLevel="0" collapsed="false">
      <c r="A1444" s="0" t="n">
        <v>1423</v>
      </c>
      <c r="B1444" s="0" t="s">
        <v>86</v>
      </c>
      <c r="C1444" s="17" t="n">
        <v>-0.241874502381615</v>
      </c>
      <c r="D1444" s="17" t="n">
        <f aca="false">(C1444-$B$4)/($B$6/SQRT($B$7))</f>
        <v>-1.20937251190807</v>
      </c>
      <c r="E1444" s="0" t="str">
        <f aca="false">IF(OR(AND($B$9="superior",D1444&gt;$B$10),AND($B$9="inferior",D1444&lt;-$B$10)),"Rechazar H0","No rechazar H0")</f>
        <v>No rechazar H0</v>
      </c>
      <c r="F1444" s="0" t="str">
        <f aca="false">IF(AND(B1444="H0 verdadera",E1444="Rechazar H0"),"Error tipo I",IF(AND(B1444="Ha verdadera",E1444="No rechazar H0"),"Error tipo II","Decisión correcta"))</f>
        <v>Error tipo II</v>
      </c>
    </row>
    <row r="1445" customFormat="false" ht="15" hidden="false" customHeight="false" outlineLevel="0" collapsed="false">
      <c r="A1445" s="0" t="n">
        <v>1424</v>
      </c>
      <c r="B1445" s="0" t="s">
        <v>86</v>
      </c>
      <c r="C1445" s="17" t="n">
        <v>-0.775670546146254</v>
      </c>
      <c r="D1445" s="17" t="n">
        <f aca="false">(C1445-$B$4)/($B$6/SQRT($B$7))</f>
        <v>-3.87835273073127</v>
      </c>
      <c r="E1445" s="0" t="str">
        <f aca="false">IF(OR(AND($B$9="superior",D1445&gt;$B$10),AND($B$9="inferior",D1445&lt;-$B$10)),"Rechazar H0","No rechazar H0")</f>
        <v>Rechazar H0</v>
      </c>
      <c r="F1445" s="0" t="str">
        <f aca="false">IF(AND(B1445="H0 verdadera",E1445="Rechazar H0"),"Error tipo I",IF(AND(B1445="Ha verdadera",E1445="No rechazar H0"),"Error tipo II","Decisión correcta"))</f>
        <v>Decisión correcta</v>
      </c>
    </row>
    <row r="1446" customFormat="false" ht="15" hidden="false" customHeight="false" outlineLevel="0" collapsed="false">
      <c r="A1446" s="0" t="n">
        <v>1425</v>
      </c>
      <c r="B1446" s="0" t="s">
        <v>86</v>
      </c>
      <c r="C1446" s="17" t="n">
        <v>-0.770823057139035</v>
      </c>
      <c r="D1446" s="17" t="n">
        <f aca="false">(C1446-$B$4)/($B$6/SQRT($B$7))</f>
        <v>-3.85411528569518</v>
      </c>
      <c r="E1446" s="0" t="str">
        <f aca="false">IF(OR(AND($B$9="superior",D1446&gt;$B$10),AND($B$9="inferior",D1446&lt;-$B$10)),"Rechazar H0","No rechazar H0")</f>
        <v>Rechazar H0</v>
      </c>
      <c r="F1446" s="0" t="str">
        <f aca="false">IF(AND(B1446="H0 verdadera",E1446="Rechazar H0"),"Error tipo I",IF(AND(B1446="Ha verdadera",E1446="No rechazar H0"),"Error tipo II","Decisión correcta"))</f>
        <v>Decisión correcta</v>
      </c>
    </row>
    <row r="1447" customFormat="false" ht="15" hidden="false" customHeight="false" outlineLevel="0" collapsed="false">
      <c r="A1447" s="0" t="n">
        <v>1426</v>
      </c>
      <c r="B1447" s="0" t="s">
        <v>86</v>
      </c>
      <c r="C1447" s="17" t="n">
        <v>-0.645154660391136</v>
      </c>
      <c r="D1447" s="17" t="n">
        <f aca="false">(C1447-$B$4)/($B$6/SQRT($B$7))</f>
        <v>-3.22577330195568</v>
      </c>
      <c r="E1447" s="0" t="str">
        <f aca="false">IF(OR(AND($B$9="superior",D1447&gt;$B$10),AND($B$9="inferior",D1447&lt;-$B$10)),"Rechazar H0","No rechazar H0")</f>
        <v>Rechazar H0</v>
      </c>
      <c r="F1447" s="0" t="str">
        <f aca="false">IF(AND(B1447="H0 verdadera",E1447="Rechazar H0"),"Error tipo I",IF(AND(B1447="Ha verdadera",E1447="No rechazar H0"),"Error tipo II","Decisión correcta"))</f>
        <v>Decisión correcta</v>
      </c>
    </row>
    <row r="1448" customFormat="false" ht="15" hidden="false" customHeight="false" outlineLevel="0" collapsed="false">
      <c r="A1448" s="0" t="n">
        <v>1427</v>
      </c>
      <c r="B1448" s="0" t="s">
        <v>86</v>
      </c>
      <c r="C1448" s="17" t="n">
        <v>-0.672041216736574</v>
      </c>
      <c r="D1448" s="17" t="n">
        <f aca="false">(C1448-$B$4)/($B$6/SQRT($B$7))</f>
        <v>-3.36020608368287</v>
      </c>
      <c r="E1448" s="0" t="str">
        <f aca="false">IF(OR(AND($B$9="superior",D1448&gt;$B$10),AND($B$9="inferior",D1448&lt;-$B$10)),"Rechazar H0","No rechazar H0")</f>
        <v>Rechazar H0</v>
      </c>
      <c r="F1448" s="0" t="str">
        <f aca="false">IF(AND(B1448="H0 verdadera",E1448="Rechazar H0"),"Error tipo I",IF(AND(B1448="Ha verdadera",E1448="No rechazar H0"),"Error tipo II","Decisión correcta"))</f>
        <v>Decisión correcta</v>
      </c>
    </row>
    <row r="1449" customFormat="false" ht="15" hidden="false" customHeight="false" outlineLevel="0" collapsed="false">
      <c r="A1449" s="0" t="n">
        <v>1428</v>
      </c>
      <c r="B1449" s="0" t="s">
        <v>86</v>
      </c>
      <c r="C1449" s="17" t="n">
        <v>-0.587844661471265</v>
      </c>
      <c r="D1449" s="17" t="n">
        <f aca="false">(C1449-$B$4)/($B$6/SQRT($B$7))</f>
        <v>-2.93922330735633</v>
      </c>
      <c r="E1449" s="0" t="str">
        <f aca="false">IF(OR(AND($B$9="superior",D1449&gt;$B$10),AND($B$9="inferior",D1449&lt;-$B$10)),"Rechazar H0","No rechazar H0")</f>
        <v>Rechazar H0</v>
      </c>
      <c r="F1449" s="0" t="str">
        <f aca="false">IF(AND(B1449="H0 verdadera",E1449="Rechazar H0"),"Error tipo I",IF(AND(B1449="Ha verdadera",E1449="No rechazar H0"),"Error tipo II","Decisión correcta"))</f>
        <v>Decisión correcta</v>
      </c>
    </row>
    <row r="1450" customFormat="false" ht="15" hidden="false" customHeight="false" outlineLevel="0" collapsed="false">
      <c r="A1450" s="0" t="n">
        <v>1429</v>
      </c>
      <c r="B1450" s="0" t="s">
        <v>86</v>
      </c>
      <c r="C1450" s="17" t="n">
        <v>-0.794148001616775</v>
      </c>
      <c r="D1450" s="17" t="n">
        <f aca="false">(C1450-$B$4)/($B$6/SQRT($B$7))</f>
        <v>-3.97074000808388</v>
      </c>
      <c r="E1450" s="0" t="str">
        <f aca="false">IF(OR(AND($B$9="superior",D1450&gt;$B$10),AND($B$9="inferior",D1450&lt;-$B$10)),"Rechazar H0","No rechazar H0")</f>
        <v>Rechazar H0</v>
      </c>
      <c r="F1450" s="0" t="str">
        <f aca="false">IF(AND(B1450="H0 verdadera",E1450="Rechazar H0"),"Error tipo I",IF(AND(B1450="Ha verdadera",E1450="No rechazar H0"),"Error tipo II","Decisión correcta"))</f>
        <v>Decisión correcta</v>
      </c>
    </row>
    <row r="1451" customFormat="false" ht="15" hidden="false" customHeight="false" outlineLevel="0" collapsed="false">
      <c r="A1451" s="0" t="n">
        <v>1430</v>
      </c>
      <c r="B1451" s="0" t="s">
        <v>86</v>
      </c>
      <c r="C1451" s="17" t="n">
        <v>-0.85807508083901</v>
      </c>
      <c r="D1451" s="17" t="n">
        <f aca="false">(C1451-$B$4)/($B$6/SQRT($B$7))</f>
        <v>-4.29037540419505</v>
      </c>
      <c r="E1451" s="0" t="str">
        <f aca="false">IF(OR(AND($B$9="superior",D1451&gt;$B$10),AND($B$9="inferior",D1451&lt;-$B$10)),"Rechazar H0","No rechazar H0")</f>
        <v>Rechazar H0</v>
      </c>
      <c r="F1451" s="0" t="str">
        <f aca="false">IF(AND(B1451="H0 verdadera",E1451="Rechazar H0"),"Error tipo I",IF(AND(B1451="Ha verdadera",E1451="No rechazar H0"),"Error tipo II","Decisión correcta"))</f>
        <v>Decisión correcta</v>
      </c>
    </row>
    <row r="1452" customFormat="false" ht="15" hidden="false" customHeight="false" outlineLevel="0" collapsed="false">
      <c r="A1452" s="0" t="n">
        <v>1431</v>
      </c>
      <c r="B1452" s="0" t="s">
        <v>85</v>
      </c>
      <c r="C1452" s="17" t="n">
        <v>-0.122824199464746</v>
      </c>
      <c r="D1452" s="17" t="n">
        <f aca="false">(C1452-$B$4)/($B$6/SQRT($B$7))</f>
        <v>-0.61412099732373</v>
      </c>
      <c r="E1452" s="0" t="str">
        <f aca="false">IF(OR(AND($B$9="superior",D1452&gt;$B$10),AND($B$9="inferior",D1452&lt;-$B$10)),"Rechazar H0","No rechazar H0")</f>
        <v>No rechazar H0</v>
      </c>
      <c r="F1452" s="0" t="str">
        <f aca="false">IF(AND(B1452="H0 verdadera",E1452="Rechazar H0"),"Error tipo I",IF(AND(B1452="Ha verdadera",E1452="No rechazar H0"),"Error tipo II","Decisión correcta"))</f>
        <v>Decisión correcta</v>
      </c>
    </row>
    <row r="1453" customFormat="false" ht="15" hidden="false" customHeight="false" outlineLevel="0" collapsed="false">
      <c r="A1453" s="0" t="n">
        <v>1432</v>
      </c>
      <c r="B1453" s="0" t="s">
        <v>86</v>
      </c>
      <c r="C1453" s="17" t="n">
        <v>-0.507773226164508</v>
      </c>
      <c r="D1453" s="17" t="n">
        <f aca="false">(C1453-$B$4)/($B$6/SQRT($B$7))</f>
        <v>-2.53886613082254</v>
      </c>
      <c r="E1453" s="0" t="str">
        <f aca="false">IF(OR(AND($B$9="superior",D1453&gt;$B$10),AND($B$9="inferior",D1453&lt;-$B$10)),"Rechazar H0","No rechazar H0")</f>
        <v>Rechazar H0</v>
      </c>
      <c r="F1453" s="0" t="str">
        <f aca="false">IF(AND(B1453="H0 verdadera",E1453="Rechazar H0"),"Error tipo I",IF(AND(B1453="Ha verdadera",E1453="No rechazar H0"),"Error tipo II","Decisión correcta"))</f>
        <v>Decisión correcta</v>
      </c>
    </row>
    <row r="1454" customFormat="false" ht="15" hidden="false" customHeight="false" outlineLevel="0" collapsed="false">
      <c r="A1454" s="0" t="n">
        <v>1433</v>
      </c>
      <c r="B1454" s="0" t="s">
        <v>86</v>
      </c>
      <c r="C1454" s="17" t="n">
        <v>-0.140288219152269</v>
      </c>
      <c r="D1454" s="17" t="n">
        <f aca="false">(C1454-$B$4)/($B$6/SQRT($B$7))</f>
        <v>-0.701441095761345</v>
      </c>
      <c r="E1454" s="0" t="str">
        <f aca="false">IF(OR(AND($B$9="superior",D1454&gt;$B$10),AND($B$9="inferior",D1454&lt;-$B$10)),"Rechazar H0","No rechazar H0")</f>
        <v>No rechazar H0</v>
      </c>
      <c r="F1454" s="0" t="str">
        <f aca="false">IF(AND(B1454="H0 verdadera",E1454="Rechazar H0"),"Error tipo I",IF(AND(B1454="Ha verdadera",E1454="No rechazar H0"),"Error tipo II","Decisión correcta"))</f>
        <v>Error tipo II</v>
      </c>
    </row>
    <row r="1455" customFormat="false" ht="15" hidden="false" customHeight="false" outlineLevel="0" collapsed="false">
      <c r="A1455" s="0" t="n">
        <v>1434</v>
      </c>
      <c r="B1455" s="0" t="s">
        <v>85</v>
      </c>
      <c r="C1455" s="17" t="n">
        <v>-0.00416346173813773</v>
      </c>
      <c r="D1455" s="17" t="n">
        <f aca="false">(C1455-$B$4)/($B$6/SQRT($B$7))</f>
        <v>-0.0208173086906887</v>
      </c>
      <c r="E1455" s="0" t="str">
        <f aca="false">IF(OR(AND($B$9="superior",D1455&gt;$B$10),AND($B$9="inferior",D1455&lt;-$B$10)),"Rechazar H0","No rechazar H0")</f>
        <v>No rechazar H0</v>
      </c>
      <c r="F1455" s="0" t="str">
        <f aca="false">IF(AND(B1455="H0 verdadera",E1455="Rechazar H0"),"Error tipo I",IF(AND(B1455="Ha verdadera",E1455="No rechazar H0"),"Error tipo II","Decisión correcta"))</f>
        <v>Decisión correcta</v>
      </c>
    </row>
    <row r="1456" customFormat="false" ht="15" hidden="false" customHeight="false" outlineLevel="0" collapsed="false">
      <c r="A1456" s="0" t="n">
        <v>1435</v>
      </c>
      <c r="B1456" s="0" t="s">
        <v>85</v>
      </c>
      <c r="C1456" s="17" t="n">
        <v>0.0531703992432082</v>
      </c>
      <c r="D1456" s="17" t="n">
        <f aca="false">(C1456-$B$4)/($B$6/SQRT($B$7))</f>
        <v>0.265851996216041</v>
      </c>
      <c r="E1456" s="0" t="str">
        <f aca="false">IF(OR(AND($B$9="superior",D1456&gt;$B$10),AND($B$9="inferior",D1456&lt;-$B$10)),"Rechazar H0","No rechazar H0")</f>
        <v>No rechazar H0</v>
      </c>
      <c r="F1456" s="0" t="str">
        <f aca="false">IF(AND(B1456="H0 verdadera",E1456="Rechazar H0"),"Error tipo I",IF(AND(B1456="Ha verdadera",E1456="No rechazar H0"),"Error tipo II","Decisión correcta"))</f>
        <v>Decisión correcta</v>
      </c>
    </row>
    <row r="1457" customFormat="false" ht="15" hidden="false" customHeight="false" outlineLevel="0" collapsed="false">
      <c r="A1457" s="0" t="n">
        <v>1436</v>
      </c>
      <c r="B1457" s="0" t="s">
        <v>85</v>
      </c>
      <c r="C1457" s="17" t="n">
        <v>-0.135057246131716</v>
      </c>
      <c r="D1457" s="17" t="n">
        <f aca="false">(C1457-$B$4)/($B$6/SQRT($B$7))</f>
        <v>-0.675286230658581</v>
      </c>
      <c r="E1457" s="0" t="str">
        <f aca="false">IF(OR(AND($B$9="superior",D1457&gt;$B$10),AND($B$9="inferior",D1457&lt;-$B$10)),"Rechazar H0","No rechazar H0")</f>
        <v>No rechazar H0</v>
      </c>
      <c r="F1457" s="0" t="str">
        <f aca="false">IF(AND(B1457="H0 verdadera",E1457="Rechazar H0"),"Error tipo I",IF(AND(B1457="Ha verdadera",E1457="No rechazar H0"),"Error tipo II","Decisión correcta"))</f>
        <v>Decisión correcta</v>
      </c>
    </row>
    <row r="1458" customFormat="false" ht="15" hidden="false" customHeight="false" outlineLevel="0" collapsed="false">
      <c r="A1458" s="0" t="n">
        <v>1437</v>
      </c>
      <c r="B1458" s="0" t="s">
        <v>85</v>
      </c>
      <c r="C1458" s="17" t="n">
        <v>-0.096113052470659</v>
      </c>
      <c r="D1458" s="17" t="n">
        <f aca="false">(C1458-$B$4)/($B$6/SQRT($B$7))</f>
        <v>-0.480565262353295</v>
      </c>
      <c r="E1458" s="0" t="str">
        <f aca="false">IF(OR(AND($B$9="superior",D1458&gt;$B$10),AND($B$9="inferior",D1458&lt;-$B$10)),"Rechazar H0","No rechazar H0")</f>
        <v>No rechazar H0</v>
      </c>
      <c r="F1458" s="0" t="str">
        <f aca="false">IF(AND(B1458="H0 verdadera",E1458="Rechazar H0"),"Error tipo I",IF(AND(B1458="Ha verdadera",E1458="No rechazar H0"),"Error tipo II","Decisión correcta"))</f>
        <v>Decisión correcta</v>
      </c>
    </row>
    <row r="1459" customFormat="false" ht="15" hidden="false" customHeight="false" outlineLevel="0" collapsed="false">
      <c r="A1459" s="0" t="n">
        <v>1438</v>
      </c>
      <c r="B1459" s="0" t="s">
        <v>85</v>
      </c>
      <c r="C1459" s="17" t="n">
        <v>-0.188089104298794</v>
      </c>
      <c r="D1459" s="17" t="n">
        <f aca="false">(C1459-$B$4)/($B$6/SQRT($B$7))</f>
        <v>-0.94044552149397</v>
      </c>
      <c r="E1459" s="0" t="str">
        <f aca="false">IF(OR(AND($B$9="superior",D1459&gt;$B$10),AND($B$9="inferior",D1459&lt;-$B$10)),"Rechazar H0","No rechazar H0")</f>
        <v>No rechazar H0</v>
      </c>
      <c r="F1459" s="0" t="str">
        <f aca="false">IF(AND(B1459="H0 verdadera",E1459="Rechazar H0"),"Error tipo I",IF(AND(B1459="Ha verdadera",E1459="No rechazar H0"),"Error tipo II","Decisión correcta"))</f>
        <v>Decisión correcta</v>
      </c>
    </row>
    <row r="1460" customFormat="false" ht="15" hidden="false" customHeight="false" outlineLevel="0" collapsed="false">
      <c r="A1460" s="0" t="n">
        <v>1439</v>
      </c>
      <c r="B1460" s="0" t="s">
        <v>85</v>
      </c>
      <c r="C1460" s="17" t="n">
        <v>-0.131162799125227</v>
      </c>
      <c r="D1460" s="17" t="n">
        <f aca="false">(C1460-$B$4)/($B$6/SQRT($B$7))</f>
        <v>-0.655813995626137</v>
      </c>
      <c r="E1460" s="0" t="str">
        <f aca="false">IF(OR(AND($B$9="superior",D1460&gt;$B$10),AND($B$9="inferior",D1460&lt;-$B$10)),"Rechazar H0","No rechazar H0")</f>
        <v>No rechazar H0</v>
      </c>
      <c r="F1460" s="0" t="str">
        <f aca="false">IF(AND(B1460="H0 verdadera",E1460="Rechazar H0"),"Error tipo I",IF(AND(B1460="Ha verdadera",E1460="No rechazar H0"),"Error tipo II","Decisión correcta"))</f>
        <v>Decisión correcta</v>
      </c>
    </row>
    <row r="1461" customFormat="false" ht="15" hidden="false" customHeight="false" outlineLevel="0" collapsed="false">
      <c r="A1461" s="0" t="n">
        <v>1440</v>
      </c>
      <c r="B1461" s="0" t="s">
        <v>85</v>
      </c>
      <c r="C1461" s="17" t="n">
        <v>0.0348712974426458</v>
      </c>
      <c r="D1461" s="17" t="n">
        <f aca="false">(C1461-$B$4)/($B$6/SQRT($B$7))</f>
        <v>0.174356487213229</v>
      </c>
      <c r="E1461" s="0" t="str">
        <f aca="false">IF(OR(AND($B$9="superior",D1461&gt;$B$10),AND($B$9="inferior",D1461&lt;-$B$10)),"Rechazar H0","No rechazar H0")</f>
        <v>No rechazar H0</v>
      </c>
      <c r="F1461" s="0" t="str">
        <f aca="false">IF(AND(B1461="H0 verdadera",E1461="Rechazar H0"),"Error tipo I",IF(AND(B1461="Ha verdadera",E1461="No rechazar H0"),"Error tipo II","Decisión correcta"))</f>
        <v>Decisión correcta</v>
      </c>
    </row>
    <row r="1462" customFormat="false" ht="15" hidden="false" customHeight="false" outlineLevel="0" collapsed="false">
      <c r="A1462" s="0" t="n">
        <v>1441</v>
      </c>
      <c r="B1462" s="0" t="s">
        <v>85</v>
      </c>
      <c r="C1462" s="17" t="n">
        <v>-0.145193362712334</v>
      </c>
      <c r="D1462" s="17" t="n">
        <f aca="false">(C1462-$B$4)/($B$6/SQRT($B$7))</f>
        <v>-0.725966813561669</v>
      </c>
      <c r="E1462" s="0" t="str">
        <f aca="false">IF(OR(AND($B$9="superior",D1462&gt;$B$10),AND($B$9="inferior",D1462&lt;-$B$10)),"Rechazar H0","No rechazar H0")</f>
        <v>No rechazar H0</v>
      </c>
      <c r="F1462" s="0" t="str">
        <f aca="false">IF(AND(B1462="H0 verdadera",E1462="Rechazar H0"),"Error tipo I",IF(AND(B1462="Ha verdadera",E1462="No rechazar H0"),"Error tipo II","Decisión correcta"))</f>
        <v>Decisión correcta</v>
      </c>
    </row>
    <row r="1463" customFormat="false" ht="15" hidden="false" customHeight="false" outlineLevel="0" collapsed="false">
      <c r="A1463" s="0" t="n">
        <v>1442</v>
      </c>
      <c r="B1463" s="0" t="s">
        <v>85</v>
      </c>
      <c r="C1463" s="17" t="n">
        <v>0.0137008037886766</v>
      </c>
      <c r="D1463" s="17" t="n">
        <f aca="false">(C1463-$B$4)/($B$6/SQRT($B$7))</f>
        <v>0.0685040189433832</v>
      </c>
      <c r="E1463" s="0" t="str">
        <f aca="false">IF(OR(AND($B$9="superior",D1463&gt;$B$10),AND($B$9="inferior",D1463&lt;-$B$10)),"Rechazar H0","No rechazar H0")</f>
        <v>No rechazar H0</v>
      </c>
      <c r="F1463" s="0" t="str">
        <f aca="false">IF(AND(B1463="H0 verdadera",E1463="Rechazar H0"),"Error tipo I",IF(AND(B1463="Ha verdadera",E1463="No rechazar H0"),"Error tipo II","Decisión correcta"))</f>
        <v>Decisión correcta</v>
      </c>
    </row>
    <row r="1464" customFormat="false" ht="15" hidden="false" customHeight="false" outlineLevel="0" collapsed="false">
      <c r="A1464" s="0" t="n">
        <v>1443</v>
      </c>
      <c r="B1464" s="0" t="s">
        <v>85</v>
      </c>
      <c r="C1464" s="17" t="n">
        <v>-0.0629500211774697</v>
      </c>
      <c r="D1464" s="17" t="n">
        <f aca="false">(C1464-$B$4)/($B$6/SQRT($B$7))</f>
        <v>-0.314750105887349</v>
      </c>
      <c r="E1464" s="0" t="str">
        <f aca="false">IF(OR(AND($B$9="superior",D1464&gt;$B$10),AND($B$9="inferior",D1464&lt;-$B$10)),"Rechazar H0","No rechazar H0")</f>
        <v>No rechazar H0</v>
      </c>
      <c r="F1464" s="0" t="str">
        <f aca="false">IF(AND(B1464="H0 verdadera",E1464="Rechazar H0"),"Error tipo I",IF(AND(B1464="Ha verdadera",E1464="No rechazar H0"),"Error tipo II","Decisión correcta"))</f>
        <v>Decisión correcta</v>
      </c>
    </row>
    <row r="1465" customFormat="false" ht="15" hidden="false" customHeight="false" outlineLevel="0" collapsed="false">
      <c r="A1465" s="0" t="n">
        <v>1444</v>
      </c>
      <c r="B1465" s="0" t="s">
        <v>86</v>
      </c>
      <c r="C1465" s="17" t="n">
        <v>-0.489409933550334</v>
      </c>
      <c r="D1465" s="17" t="n">
        <f aca="false">(C1465-$B$4)/($B$6/SQRT($B$7))</f>
        <v>-2.44704966775167</v>
      </c>
      <c r="E1465" s="0" t="str">
        <f aca="false">IF(OR(AND($B$9="superior",D1465&gt;$B$10),AND($B$9="inferior",D1465&lt;-$B$10)),"Rechazar H0","No rechazar H0")</f>
        <v>Rechazar H0</v>
      </c>
      <c r="F1465" s="0" t="str">
        <f aca="false">IF(AND(B1465="H0 verdadera",E1465="Rechazar H0"),"Error tipo I",IF(AND(B1465="Ha verdadera",E1465="No rechazar H0"),"Error tipo II","Decisión correcta"))</f>
        <v>Decisión correcta</v>
      </c>
    </row>
    <row r="1466" customFormat="false" ht="15" hidden="false" customHeight="false" outlineLevel="0" collapsed="false">
      <c r="A1466" s="0" t="n">
        <v>1445</v>
      </c>
      <c r="B1466" s="0" t="s">
        <v>86</v>
      </c>
      <c r="C1466" s="17" t="n">
        <v>-0.245675589761963</v>
      </c>
      <c r="D1466" s="17" t="n">
        <f aca="false">(C1466-$B$4)/($B$6/SQRT($B$7))</f>
        <v>-1.22837794880982</v>
      </c>
      <c r="E1466" s="0" t="str">
        <f aca="false">IF(OR(AND($B$9="superior",D1466&gt;$B$10),AND($B$9="inferior",D1466&lt;-$B$10)),"Rechazar H0","No rechazar H0")</f>
        <v>No rechazar H0</v>
      </c>
      <c r="F1466" s="0" t="str">
        <f aca="false">IF(AND(B1466="H0 verdadera",E1466="Rechazar H0"),"Error tipo I",IF(AND(B1466="Ha verdadera",E1466="No rechazar H0"),"Error tipo II","Decisión correcta"))</f>
        <v>Error tipo II</v>
      </c>
    </row>
    <row r="1467" customFormat="false" ht="15" hidden="false" customHeight="false" outlineLevel="0" collapsed="false">
      <c r="A1467" s="0" t="n">
        <v>1446</v>
      </c>
      <c r="B1467" s="0" t="s">
        <v>86</v>
      </c>
      <c r="C1467" s="17" t="n">
        <v>-0.218201824066136</v>
      </c>
      <c r="D1467" s="17" t="n">
        <f aca="false">(C1467-$B$4)/($B$6/SQRT($B$7))</f>
        <v>-1.09100912033068</v>
      </c>
      <c r="E1467" s="0" t="str">
        <f aca="false">IF(OR(AND($B$9="superior",D1467&gt;$B$10),AND($B$9="inferior",D1467&lt;-$B$10)),"Rechazar H0","No rechazar H0")</f>
        <v>No rechazar H0</v>
      </c>
      <c r="F1467" s="0" t="str">
        <f aca="false">IF(AND(B1467="H0 verdadera",E1467="Rechazar H0"),"Error tipo I",IF(AND(B1467="Ha verdadera",E1467="No rechazar H0"),"Error tipo II","Decisión correcta"))</f>
        <v>Error tipo II</v>
      </c>
    </row>
    <row r="1468" customFormat="false" ht="15" hidden="false" customHeight="false" outlineLevel="0" collapsed="false">
      <c r="A1468" s="0" t="n">
        <v>1447</v>
      </c>
      <c r="B1468" s="0" t="s">
        <v>86</v>
      </c>
      <c r="C1468" s="17" t="n">
        <v>-0.557144370986499</v>
      </c>
      <c r="D1468" s="17" t="n">
        <f aca="false">(C1468-$B$4)/($B$6/SQRT($B$7))</f>
        <v>-2.78572185493249</v>
      </c>
      <c r="E1468" s="0" t="str">
        <f aca="false">IF(OR(AND($B$9="superior",D1468&gt;$B$10),AND($B$9="inferior",D1468&lt;-$B$10)),"Rechazar H0","No rechazar H0")</f>
        <v>Rechazar H0</v>
      </c>
      <c r="F1468" s="0" t="str">
        <f aca="false">IF(AND(B1468="H0 verdadera",E1468="Rechazar H0"),"Error tipo I",IF(AND(B1468="Ha verdadera",E1468="No rechazar H0"),"Error tipo II","Decisión correcta"))</f>
        <v>Decisión correcta</v>
      </c>
    </row>
    <row r="1469" customFormat="false" ht="15" hidden="false" customHeight="false" outlineLevel="0" collapsed="false">
      <c r="A1469" s="0" t="n">
        <v>1448</v>
      </c>
      <c r="B1469" s="0" t="s">
        <v>86</v>
      </c>
      <c r="C1469" s="17" t="n">
        <v>-0.402039369242909</v>
      </c>
      <c r="D1469" s="17" t="n">
        <f aca="false">(C1469-$B$4)/($B$6/SQRT($B$7))</f>
        <v>-2.01019684621455</v>
      </c>
      <c r="E1469" s="0" t="str">
        <f aca="false">IF(OR(AND($B$9="superior",D1469&gt;$B$10),AND($B$9="inferior",D1469&lt;-$B$10)),"Rechazar H0","No rechazar H0")</f>
        <v>Rechazar H0</v>
      </c>
      <c r="F1469" s="0" t="str">
        <f aca="false">IF(AND(B1469="H0 verdadera",E1469="Rechazar H0"),"Error tipo I",IF(AND(B1469="Ha verdadera",E1469="No rechazar H0"),"Error tipo II","Decisión correcta"))</f>
        <v>Decisión correcta</v>
      </c>
    </row>
    <row r="1470" customFormat="false" ht="15" hidden="false" customHeight="false" outlineLevel="0" collapsed="false">
      <c r="A1470" s="0" t="n">
        <v>1449</v>
      </c>
      <c r="B1470" s="0" t="s">
        <v>86</v>
      </c>
      <c r="C1470" s="17" t="n">
        <v>-0.331950496057856</v>
      </c>
      <c r="D1470" s="17" t="n">
        <f aca="false">(C1470-$B$4)/($B$6/SQRT($B$7))</f>
        <v>-1.65975248028928</v>
      </c>
      <c r="E1470" s="0" t="str">
        <f aca="false">IF(OR(AND($B$9="superior",D1470&gt;$B$10),AND($B$9="inferior",D1470&lt;-$B$10)),"Rechazar H0","No rechazar H0")</f>
        <v>Rechazar H0</v>
      </c>
      <c r="F1470" s="0" t="str">
        <f aca="false">IF(AND(B1470="H0 verdadera",E1470="Rechazar H0"),"Error tipo I",IF(AND(B1470="Ha verdadera",E1470="No rechazar H0"),"Error tipo II","Decisión correcta"))</f>
        <v>Decisión correcta</v>
      </c>
    </row>
    <row r="1471" customFormat="false" ht="15" hidden="false" customHeight="false" outlineLevel="0" collapsed="false">
      <c r="A1471" s="0" t="n">
        <v>1450</v>
      </c>
      <c r="B1471" s="0" t="s">
        <v>86</v>
      </c>
      <c r="C1471" s="17" t="n">
        <v>-0.368151141336488</v>
      </c>
      <c r="D1471" s="17" t="n">
        <f aca="false">(C1471-$B$4)/($B$6/SQRT($B$7))</f>
        <v>-1.84075570668244</v>
      </c>
      <c r="E1471" s="0" t="str">
        <f aca="false">IF(OR(AND($B$9="superior",D1471&gt;$B$10),AND($B$9="inferior",D1471&lt;-$B$10)),"Rechazar H0","No rechazar H0")</f>
        <v>Rechazar H0</v>
      </c>
      <c r="F1471" s="0" t="str">
        <f aca="false">IF(AND(B1471="H0 verdadera",E1471="Rechazar H0"),"Error tipo I",IF(AND(B1471="Ha verdadera",E1471="No rechazar H0"),"Error tipo II","Decisión correcta"))</f>
        <v>Decisión correcta</v>
      </c>
    </row>
    <row r="1472" customFormat="false" ht="15" hidden="false" customHeight="false" outlineLevel="0" collapsed="false">
      <c r="A1472" s="0" t="n">
        <v>1451</v>
      </c>
      <c r="B1472" s="0" t="s">
        <v>85</v>
      </c>
      <c r="C1472" s="17" t="n">
        <v>0.144699237680199</v>
      </c>
      <c r="D1472" s="17" t="n">
        <f aca="false">(C1472-$B$4)/($B$6/SQRT($B$7))</f>
        <v>0.723496188400996</v>
      </c>
      <c r="E1472" s="0" t="str">
        <f aca="false">IF(OR(AND($B$9="superior",D1472&gt;$B$10),AND($B$9="inferior",D1472&lt;-$B$10)),"Rechazar H0","No rechazar H0")</f>
        <v>No rechazar H0</v>
      </c>
      <c r="F1472" s="0" t="str">
        <f aca="false">IF(AND(B1472="H0 verdadera",E1472="Rechazar H0"),"Error tipo I",IF(AND(B1472="Ha verdadera",E1472="No rechazar H0"),"Error tipo II","Decisión correcta"))</f>
        <v>Decisión correcta</v>
      </c>
    </row>
    <row r="1473" customFormat="false" ht="15" hidden="false" customHeight="false" outlineLevel="0" collapsed="false">
      <c r="A1473" s="0" t="n">
        <v>1452</v>
      </c>
      <c r="B1473" s="0" t="s">
        <v>86</v>
      </c>
      <c r="C1473" s="17" t="n">
        <v>-0.0331187715658798</v>
      </c>
      <c r="D1473" s="17" t="n">
        <f aca="false">(C1473-$B$4)/($B$6/SQRT($B$7))</f>
        <v>-0.165593857829399</v>
      </c>
      <c r="E1473" s="0" t="str">
        <f aca="false">IF(OR(AND($B$9="superior",D1473&gt;$B$10),AND($B$9="inferior",D1473&lt;-$B$10)),"Rechazar H0","No rechazar H0")</f>
        <v>No rechazar H0</v>
      </c>
      <c r="F1473" s="0" t="str">
        <f aca="false">IF(AND(B1473="H0 verdadera",E1473="Rechazar H0"),"Error tipo I",IF(AND(B1473="Ha verdadera",E1473="No rechazar H0"),"Error tipo II","Decisión correcta"))</f>
        <v>Error tipo II</v>
      </c>
    </row>
    <row r="1474" customFormat="false" ht="15" hidden="false" customHeight="false" outlineLevel="0" collapsed="false">
      <c r="A1474" s="0" t="n">
        <v>1453</v>
      </c>
      <c r="B1474" s="0" t="s">
        <v>85</v>
      </c>
      <c r="C1474" s="17" t="n">
        <v>-0.144205456471939</v>
      </c>
      <c r="D1474" s="17" t="n">
        <f aca="false">(C1474-$B$4)/($B$6/SQRT($B$7))</f>
        <v>-0.721027282359695</v>
      </c>
      <c r="E1474" s="0" t="str">
        <f aca="false">IF(OR(AND($B$9="superior",D1474&gt;$B$10),AND($B$9="inferior",D1474&lt;-$B$10)),"Rechazar H0","No rechazar H0")</f>
        <v>No rechazar H0</v>
      </c>
      <c r="F1474" s="0" t="str">
        <f aca="false">IF(AND(B1474="H0 verdadera",E1474="Rechazar H0"),"Error tipo I",IF(AND(B1474="Ha verdadera",E1474="No rechazar H0"),"Error tipo II","Decisión correcta"))</f>
        <v>Decisión correcta</v>
      </c>
    </row>
    <row r="1475" customFormat="false" ht="15" hidden="false" customHeight="false" outlineLevel="0" collapsed="false">
      <c r="A1475" s="0" t="n">
        <v>1454</v>
      </c>
      <c r="B1475" s="0" t="s">
        <v>85</v>
      </c>
      <c r="C1475" s="17" t="n">
        <v>-0.104747589047644</v>
      </c>
      <c r="D1475" s="17" t="n">
        <f aca="false">(C1475-$B$4)/($B$6/SQRT($B$7))</f>
        <v>-0.523737945238221</v>
      </c>
      <c r="E1475" s="0" t="str">
        <f aca="false">IF(OR(AND($B$9="superior",D1475&gt;$B$10),AND($B$9="inferior",D1475&lt;-$B$10)),"Rechazar H0","No rechazar H0")</f>
        <v>No rechazar H0</v>
      </c>
      <c r="F1475" s="0" t="str">
        <f aca="false">IF(AND(B1475="H0 verdadera",E1475="Rechazar H0"),"Error tipo I",IF(AND(B1475="Ha verdadera",E1475="No rechazar H0"),"Error tipo II","Decisión correcta"))</f>
        <v>Decisión correcta</v>
      </c>
    </row>
    <row r="1476" customFormat="false" ht="15" hidden="false" customHeight="false" outlineLevel="0" collapsed="false">
      <c r="A1476" s="0" t="n">
        <v>1455</v>
      </c>
      <c r="B1476" s="0" t="s">
        <v>85</v>
      </c>
      <c r="C1476" s="17" t="n">
        <v>0.035017341414557</v>
      </c>
      <c r="D1476" s="17" t="n">
        <f aca="false">(C1476-$B$4)/($B$6/SQRT($B$7))</f>
        <v>0.175086707072785</v>
      </c>
      <c r="E1476" s="0" t="str">
        <f aca="false">IF(OR(AND($B$9="superior",D1476&gt;$B$10),AND($B$9="inferior",D1476&lt;-$B$10)),"Rechazar H0","No rechazar H0")</f>
        <v>No rechazar H0</v>
      </c>
      <c r="F1476" s="0" t="str">
        <f aca="false">IF(AND(B1476="H0 verdadera",E1476="Rechazar H0"),"Error tipo I",IF(AND(B1476="Ha verdadera",E1476="No rechazar H0"),"Error tipo II","Decisión correcta"))</f>
        <v>Decisión correcta</v>
      </c>
    </row>
    <row r="1477" customFormat="false" ht="15" hidden="false" customHeight="false" outlineLevel="0" collapsed="false">
      <c r="A1477" s="0" t="n">
        <v>1456</v>
      </c>
      <c r="B1477" s="0" t="s">
        <v>86</v>
      </c>
      <c r="C1477" s="17" t="n">
        <v>-0.437464440324486</v>
      </c>
      <c r="D1477" s="17" t="n">
        <f aca="false">(C1477-$B$4)/($B$6/SQRT($B$7))</f>
        <v>-2.18732220162243</v>
      </c>
      <c r="E1477" s="0" t="str">
        <f aca="false">IF(OR(AND($B$9="superior",D1477&gt;$B$10),AND($B$9="inferior",D1477&lt;-$B$10)),"Rechazar H0","No rechazar H0")</f>
        <v>Rechazar H0</v>
      </c>
      <c r="F1477" s="0" t="str">
        <f aca="false">IF(AND(B1477="H0 verdadera",E1477="Rechazar H0"),"Error tipo I",IF(AND(B1477="Ha verdadera",E1477="No rechazar H0"),"Error tipo II","Decisión correcta"))</f>
        <v>Decisión correcta</v>
      </c>
    </row>
    <row r="1478" customFormat="false" ht="15" hidden="false" customHeight="false" outlineLevel="0" collapsed="false">
      <c r="A1478" s="0" t="n">
        <v>1457</v>
      </c>
      <c r="B1478" s="0" t="s">
        <v>85</v>
      </c>
      <c r="C1478" s="17" t="n">
        <v>-0.0587877115120285</v>
      </c>
      <c r="D1478" s="17" t="n">
        <f aca="false">(C1478-$B$4)/($B$6/SQRT($B$7))</f>
        <v>-0.293938557560142</v>
      </c>
      <c r="E1478" s="0" t="str">
        <f aca="false">IF(OR(AND($B$9="superior",D1478&gt;$B$10),AND($B$9="inferior",D1478&lt;-$B$10)),"Rechazar H0","No rechazar H0")</f>
        <v>No rechazar H0</v>
      </c>
      <c r="F1478" s="0" t="str">
        <f aca="false">IF(AND(B1478="H0 verdadera",E1478="Rechazar H0"),"Error tipo I",IF(AND(B1478="Ha verdadera",E1478="No rechazar H0"),"Error tipo II","Decisión correcta"))</f>
        <v>Decisión correcta</v>
      </c>
    </row>
    <row r="1479" customFormat="false" ht="15" hidden="false" customHeight="false" outlineLevel="0" collapsed="false">
      <c r="A1479" s="0" t="n">
        <v>1458</v>
      </c>
      <c r="B1479" s="0" t="s">
        <v>86</v>
      </c>
      <c r="C1479" s="17" t="n">
        <v>-0.344535616175799</v>
      </c>
      <c r="D1479" s="17" t="n">
        <f aca="false">(C1479-$B$4)/($B$6/SQRT($B$7))</f>
        <v>-1.72267808087899</v>
      </c>
      <c r="E1479" s="0" t="str">
        <f aca="false">IF(OR(AND($B$9="superior",D1479&gt;$B$10),AND($B$9="inferior",D1479&lt;-$B$10)),"Rechazar H0","No rechazar H0")</f>
        <v>Rechazar H0</v>
      </c>
      <c r="F1479" s="0" t="str">
        <f aca="false">IF(AND(B1479="H0 verdadera",E1479="Rechazar H0"),"Error tipo I",IF(AND(B1479="Ha verdadera",E1479="No rechazar H0"),"Error tipo II","Decisión correcta"))</f>
        <v>Decisión correcta</v>
      </c>
    </row>
    <row r="1480" customFormat="false" ht="15" hidden="false" customHeight="false" outlineLevel="0" collapsed="false">
      <c r="A1480" s="0" t="n">
        <v>1459</v>
      </c>
      <c r="B1480" s="0" t="s">
        <v>85</v>
      </c>
      <c r="C1480" s="17" t="n">
        <v>-0.221135055260638</v>
      </c>
      <c r="D1480" s="17" t="n">
        <f aca="false">(C1480-$B$4)/($B$6/SQRT($B$7))</f>
        <v>-1.10567527630319</v>
      </c>
      <c r="E1480" s="0" t="str">
        <f aca="false">IF(OR(AND($B$9="superior",D1480&gt;$B$10),AND($B$9="inferior",D1480&lt;-$B$10)),"Rechazar H0","No rechazar H0")</f>
        <v>No rechazar H0</v>
      </c>
      <c r="F1480" s="0" t="str">
        <f aca="false">IF(AND(B1480="H0 verdadera",E1480="Rechazar H0"),"Error tipo I",IF(AND(B1480="Ha verdadera",E1480="No rechazar H0"),"Error tipo II","Decisión correcta"))</f>
        <v>Decisión correcta</v>
      </c>
    </row>
    <row r="1481" customFormat="false" ht="15" hidden="false" customHeight="false" outlineLevel="0" collapsed="false">
      <c r="A1481" s="0" t="n">
        <v>1460</v>
      </c>
      <c r="B1481" s="0" t="s">
        <v>85</v>
      </c>
      <c r="C1481" s="17" t="n">
        <v>0.312567879096357</v>
      </c>
      <c r="D1481" s="17" t="n">
        <f aca="false">(C1481-$B$4)/($B$6/SQRT($B$7))</f>
        <v>1.56283939548179</v>
      </c>
      <c r="E1481" s="0" t="str">
        <f aca="false">IF(OR(AND($B$9="superior",D1481&gt;$B$10),AND($B$9="inferior",D1481&lt;-$B$10)),"Rechazar H0","No rechazar H0")</f>
        <v>No rechazar H0</v>
      </c>
      <c r="F1481" s="0" t="str">
        <f aca="false">IF(AND(B1481="H0 verdadera",E1481="Rechazar H0"),"Error tipo I",IF(AND(B1481="Ha verdadera",E1481="No rechazar H0"),"Error tipo II","Decisión correcta"))</f>
        <v>Decisión correcta</v>
      </c>
    </row>
    <row r="1482" customFormat="false" ht="15" hidden="false" customHeight="false" outlineLevel="0" collapsed="false">
      <c r="A1482" s="0" t="n">
        <v>1461</v>
      </c>
      <c r="B1482" s="0" t="s">
        <v>86</v>
      </c>
      <c r="C1482" s="17" t="n">
        <v>-0.126752396175094</v>
      </c>
      <c r="D1482" s="17" t="n">
        <f aca="false">(C1482-$B$4)/($B$6/SQRT($B$7))</f>
        <v>-0.633761980875472</v>
      </c>
      <c r="E1482" s="0" t="str">
        <f aca="false">IF(OR(AND($B$9="superior",D1482&gt;$B$10),AND($B$9="inferior",D1482&lt;-$B$10)),"Rechazar H0","No rechazar H0")</f>
        <v>No rechazar H0</v>
      </c>
      <c r="F1482" s="0" t="str">
        <f aca="false">IF(AND(B1482="H0 verdadera",E1482="Rechazar H0"),"Error tipo I",IF(AND(B1482="Ha verdadera",E1482="No rechazar H0"),"Error tipo II","Decisión correcta"))</f>
        <v>Error tipo II</v>
      </c>
    </row>
    <row r="1483" customFormat="false" ht="15" hidden="false" customHeight="false" outlineLevel="0" collapsed="false">
      <c r="A1483" s="0" t="n">
        <v>1462</v>
      </c>
      <c r="B1483" s="0" t="s">
        <v>85</v>
      </c>
      <c r="C1483" s="17" t="n">
        <v>0.052949594875902</v>
      </c>
      <c r="D1483" s="17" t="n">
        <f aca="false">(C1483-$B$4)/($B$6/SQRT($B$7))</f>
        <v>0.26474797437951</v>
      </c>
      <c r="E1483" s="0" t="str">
        <f aca="false">IF(OR(AND($B$9="superior",D1483&gt;$B$10),AND($B$9="inferior",D1483&lt;-$B$10)),"Rechazar H0","No rechazar H0")</f>
        <v>No rechazar H0</v>
      </c>
      <c r="F1483" s="0" t="str">
        <f aca="false">IF(AND(B1483="H0 verdadera",E1483="Rechazar H0"),"Error tipo I",IF(AND(B1483="Ha verdadera",E1483="No rechazar H0"),"Error tipo II","Decisión correcta"))</f>
        <v>Decisión correcta</v>
      </c>
    </row>
    <row r="1484" customFormat="false" ht="15" hidden="false" customHeight="false" outlineLevel="0" collapsed="false">
      <c r="A1484" s="0" t="n">
        <v>1463</v>
      </c>
      <c r="B1484" s="0" t="s">
        <v>86</v>
      </c>
      <c r="C1484" s="17" t="n">
        <v>-0.709697915457677</v>
      </c>
      <c r="D1484" s="17" t="n">
        <f aca="false">(C1484-$B$4)/($B$6/SQRT($B$7))</f>
        <v>-3.54848957728839</v>
      </c>
      <c r="E1484" s="0" t="str">
        <f aca="false">IF(OR(AND($B$9="superior",D1484&gt;$B$10),AND($B$9="inferior",D1484&lt;-$B$10)),"Rechazar H0","No rechazar H0")</f>
        <v>Rechazar H0</v>
      </c>
      <c r="F1484" s="0" t="str">
        <f aca="false">IF(AND(B1484="H0 verdadera",E1484="Rechazar H0"),"Error tipo I",IF(AND(B1484="Ha verdadera",E1484="No rechazar H0"),"Error tipo II","Decisión correcta"))</f>
        <v>Decisión correcta</v>
      </c>
    </row>
    <row r="1485" customFormat="false" ht="15" hidden="false" customHeight="false" outlineLevel="0" collapsed="false">
      <c r="A1485" s="0" t="n">
        <v>1464</v>
      </c>
      <c r="B1485" s="0" t="s">
        <v>85</v>
      </c>
      <c r="C1485" s="17" t="n">
        <v>0.325190800130947</v>
      </c>
      <c r="D1485" s="17" t="n">
        <f aca="false">(C1485-$B$4)/($B$6/SQRT($B$7))</f>
        <v>1.62595400065474</v>
      </c>
      <c r="E1485" s="0" t="str">
        <f aca="false">IF(OR(AND($B$9="superior",D1485&gt;$B$10),AND($B$9="inferior",D1485&lt;-$B$10)),"Rechazar H0","No rechazar H0")</f>
        <v>No rechazar H0</v>
      </c>
      <c r="F1485" s="0" t="str">
        <f aca="false">IF(AND(B1485="H0 verdadera",E1485="Rechazar H0"),"Error tipo I",IF(AND(B1485="Ha verdadera",E1485="No rechazar H0"),"Error tipo II","Decisión correcta"))</f>
        <v>Decisión correcta</v>
      </c>
    </row>
    <row r="1486" customFormat="false" ht="15" hidden="false" customHeight="false" outlineLevel="0" collapsed="false">
      <c r="A1486" s="0" t="n">
        <v>1465</v>
      </c>
      <c r="B1486" s="0" t="s">
        <v>86</v>
      </c>
      <c r="C1486" s="17" t="n">
        <v>-0.520992437999193</v>
      </c>
      <c r="D1486" s="17" t="n">
        <f aca="false">(C1486-$B$4)/($B$6/SQRT($B$7))</f>
        <v>-2.60496218999597</v>
      </c>
      <c r="E1486" s="0" t="str">
        <f aca="false">IF(OR(AND($B$9="superior",D1486&gt;$B$10),AND($B$9="inferior",D1486&lt;-$B$10)),"Rechazar H0","No rechazar H0")</f>
        <v>Rechazar H0</v>
      </c>
      <c r="F1486" s="0" t="str">
        <f aca="false">IF(AND(B1486="H0 verdadera",E1486="Rechazar H0"),"Error tipo I",IF(AND(B1486="Ha verdadera",E1486="No rechazar H0"),"Error tipo II","Decisión correcta"))</f>
        <v>Decisión correcta</v>
      </c>
    </row>
    <row r="1487" customFormat="false" ht="15" hidden="false" customHeight="false" outlineLevel="0" collapsed="false">
      <c r="A1487" s="0" t="n">
        <v>1466</v>
      </c>
      <c r="B1487" s="0" t="s">
        <v>85</v>
      </c>
      <c r="C1487" s="17" t="n">
        <v>-0.626395611943805</v>
      </c>
      <c r="D1487" s="17" t="n">
        <f aca="false">(C1487-$B$4)/($B$6/SQRT($B$7))</f>
        <v>-3.13197805971902</v>
      </c>
      <c r="E1487" s="0" t="str">
        <f aca="false">IF(OR(AND($B$9="superior",D1487&gt;$B$10),AND($B$9="inferior",D1487&lt;-$B$10)),"Rechazar H0","No rechazar H0")</f>
        <v>Rechazar H0</v>
      </c>
      <c r="F1487" s="0" t="str">
        <f aca="false">IF(AND(B1487="H0 verdadera",E1487="Rechazar H0"),"Error tipo I",IF(AND(B1487="Ha verdadera",E1487="No rechazar H0"),"Error tipo II","Decisión correcta"))</f>
        <v>Error tipo I</v>
      </c>
    </row>
    <row r="1488" customFormat="false" ht="15" hidden="false" customHeight="false" outlineLevel="0" collapsed="false">
      <c r="A1488" s="0" t="n">
        <v>1467</v>
      </c>
      <c r="B1488" s="0" t="s">
        <v>85</v>
      </c>
      <c r="C1488" s="17" t="n">
        <v>0.142509264594832</v>
      </c>
      <c r="D1488" s="17" t="n">
        <f aca="false">(C1488-$B$4)/($B$6/SQRT($B$7))</f>
        <v>0.712546322974161</v>
      </c>
      <c r="E1488" s="0" t="str">
        <f aca="false">IF(OR(AND($B$9="superior",D1488&gt;$B$10),AND($B$9="inferior",D1488&lt;-$B$10)),"Rechazar H0","No rechazar H0")</f>
        <v>No rechazar H0</v>
      </c>
      <c r="F1488" s="0" t="str">
        <f aca="false">IF(AND(B1488="H0 verdadera",E1488="Rechazar H0"),"Error tipo I",IF(AND(B1488="Ha verdadera",E1488="No rechazar H0"),"Error tipo II","Decisión correcta"))</f>
        <v>Decisión correcta</v>
      </c>
    </row>
    <row r="1489" customFormat="false" ht="15" hidden="false" customHeight="false" outlineLevel="0" collapsed="false">
      <c r="A1489" s="0" t="n">
        <v>1468</v>
      </c>
      <c r="B1489" s="0" t="s">
        <v>85</v>
      </c>
      <c r="C1489" s="17" t="n">
        <v>0.0800132217190983</v>
      </c>
      <c r="D1489" s="17" t="n">
        <f aca="false">(C1489-$B$4)/($B$6/SQRT($B$7))</f>
        <v>0.400066108595491</v>
      </c>
      <c r="E1489" s="0" t="str">
        <f aca="false">IF(OR(AND($B$9="superior",D1489&gt;$B$10),AND($B$9="inferior",D1489&lt;-$B$10)),"Rechazar H0","No rechazar H0")</f>
        <v>No rechazar H0</v>
      </c>
      <c r="F1489" s="0" t="str">
        <f aca="false">IF(AND(B1489="H0 verdadera",E1489="Rechazar H0"),"Error tipo I",IF(AND(B1489="Ha verdadera",E1489="No rechazar H0"),"Error tipo II","Decisión correcta"))</f>
        <v>Decisión correcta</v>
      </c>
    </row>
    <row r="1490" customFormat="false" ht="15" hidden="false" customHeight="false" outlineLevel="0" collapsed="false">
      <c r="A1490" s="0" t="n">
        <v>1469</v>
      </c>
      <c r="B1490" s="0" t="s">
        <v>86</v>
      </c>
      <c r="C1490" s="17" t="n">
        <v>-0.593451192858027</v>
      </c>
      <c r="D1490" s="17" t="n">
        <f aca="false">(C1490-$B$4)/($B$6/SQRT($B$7))</f>
        <v>-2.96725596429014</v>
      </c>
      <c r="E1490" s="0" t="str">
        <f aca="false">IF(OR(AND($B$9="superior",D1490&gt;$B$10),AND($B$9="inferior",D1490&lt;-$B$10)),"Rechazar H0","No rechazar H0")</f>
        <v>Rechazar H0</v>
      </c>
      <c r="F1490" s="0" t="str">
        <f aca="false">IF(AND(B1490="H0 verdadera",E1490="Rechazar H0"),"Error tipo I",IF(AND(B1490="Ha verdadera",E1490="No rechazar H0"),"Error tipo II","Decisión correcta"))</f>
        <v>Decisión correcta</v>
      </c>
    </row>
    <row r="1491" customFormat="false" ht="15" hidden="false" customHeight="false" outlineLevel="0" collapsed="false">
      <c r="A1491" s="0" t="n">
        <v>1470</v>
      </c>
      <c r="B1491" s="0" t="s">
        <v>85</v>
      </c>
      <c r="C1491" s="17" t="n">
        <v>0.356627424770456</v>
      </c>
      <c r="D1491" s="17" t="n">
        <f aca="false">(C1491-$B$4)/($B$6/SQRT($B$7))</f>
        <v>1.78313712385228</v>
      </c>
      <c r="E1491" s="0" t="str">
        <f aca="false">IF(OR(AND($B$9="superior",D1491&gt;$B$10),AND($B$9="inferior",D1491&lt;-$B$10)),"Rechazar H0","No rechazar H0")</f>
        <v>No rechazar H0</v>
      </c>
      <c r="F1491" s="0" t="str">
        <f aca="false">IF(AND(B1491="H0 verdadera",E1491="Rechazar H0"),"Error tipo I",IF(AND(B1491="Ha verdadera",E1491="No rechazar H0"),"Error tipo II","Decisión correcta"))</f>
        <v>Decisión correcta</v>
      </c>
    </row>
    <row r="1492" customFormat="false" ht="15" hidden="false" customHeight="false" outlineLevel="0" collapsed="false">
      <c r="A1492" s="0" t="n">
        <v>1471</v>
      </c>
      <c r="B1492" s="0" t="s">
        <v>86</v>
      </c>
      <c r="C1492" s="17" t="n">
        <v>-0.245013126162903</v>
      </c>
      <c r="D1492" s="17" t="n">
        <f aca="false">(C1492-$B$4)/($B$6/SQRT($B$7))</f>
        <v>-1.22506563081452</v>
      </c>
      <c r="E1492" s="0" t="str">
        <f aca="false">IF(OR(AND($B$9="superior",D1492&gt;$B$10),AND($B$9="inferior",D1492&lt;-$B$10)),"Rechazar H0","No rechazar H0")</f>
        <v>No rechazar H0</v>
      </c>
      <c r="F1492" s="0" t="str">
        <f aca="false">IF(AND(B1492="H0 verdadera",E1492="Rechazar H0"),"Error tipo I",IF(AND(B1492="Ha verdadera",E1492="No rechazar H0"),"Error tipo II","Decisión correcta"))</f>
        <v>Error tipo II</v>
      </c>
    </row>
    <row r="1493" customFormat="false" ht="15" hidden="false" customHeight="false" outlineLevel="0" collapsed="false">
      <c r="A1493" s="0" t="n">
        <v>1472</v>
      </c>
      <c r="B1493" s="0" t="s">
        <v>85</v>
      </c>
      <c r="C1493" s="17" t="n">
        <v>-0.135906963760969</v>
      </c>
      <c r="D1493" s="17" t="n">
        <f aca="false">(C1493-$B$4)/($B$6/SQRT($B$7))</f>
        <v>-0.679534818804843</v>
      </c>
      <c r="E1493" s="0" t="str">
        <f aca="false">IF(OR(AND($B$9="superior",D1493&gt;$B$10),AND($B$9="inferior",D1493&lt;-$B$10)),"Rechazar H0","No rechazar H0")</f>
        <v>No rechazar H0</v>
      </c>
      <c r="F1493" s="0" t="str">
        <f aca="false">IF(AND(B1493="H0 verdadera",E1493="Rechazar H0"),"Error tipo I",IF(AND(B1493="Ha verdadera",E1493="No rechazar H0"),"Error tipo II","Decisión correcta"))</f>
        <v>Decisión correcta</v>
      </c>
    </row>
    <row r="1494" customFormat="false" ht="15" hidden="false" customHeight="false" outlineLevel="0" collapsed="false">
      <c r="A1494" s="0" t="n">
        <v>1473</v>
      </c>
      <c r="B1494" s="0" t="s">
        <v>85</v>
      </c>
      <c r="C1494" s="17" t="n">
        <v>0.167782604788747</v>
      </c>
      <c r="D1494" s="17" t="n">
        <f aca="false">(C1494-$B$4)/($B$6/SQRT($B$7))</f>
        <v>0.838913023943732</v>
      </c>
      <c r="E1494" s="0" t="str">
        <f aca="false">IF(OR(AND($B$9="superior",D1494&gt;$B$10),AND($B$9="inferior",D1494&lt;-$B$10)),"Rechazar H0","No rechazar H0")</f>
        <v>No rechazar H0</v>
      </c>
      <c r="F1494" s="0" t="str">
        <f aca="false">IF(AND(B1494="H0 verdadera",E1494="Rechazar H0"),"Error tipo I",IF(AND(B1494="Ha verdadera",E1494="No rechazar H0"),"Error tipo II","Decisión correcta"))</f>
        <v>Decisión correcta</v>
      </c>
    </row>
    <row r="1495" customFormat="false" ht="15" hidden="false" customHeight="false" outlineLevel="0" collapsed="false">
      <c r="A1495" s="0" t="n">
        <v>1474</v>
      </c>
      <c r="B1495" s="0" t="s">
        <v>85</v>
      </c>
      <c r="C1495" s="17" t="n">
        <v>-0.0334561469106037</v>
      </c>
      <c r="D1495" s="17" t="n">
        <f aca="false">(C1495-$B$4)/($B$6/SQRT($B$7))</f>
        <v>-0.167280734553019</v>
      </c>
      <c r="E1495" s="0" t="str">
        <f aca="false">IF(OR(AND($B$9="superior",D1495&gt;$B$10),AND($B$9="inferior",D1495&lt;-$B$10)),"Rechazar H0","No rechazar H0")</f>
        <v>No rechazar H0</v>
      </c>
      <c r="F1495" s="0" t="str">
        <f aca="false">IF(AND(B1495="H0 verdadera",E1495="Rechazar H0"),"Error tipo I",IF(AND(B1495="Ha verdadera",E1495="No rechazar H0"),"Error tipo II","Decisión correcta"))</f>
        <v>Decisión correcta</v>
      </c>
    </row>
    <row r="1496" customFormat="false" ht="15" hidden="false" customHeight="false" outlineLevel="0" collapsed="false">
      <c r="A1496" s="0" t="n">
        <v>1475</v>
      </c>
      <c r="B1496" s="0" t="s">
        <v>86</v>
      </c>
      <c r="C1496" s="17" t="n">
        <v>-0.456710176751024</v>
      </c>
      <c r="D1496" s="17" t="n">
        <f aca="false">(C1496-$B$4)/($B$6/SQRT($B$7))</f>
        <v>-2.28355088375512</v>
      </c>
      <c r="E1496" s="0" t="str">
        <f aca="false">IF(OR(AND($B$9="superior",D1496&gt;$B$10),AND($B$9="inferior",D1496&lt;-$B$10)),"Rechazar H0","No rechazar H0")</f>
        <v>Rechazar H0</v>
      </c>
      <c r="F1496" s="0" t="str">
        <f aca="false">IF(AND(B1496="H0 verdadera",E1496="Rechazar H0"),"Error tipo I",IF(AND(B1496="Ha verdadera",E1496="No rechazar H0"),"Error tipo II","Decisión correcta"))</f>
        <v>Decisión correcta</v>
      </c>
    </row>
    <row r="1497" customFormat="false" ht="15" hidden="false" customHeight="false" outlineLevel="0" collapsed="false">
      <c r="A1497" s="0" t="n">
        <v>1476</v>
      </c>
      <c r="B1497" s="0" t="s">
        <v>85</v>
      </c>
      <c r="C1497" s="17" t="n">
        <v>-0.0311079319747649</v>
      </c>
      <c r="D1497" s="17" t="n">
        <f aca="false">(C1497-$B$4)/($B$6/SQRT($B$7))</f>
        <v>-0.155539659873825</v>
      </c>
      <c r="E1497" s="0" t="str">
        <f aca="false">IF(OR(AND($B$9="superior",D1497&gt;$B$10),AND($B$9="inferior",D1497&lt;-$B$10)),"Rechazar H0","No rechazar H0")</f>
        <v>No rechazar H0</v>
      </c>
      <c r="F1497" s="0" t="str">
        <f aca="false">IF(AND(B1497="H0 verdadera",E1497="Rechazar H0"),"Error tipo I",IF(AND(B1497="Ha verdadera",E1497="No rechazar H0"),"Error tipo II","Decisión correcta"))</f>
        <v>Decisión correcta</v>
      </c>
    </row>
    <row r="1498" customFormat="false" ht="15" hidden="false" customHeight="false" outlineLevel="0" collapsed="false">
      <c r="A1498" s="0" t="n">
        <v>1477</v>
      </c>
      <c r="B1498" s="0" t="s">
        <v>86</v>
      </c>
      <c r="C1498" s="17" t="n">
        <v>-0.587546905664647</v>
      </c>
      <c r="D1498" s="17" t="n">
        <f aca="false">(C1498-$B$4)/($B$6/SQRT($B$7))</f>
        <v>-2.93773452832324</v>
      </c>
      <c r="E1498" s="0" t="str">
        <f aca="false">IF(OR(AND($B$9="superior",D1498&gt;$B$10),AND($B$9="inferior",D1498&lt;-$B$10)),"Rechazar H0","No rechazar H0")</f>
        <v>Rechazar H0</v>
      </c>
      <c r="F1498" s="0" t="str">
        <f aca="false">IF(AND(B1498="H0 verdadera",E1498="Rechazar H0"),"Error tipo I",IF(AND(B1498="Ha verdadera",E1498="No rechazar H0"),"Error tipo II","Decisión correcta"))</f>
        <v>Decisión correcta</v>
      </c>
    </row>
    <row r="1499" customFormat="false" ht="15" hidden="false" customHeight="false" outlineLevel="0" collapsed="false">
      <c r="A1499" s="0" t="n">
        <v>1478</v>
      </c>
      <c r="B1499" s="0" t="s">
        <v>86</v>
      </c>
      <c r="C1499" s="17" t="n">
        <v>-0.0900813689159089</v>
      </c>
      <c r="D1499" s="17" t="n">
        <f aca="false">(C1499-$B$4)/($B$6/SQRT($B$7))</f>
        <v>-0.450406844579544</v>
      </c>
      <c r="E1499" s="0" t="str">
        <f aca="false">IF(OR(AND($B$9="superior",D1499&gt;$B$10),AND($B$9="inferior",D1499&lt;-$B$10)),"Rechazar H0","No rechazar H0")</f>
        <v>No rechazar H0</v>
      </c>
      <c r="F1499" s="0" t="str">
        <f aca="false">IF(AND(B1499="H0 verdadera",E1499="Rechazar H0"),"Error tipo I",IF(AND(B1499="Ha verdadera",E1499="No rechazar H0"),"Error tipo II","Decisión correcta"))</f>
        <v>Error tipo II</v>
      </c>
    </row>
    <row r="1500" customFormat="false" ht="15" hidden="false" customHeight="false" outlineLevel="0" collapsed="false">
      <c r="A1500" s="0" t="n">
        <v>1479</v>
      </c>
      <c r="B1500" s="0" t="s">
        <v>86</v>
      </c>
      <c r="C1500" s="17" t="n">
        <v>-0.55731718054467</v>
      </c>
      <c r="D1500" s="17" t="n">
        <f aca="false">(C1500-$B$4)/($B$6/SQRT($B$7))</f>
        <v>-2.78658590272335</v>
      </c>
      <c r="E1500" s="0" t="str">
        <f aca="false">IF(OR(AND($B$9="superior",D1500&gt;$B$10),AND($B$9="inferior",D1500&lt;-$B$10)),"Rechazar H0","No rechazar H0")</f>
        <v>Rechazar H0</v>
      </c>
      <c r="F1500" s="0" t="str">
        <f aca="false">IF(AND(B1500="H0 verdadera",E1500="Rechazar H0"),"Error tipo I",IF(AND(B1500="Ha verdadera",E1500="No rechazar H0"),"Error tipo II","Decisión correcta"))</f>
        <v>Decisión correcta</v>
      </c>
    </row>
    <row r="1501" customFormat="false" ht="15" hidden="false" customHeight="false" outlineLevel="0" collapsed="false">
      <c r="A1501" s="0" t="n">
        <v>1480</v>
      </c>
      <c r="B1501" s="0" t="s">
        <v>85</v>
      </c>
      <c r="C1501" s="17" t="n">
        <v>0.12645116476513</v>
      </c>
      <c r="D1501" s="17" t="n">
        <f aca="false">(C1501-$B$4)/($B$6/SQRT($B$7))</f>
        <v>0.63225582382565</v>
      </c>
      <c r="E1501" s="0" t="str">
        <f aca="false">IF(OR(AND($B$9="superior",D1501&gt;$B$10),AND($B$9="inferior",D1501&lt;-$B$10)),"Rechazar H0","No rechazar H0")</f>
        <v>No rechazar H0</v>
      </c>
      <c r="F1501" s="0" t="str">
        <f aca="false">IF(AND(B1501="H0 verdadera",E1501="Rechazar H0"),"Error tipo I",IF(AND(B1501="Ha verdadera",E1501="No rechazar H0"),"Error tipo II","Decisión correcta"))</f>
        <v>Decisión correcta</v>
      </c>
    </row>
    <row r="1502" customFormat="false" ht="15" hidden="false" customHeight="false" outlineLevel="0" collapsed="false">
      <c r="A1502" s="0" t="n">
        <v>1481</v>
      </c>
      <c r="B1502" s="0" t="s">
        <v>85</v>
      </c>
      <c r="C1502" s="17" t="n">
        <v>-0.0932563231252019</v>
      </c>
      <c r="D1502" s="17" t="n">
        <f aca="false">(C1502-$B$4)/($B$6/SQRT($B$7))</f>
        <v>-0.466281615626009</v>
      </c>
      <c r="E1502" s="0" t="str">
        <f aca="false">IF(OR(AND($B$9="superior",D1502&gt;$B$10),AND($B$9="inferior",D1502&lt;-$B$10)),"Rechazar H0","No rechazar H0")</f>
        <v>No rechazar H0</v>
      </c>
      <c r="F1502" s="0" t="str">
        <f aca="false">IF(AND(B1502="H0 verdadera",E1502="Rechazar H0"),"Error tipo I",IF(AND(B1502="Ha verdadera",E1502="No rechazar H0"),"Error tipo II","Decisión correcta"))</f>
        <v>Decisión correcta</v>
      </c>
    </row>
    <row r="1503" customFormat="false" ht="15" hidden="false" customHeight="false" outlineLevel="0" collapsed="false">
      <c r="A1503" s="0" t="n">
        <v>1482</v>
      </c>
      <c r="B1503" s="0" t="s">
        <v>85</v>
      </c>
      <c r="C1503" s="17" t="n">
        <v>0.0965747357516585</v>
      </c>
      <c r="D1503" s="17" t="n">
        <f aca="false">(C1503-$B$4)/($B$6/SQRT($B$7))</f>
        <v>0.482873678758292</v>
      </c>
      <c r="E1503" s="0" t="str">
        <f aca="false">IF(OR(AND($B$9="superior",D1503&gt;$B$10),AND($B$9="inferior",D1503&lt;-$B$10)),"Rechazar H0","No rechazar H0")</f>
        <v>No rechazar H0</v>
      </c>
      <c r="F1503" s="0" t="str">
        <f aca="false">IF(AND(B1503="H0 verdadera",E1503="Rechazar H0"),"Error tipo I",IF(AND(B1503="Ha verdadera",E1503="No rechazar H0"),"Error tipo II","Decisión correcta"))</f>
        <v>Decisión correcta</v>
      </c>
    </row>
    <row r="1504" customFormat="false" ht="15" hidden="false" customHeight="false" outlineLevel="0" collapsed="false">
      <c r="A1504" s="0" t="n">
        <v>1483</v>
      </c>
      <c r="B1504" s="0" t="s">
        <v>86</v>
      </c>
      <c r="C1504" s="17" t="n">
        <v>-0.305124853663658</v>
      </c>
      <c r="D1504" s="17" t="n">
        <f aca="false">(C1504-$B$4)/($B$6/SQRT($B$7))</f>
        <v>-1.52562426831829</v>
      </c>
      <c r="E1504" s="0" t="str">
        <f aca="false">IF(OR(AND($B$9="superior",D1504&gt;$B$10),AND($B$9="inferior",D1504&lt;-$B$10)),"Rechazar H0","No rechazar H0")</f>
        <v>No rechazar H0</v>
      </c>
      <c r="F1504" s="0" t="str">
        <f aca="false">IF(AND(B1504="H0 verdadera",E1504="Rechazar H0"),"Error tipo I",IF(AND(B1504="Ha verdadera",E1504="No rechazar H0"),"Error tipo II","Decisión correcta"))</f>
        <v>Error tipo II</v>
      </c>
    </row>
    <row r="1505" customFormat="false" ht="15" hidden="false" customHeight="false" outlineLevel="0" collapsed="false">
      <c r="A1505" s="0" t="n">
        <v>1484</v>
      </c>
      <c r="B1505" s="0" t="s">
        <v>85</v>
      </c>
      <c r="C1505" s="17" t="n">
        <v>0.180467376181414</v>
      </c>
      <c r="D1505" s="17" t="n">
        <f aca="false">(C1505-$B$4)/($B$6/SQRT($B$7))</f>
        <v>0.902336880907071</v>
      </c>
      <c r="E1505" s="0" t="str">
        <f aca="false">IF(OR(AND($B$9="superior",D1505&gt;$B$10),AND($B$9="inferior",D1505&lt;-$B$10)),"Rechazar H0","No rechazar H0")</f>
        <v>No rechazar H0</v>
      </c>
      <c r="F1505" s="0" t="str">
        <f aca="false">IF(AND(B1505="H0 verdadera",E1505="Rechazar H0"),"Error tipo I",IF(AND(B1505="Ha verdadera",E1505="No rechazar H0"),"Error tipo II","Decisión correcta"))</f>
        <v>Decisión correcta</v>
      </c>
    </row>
    <row r="1506" customFormat="false" ht="15" hidden="false" customHeight="false" outlineLevel="0" collapsed="false">
      <c r="A1506" s="0" t="n">
        <v>1485</v>
      </c>
      <c r="B1506" s="0" t="s">
        <v>85</v>
      </c>
      <c r="C1506" s="17" t="n">
        <v>0.0440160846305225</v>
      </c>
      <c r="D1506" s="17" t="n">
        <f aca="false">(C1506-$B$4)/($B$6/SQRT($B$7))</f>
        <v>0.220080423152612</v>
      </c>
      <c r="E1506" s="0" t="str">
        <f aca="false">IF(OR(AND($B$9="superior",D1506&gt;$B$10),AND($B$9="inferior",D1506&lt;-$B$10)),"Rechazar H0","No rechazar H0")</f>
        <v>No rechazar H0</v>
      </c>
      <c r="F1506" s="0" t="str">
        <f aca="false">IF(AND(B1506="H0 verdadera",E1506="Rechazar H0"),"Error tipo I",IF(AND(B1506="Ha verdadera",E1506="No rechazar H0"),"Error tipo II","Decisión correcta"))</f>
        <v>Decisión correcta</v>
      </c>
    </row>
    <row r="1507" customFormat="false" ht="15" hidden="false" customHeight="false" outlineLevel="0" collapsed="false">
      <c r="A1507" s="0" t="n">
        <v>1486</v>
      </c>
      <c r="B1507" s="0" t="s">
        <v>85</v>
      </c>
      <c r="C1507" s="17" t="n">
        <v>-0.0260422302443847</v>
      </c>
      <c r="D1507" s="17" t="n">
        <f aca="false">(C1507-$B$4)/($B$6/SQRT($B$7))</f>
        <v>-0.130211151221923</v>
      </c>
      <c r="E1507" s="0" t="str">
        <f aca="false">IF(OR(AND($B$9="superior",D1507&gt;$B$10),AND($B$9="inferior",D1507&lt;-$B$10)),"Rechazar H0","No rechazar H0")</f>
        <v>No rechazar H0</v>
      </c>
      <c r="F1507" s="0" t="str">
        <f aca="false">IF(AND(B1507="H0 verdadera",E1507="Rechazar H0"),"Error tipo I",IF(AND(B1507="Ha verdadera",E1507="No rechazar H0"),"Error tipo II","Decisión correcta"))</f>
        <v>Decisión correcta</v>
      </c>
    </row>
    <row r="1508" customFormat="false" ht="15" hidden="false" customHeight="false" outlineLevel="0" collapsed="false">
      <c r="A1508" s="0" t="n">
        <v>1487</v>
      </c>
      <c r="B1508" s="0" t="s">
        <v>85</v>
      </c>
      <c r="C1508" s="17" t="n">
        <v>-0.0748883117707167</v>
      </c>
      <c r="D1508" s="17" t="n">
        <f aca="false">(C1508-$B$4)/($B$6/SQRT($B$7))</f>
        <v>-0.374441558853583</v>
      </c>
      <c r="E1508" s="0" t="str">
        <f aca="false">IF(OR(AND($B$9="superior",D1508&gt;$B$10),AND($B$9="inferior",D1508&lt;-$B$10)),"Rechazar H0","No rechazar H0")</f>
        <v>No rechazar H0</v>
      </c>
      <c r="F1508" s="0" t="str">
        <f aca="false">IF(AND(B1508="H0 verdadera",E1508="Rechazar H0"),"Error tipo I",IF(AND(B1508="Ha verdadera",E1508="No rechazar H0"),"Error tipo II","Decisión correcta"))</f>
        <v>Decisión correcta</v>
      </c>
    </row>
    <row r="1509" customFormat="false" ht="15" hidden="false" customHeight="false" outlineLevel="0" collapsed="false">
      <c r="A1509" s="0" t="n">
        <v>1488</v>
      </c>
      <c r="B1509" s="0" t="s">
        <v>86</v>
      </c>
      <c r="C1509" s="17" t="n">
        <v>-0.205984759559081</v>
      </c>
      <c r="D1509" s="17" t="n">
        <f aca="false">(C1509-$B$4)/($B$6/SQRT($B$7))</f>
        <v>-1.02992379779541</v>
      </c>
      <c r="E1509" s="0" t="str">
        <f aca="false">IF(OR(AND($B$9="superior",D1509&gt;$B$10),AND($B$9="inferior",D1509&lt;-$B$10)),"Rechazar H0","No rechazar H0")</f>
        <v>No rechazar H0</v>
      </c>
      <c r="F1509" s="0" t="str">
        <f aca="false">IF(AND(B1509="H0 verdadera",E1509="Rechazar H0"),"Error tipo I",IF(AND(B1509="Ha verdadera",E1509="No rechazar H0"),"Error tipo II","Decisión correcta"))</f>
        <v>Error tipo II</v>
      </c>
    </row>
    <row r="1510" customFormat="false" ht="15" hidden="false" customHeight="false" outlineLevel="0" collapsed="false">
      <c r="A1510" s="0" t="n">
        <v>1489</v>
      </c>
      <c r="B1510" s="0" t="s">
        <v>86</v>
      </c>
      <c r="C1510" s="17" t="n">
        <v>-0.302081031682263</v>
      </c>
      <c r="D1510" s="17" t="n">
        <f aca="false">(C1510-$B$4)/($B$6/SQRT($B$7))</f>
        <v>-1.51040515841132</v>
      </c>
      <c r="E1510" s="0" t="str">
        <f aca="false">IF(OR(AND($B$9="superior",D1510&gt;$B$10),AND($B$9="inferior",D1510&lt;-$B$10)),"Rechazar H0","No rechazar H0")</f>
        <v>No rechazar H0</v>
      </c>
      <c r="F1510" s="0" t="str">
        <f aca="false">IF(AND(B1510="H0 verdadera",E1510="Rechazar H0"),"Error tipo I",IF(AND(B1510="Ha verdadera",E1510="No rechazar H0"),"Error tipo II","Decisión correcta"))</f>
        <v>Error tipo II</v>
      </c>
    </row>
    <row r="1511" customFormat="false" ht="15" hidden="false" customHeight="false" outlineLevel="0" collapsed="false">
      <c r="A1511" s="0" t="n">
        <v>1490</v>
      </c>
      <c r="B1511" s="0" t="s">
        <v>85</v>
      </c>
      <c r="C1511" s="17" t="n">
        <v>-0.117770534708603</v>
      </c>
      <c r="D1511" s="17" t="n">
        <f aca="false">(C1511-$B$4)/($B$6/SQRT($B$7))</f>
        <v>-0.588852673543015</v>
      </c>
      <c r="E1511" s="0" t="str">
        <f aca="false">IF(OR(AND($B$9="superior",D1511&gt;$B$10),AND($B$9="inferior",D1511&lt;-$B$10)),"Rechazar H0","No rechazar H0")</f>
        <v>No rechazar H0</v>
      </c>
      <c r="F1511" s="0" t="str">
        <f aca="false">IF(AND(B1511="H0 verdadera",E1511="Rechazar H0"),"Error tipo I",IF(AND(B1511="Ha verdadera",E1511="No rechazar H0"),"Error tipo II","Decisión correcta"))</f>
        <v>Decisión correcta</v>
      </c>
    </row>
    <row r="1512" customFormat="false" ht="15" hidden="false" customHeight="false" outlineLevel="0" collapsed="false">
      <c r="A1512" s="0" t="n">
        <v>1491</v>
      </c>
      <c r="B1512" s="0" t="s">
        <v>86</v>
      </c>
      <c r="C1512" s="17" t="n">
        <v>-0.497724988132011</v>
      </c>
      <c r="D1512" s="17" t="n">
        <f aca="false">(C1512-$B$4)/($B$6/SQRT($B$7))</f>
        <v>-2.48862494066005</v>
      </c>
      <c r="E1512" s="0" t="str">
        <f aca="false">IF(OR(AND($B$9="superior",D1512&gt;$B$10),AND($B$9="inferior",D1512&lt;-$B$10)),"Rechazar H0","No rechazar H0")</f>
        <v>Rechazar H0</v>
      </c>
      <c r="F1512" s="0" t="str">
        <f aca="false">IF(AND(B1512="H0 verdadera",E1512="Rechazar H0"),"Error tipo I",IF(AND(B1512="Ha verdadera",E1512="No rechazar H0"),"Error tipo II","Decisión correcta"))</f>
        <v>Decisión correcta</v>
      </c>
    </row>
    <row r="1513" customFormat="false" ht="15" hidden="false" customHeight="false" outlineLevel="0" collapsed="false">
      <c r="A1513" s="0" t="n">
        <v>1492</v>
      </c>
      <c r="B1513" s="0" t="s">
        <v>85</v>
      </c>
      <c r="C1513" s="17" t="n">
        <v>-0.0899584076304669</v>
      </c>
      <c r="D1513" s="17" t="n">
        <f aca="false">(C1513-$B$4)/($B$6/SQRT($B$7))</f>
        <v>-0.449792038152335</v>
      </c>
      <c r="E1513" s="0" t="str">
        <f aca="false">IF(OR(AND($B$9="superior",D1513&gt;$B$10),AND($B$9="inferior",D1513&lt;-$B$10)),"Rechazar H0","No rechazar H0")</f>
        <v>No rechazar H0</v>
      </c>
      <c r="F1513" s="0" t="str">
        <f aca="false">IF(AND(B1513="H0 verdadera",E1513="Rechazar H0"),"Error tipo I",IF(AND(B1513="Ha verdadera",E1513="No rechazar H0"),"Error tipo II","Decisión correcta"))</f>
        <v>Decisión correcta</v>
      </c>
    </row>
    <row r="1514" customFormat="false" ht="15" hidden="false" customHeight="false" outlineLevel="0" collapsed="false">
      <c r="A1514" s="0" t="n">
        <v>1493</v>
      </c>
      <c r="B1514" s="0" t="s">
        <v>86</v>
      </c>
      <c r="C1514" s="17" t="n">
        <v>-0.403329370750493</v>
      </c>
      <c r="D1514" s="17" t="n">
        <f aca="false">(C1514-$B$4)/($B$6/SQRT($B$7))</f>
        <v>-2.01664685375246</v>
      </c>
      <c r="E1514" s="0" t="str">
        <f aca="false">IF(OR(AND($B$9="superior",D1514&gt;$B$10),AND($B$9="inferior",D1514&lt;-$B$10)),"Rechazar H0","No rechazar H0")</f>
        <v>Rechazar H0</v>
      </c>
      <c r="F1514" s="0" t="str">
        <f aca="false">IF(AND(B1514="H0 verdadera",E1514="Rechazar H0"),"Error tipo I",IF(AND(B1514="Ha verdadera",E1514="No rechazar H0"),"Error tipo II","Decisión correcta"))</f>
        <v>Decisión correcta</v>
      </c>
    </row>
    <row r="1515" customFormat="false" ht="15" hidden="false" customHeight="false" outlineLevel="0" collapsed="false">
      <c r="A1515" s="0" t="n">
        <v>1494</v>
      </c>
      <c r="B1515" s="0" t="s">
        <v>86</v>
      </c>
      <c r="C1515" s="17" t="n">
        <v>-0.230568364969562</v>
      </c>
      <c r="D1515" s="17" t="n">
        <f aca="false">(C1515-$B$4)/($B$6/SQRT($B$7))</f>
        <v>-1.15284182484781</v>
      </c>
      <c r="E1515" s="0" t="str">
        <f aca="false">IF(OR(AND($B$9="superior",D1515&gt;$B$10),AND($B$9="inferior",D1515&lt;-$B$10)),"Rechazar H0","No rechazar H0")</f>
        <v>No rechazar H0</v>
      </c>
      <c r="F1515" s="0" t="str">
        <f aca="false">IF(AND(B1515="H0 verdadera",E1515="Rechazar H0"),"Error tipo I",IF(AND(B1515="Ha verdadera",E1515="No rechazar H0"),"Error tipo II","Decisión correcta"))</f>
        <v>Error tipo II</v>
      </c>
    </row>
    <row r="1516" customFormat="false" ht="15" hidden="false" customHeight="false" outlineLevel="0" collapsed="false">
      <c r="A1516" s="0" t="n">
        <v>1495</v>
      </c>
      <c r="B1516" s="0" t="s">
        <v>85</v>
      </c>
      <c r="C1516" s="17" t="n">
        <v>-0.11396794759156</v>
      </c>
      <c r="D1516" s="17" t="n">
        <f aca="false">(C1516-$B$4)/($B$6/SQRT($B$7))</f>
        <v>-0.569839737957802</v>
      </c>
      <c r="E1516" s="0" t="str">
        <f aca="false">IF(OR(AND($B$9="superior",D1516&gt;$B$10),AND($B$9="inferior",D1516&lt;-$B$10)),"Rechazar H0","No rechazar H0")</f>
        <v>No rechazar H0</v>
      </c>
      <c r="F1516" s="0" t="str">
        <f aca="false">IF(AND(B1516="H0 verdadera",E1516="Rechazar H0"),"Error tipo I",IF(AND(B1516="Ha verdadera",E1516="No rechazar H0"),"Error tipo II","Decisión correcta"))</f>
        <v>Decisión correcta</v>
      </c>
    </row>
    <row r="1517" customFormat="false" ht="15" hidden="false" customHeight="false" outlineLevel="0" collapsed="false">
      <c r="A1517" s="0" t="n">
        <v>1496</v>
      </c>
      <c r="B1517" s="0" t="s">
        <v>85</v>
      </c>
      <c r="C1517" s="17" t="n">
        <v>-0.124383763715846</v>
      </c>
      <c r="D1517" s="17" t="n">
        <f aca="false">(C1517-$B$4)/($B$6/SQRT($B$7))</f>
        <v>-0.621918818579231</v>
      </c>
      <c r="E1517" s="0" t="str">
        <f aca="false">IF(OR(AND($B$9="superior",D1517&gt;$B$10),AND($B$9="inferior",D1517&lt;-$B$10)),"Rechazar H0","No rechazar H0")</f>
        <v>No rechazar H0</v>
      </c>
      <c r="F1517" s="0" t="str">
        <f aca="false">IF(AND(B1517="H0 verdadera",E1517="Rechazar H0"),"Error tipo I",IF(AND(B1517="Ha verdadera",E1517="No rechazar H0"),"Error tipo II","Decisión correcta"))</f>
        <v>Decisión correcta</v>
      </c>
    </row>
    <row r="1518" customFormat="false" ht="15" hidden="false" customHeight="false" outlineLevel="0" collapsed="false">
      <c r="A1518" s="0" t="n">
        <v>1497</v>
      </c>
      <c r="B1518" s="0" t="s">
        <v>85</v>
      </c>
      <c r="C1518" s="17" t="n">
        <v>-0.267905491461545</v>
      </c>
      <c r="D1518" s="17" t="n">
        <f aca="false">(C1518-$B$4)/($B$6/SQRT($B$7))</f>
        <v>-1.33952745730772</v>
      </c>
      <c r="E1518" s="0" t="str">
        <f aca="false">IF(OR(AND($B$9="superior",D1518&gt;$B$10),AND($B$9="inferior",D1518&lt;-$B$10)),"Rechazar H0","No rechazar H0")</f>
        <v>No rechazar H0</v>
      </c>
      <c r="F1518" s="0" t="str">
        <f aca="false">IF(AND(B1518="H0 verdadera",E1518="Rechazar H0"),"Error tipo I",IF(AND(B1518="Ha verdadera",E1518="No rechazar H0"),"Error tipo II","Decisión correcta"))</f>
        <v>Decisión correcta</v>
      </c>
    </row>
    <row r="1519" customFormat="false" ht="15" hidden="false" customHeight="false" outlineLevel="0" collapsed="false">
      <c r="A1519" s="0" t="n">
        <v>1498</v>
      </c>
      <c r="B1519" s="0" t="s">
        <v>85</v>
      </c>
      <c r="C1519" s="17" t="n">
        <v>-0.116449494039511</v>
      </c>
      <c r="D1519" s="17" t="n">
        <f aca="false">(C1519-$B$4)/($B$6/SQRT($B$7))</f>
        <v>-0.582247470197556</v>
      </c>
      <c r="E1519" s="0" t="str">
        <f aca="false">IF(OR(AND($B$9="superior",D1519&gt;$B$10),AND($B$9="inferior",D1519&lt;-$B$10)),"Rechazar H0","No rechazar H0")</f>
        <v>No rechazar H0</v>
      </c>
      <c r="F1519" s="0" t="str">
        <f aca="false">IF(AND(B1519="H0 verdadera",E1519="Rechazar H0"),"Error tipo I",IF(AND(B1519="Ha verdadera",E1519="No rechazar H0"),"Error tipo II","Decisión correcta"))</f>
        <v>Decisión correcta</v>
      </c>
    </row>
    <row r="1520" customFormat="false" ht="15" hidden="false" customHeight="false" outlineLevel="0" collapsed="false">
      <c r="A1520" s="0" t="n">
        <v>1499</v>
      </c>
      <c r="B1520" s="0" t="s">
        <v>85</v>
      </c>
      <c r="C1520" s="17" t="n">
        <v>-0.0279343690794404</v>
      </c>
      <c r="D1520" s="17" t="n">
        <f aca="false">(C1520-$B$4)/($B$6/SQRT($B$7))</f>
        <v>-0.139671845397202</v>
      </c>
      <c r="E1520" s="0" t="str">
        <f aca="false">IF(OR(AND($B$9="superior",D1520&gt;$B$10),AND($B$9="inferior",D1520&lt;-$B$10)),"Rechazar H0","No rechazar H0")</f>
        <v>No rechazar H0</v>
      </c>
      <c r="F1520" s="0" t="str">
        <f aca="false">IF(AND(B1520="H0 verdadera",E1520="Rechazar H0"),"Error tipo I",IF(AND(B1520="Ha verdadera",E1520="No rechazar H0"),"Error tipo II","Decisión correcta"))</f>
        <v>Decisión correcta</v>
      </c>
    </row>
    <row r="1521" customFormat="false" ht="15" hidden="false" customHeight="false" outlineLevel="0" collapsed="false">
      <c r="A1521" s="0" t="n">
        <v>1500</v>
      </c>
      <c r="B1521" s="0" t="s">
        <v>86</v>
      </c>
      <c r="C1521" s="17" t="n">
        <v>-0.192393048383114</v>
      </c>
      <c r="D1521" s="17" t="n">
        <f aca="false">(C1521-$B$4)/($B$6/SQRT($B$7))</f>
        <v>-0.961965241915569</v>
      </c>
      <c r="E1521" s="0" t="str">
        <f aca="false">IF(OR(AND($B$9="superior",D1521&gt;$B$10),AND($B$9="inferior",D1521&lt;-$B$10)),"Rechazar H0","No rechazar H0")</f>
        <v>No rechazar H0</v>
      </c>
      <c r="F1521" s="0" t="str">
        <f aca="false">IF(AND(B1521="H0 verdadera",E1521="Rechazar H0"),"Error tipo I",IF(AND(B1521="Ha verdadera",E1521="No rechazar H0"),"Error tipo II","Decisión correcta"))</f>
        <v>Error tipo II</v>
      </c>
    </row>
    <row r="1522" customFormat="false" ht="15" hidden="false" customHeight="false" outlineLevel="0" collapsed="false">
      <c r="A1522" s="0" t="n">
        <v>1501</v>
      </c>
      <c r="B1522" s="0" t="s">
        <v>85</v>
      </c>
      <c r="C1522" s="17" t="n">
        <v>0.0191657599940674</v>
      </c>
      <c r="D1522" s="17" t="n">
        <f aca="false">(C1522-$B$4)/($B$6/SQRT($B$7))</f>
        <v>0.0958287999703368</v>
      </c>
      <c r="E1522" s="0" t="str">
        <f aca="false">IF(OR(AND($B$9="superior",D1522&gt;$B$10),AND($B$9="inferior",D1522&lt;-$B$10)),"Rechazar H0","No rechazar H0")</f>
        <v>No rechazar H0</v>
      </c>
      <c r="F1522" s="0" t="str">
        <f aca="false">IF(AND(B1522="H0 verdadera",E1522="Rechazar H0"),"Error tipo I",IF(AND(B1522="Ha verdadera",E1522="No rechazar H0"),"Error tipo II","Decisión correcta"))</f>
        <v>Decisión correcta</v>
      </c>
    </row>
    <row r="1523" customFormat="false" ht="15" hidden="false" customHeight="false" outlineLevel="0" collapsed="false">
      <c r="A1523" s="0" t="n">
        <v>1502</v>
      </c>
      <c r="B1523" s="0" t="s">
        <v>86</v>
      </c>
      <c r="C1523" s="17" t="n">
        <v>-0.661426880206882</v>
      </c>
      <c r="D1523" s="17" t="n">
        <f aca="false">(C1523-$B$4)/($B$6/SQRT($B$7))</f>
        <v>-3.30713440103441</v>
      </c>
      <c r="E1523" s="0" t="str">
        <f aca="false">IF(OR(AND($B$9="superior",D1523&gt;$B$10),AND($B$9="inferior",D1523&lt;-$B$10)),"Rechazar H0","No rechazar H0")</f>
        <v>Rechazar H0</v>
      </c>
      <c r="F1523" s="0" t="str">
        <f aca="false">IF(AND(B1523="H0 verdadera",E1523="Rechazar H0"),"Error tipo I",IF(AND(B1523="Ha verdadera",E1523="No rechazar H0"),"Error tipo II","Decisión correcta"))</f>
        <v>Decisión correcta</v>
      </c>
    </row>
    <row r="1524" customFormat="false" ht="15" hidden="false" customHeight="false" outlineLevel="0" collapsed="false">
      <c r="A1524" s="0" t="n">
        <v>1503</v>
      </c>
      <c r="B1524" s="0" t="s">
        <v>85</v>
      </c>
      <c r="C1524" s="17" t="n">
        <v>-0.155684116393168</v>
      </c>
      <c r="D1524" s="17" t="n">
        <f aca="false">(C1524-$B$4)/($B$6/SQRT($B$7))</f>
        <v>-0.77842058196584</v>
      </c>
      <c r="E1524" s="0" t="str">
        <f aca="false">IF(OR(AND($B$9="superior",D1524&gt;$B$10),AND($B$9="inferior",D1524&lt;-$B$10)),"Rechazar H0","No rechazar H0")</f>
        <v>No rechazar H0</v>
      </c>
      <c r="F1524" s="0" t="str">
        <f aca="false">IF(AND(B1524="H0 verdadera",E1524="Rechazar H0"),"Error tipo I",IF(AND(B1524="Ha verdadera",E1524="No rechazar H0"),"Error tipo II","Decisión correcta"))</f>
        <v>Decisión correcta</v>
      </c>
    </row>
    <row r="1525" customFormat="false" ht="15" hidden="false" customHeight="false" outlineLevel="0" collapsed="false">
      <c r="A1525" s="0" t="n">
        <v>1504</v>
      </c>
      <c r="B1525" s="0" t="s">
        <v>86</v>
      </c>
      <c r="C1525" s="17" t="n">
        <v>-0.356214688263497</v>
      </c>
      <c r="D1525" s="17" t="n">
        <f aca="false">(C1525-$B$4)/($B$6/SQRT($B$7))</f>
        <v>-1.78107344131748</v>
      </c>
      <c r="E1525" s="0" t="str">
        <f aca="false">IF(OR(AND($B$9="superior",D1525&gt;$B$10),AND($B$9="inferior",D1525&lt;-$B$10)),"Rechazar H0","No rechazar H0")</f>
        <v>Rechazar H0</v>
      </c>
      <c r="F1525" s="0" t="str">
        <f aca="false">IF(AND(B1525="H0 verdadera",E1525="Rechazar H0"),"Error tipo I",IF(AND(B1525="Ha verdadera",E1525="No rechazar H0"),"Error tipo II","Decisión correcta"))</f>
        <v>Decisión correcta</v>
      </c>
    </row>
    <row r="1526" customFormat="false" ht="15" hidden="false" customHeight="false" outlineLevel="0" collapsed="false">
      <c r="A1526" s="0" t="n">
        <v>1505</v>
      </c>
      <c r="B1526" s="0" t="s">
        <v>86</v>
      </c>
      <c r="C1526" s="17" t="n">
        <v>-0.734853421302482</v>
      </c>
      <c r="D1526" s="17" t="n">
        <f aca="false">(C1526-$B$4)/($B$6/SQRT($B$7))</f>
        <v>-3.67426710651241</v>
      </c>
      <c r="E1526" s="0" t="str">
        <f aca="false">IF(OR(AND($B$9="superior",D1526&gt;$B$10),AND($B$9="inferior",D1526&lt;-$B$10)),"Rechazar H0","No rechazar H0")</f>
        <v>Rechazar H0</v>
      </c>
      <c r="F1526" s="0" t="str">
        <f aca="false">IF(AND(B1526="H0 verdadera",E1526="Rechazar H0"),"Error tipo I",IF(AND(B1526="Ha verdadera",E1526="No rechazar H0"),"Error tipo II","Decisión correcta"))</f>
        <v>Decisión correcta</v>
      </c>
    </row>
    <row r="1527" customFormat="false" ht="15" hidden="false" customHeight="false" outlineLevel="0" collapsed="false">
      <c r="A1527" s="0" t="n">
        <v>1506</v>
      </c>
      <c r="B1527" s="0" t="s">
        <v>85</v>
      </c>
      <c r="C1527" s="17" t="n">
        <v>0.039142960322719</v>
      </c>
      <c r="D1527" s="17" t="n">
        <f aca="false">(C1527-$B$4)/($B$6/SQRT($B$7))</f>
        <v>0.195714801613595</v>
      </c>
      <c r="E1527" s="0" t="str">
        <f aca="false">IF(OR(AND($B$9="superior",D1527&gt;$B$10),AND($B$9="inferior",D1527&lt;-$B$10)),"Rechazar H0","No rechazar H0")</f>
        <v>No rechazar H0</v>
      </c>
      <c r="F1527" s="0" t="str">
        <f aca="false">IF(AND(B1527="H0 verdadera",E1527="Rechazar H0"),"Error tipo I",IF(AND(B1527="Ha verdadera",E1527="No rechazar H0"),"Error tipo II","Decisión correcta"))</f>
        <v>Decisión correcta</v>
      </c>
    </row>
    <row r="1528" customFormat="false" ht="15" hidden="false" customHeight="false" outlineLevel="0" collapsed="false">
      <c r="A1528" s="0" t="n">
        <v>1507</v>
      </c>
      <c r="B1528" s="0" t="s">
        <v>86</v>
      </c>
      <c r="C1528" s="17" t="n">
        <v>-0.752210942174363</v>
      </c>
      <c r="D1528" s="17" t="n">
        <f aca="false">(C1528-$B$4)/($B$6/SQRT($B$7))</f>
        <v>-3.76105471087181</v>
      </c>
      <c r="E1528" s="0" t="str">
        <f aca="false">IF(OR(AND($B$9="superior",D1528&gt;$B$10),AND($B$9="inferior",D1528&lt;-$B$10)),"Rechazar H0","No rechazar H0")</f>
        <v>Rechazar H0</v>
      </c>
      <c r="F1528" s="0" t="str">
        <f aca="false">IF(AND(B1528="H0 verdadera",E1528="Rechazar H0"),"Error tipo I",IF(AND(B1528="Ha verdadera",E1528="No rechazar H0"),"Error tipo II","Decisión correcta"))</f>
        <v>Decisión correcta</v>
      </c>
    </row>
    <row r="1529" customFormat="false" ht="15" hidden="false" customHeight="false" outlineLevel="0" collapsed="false">
      <c r="A1529" s="0" t="n">
        <v>1508</v>
      </c>
      <c r="B1529" s="0" t="s">
        <v>85</v>
      </c>
      <c r="C1529" s="17" t="n">
        <v>0.0979968308196788</v>
      </c>
      <c r="D1529" s="17" t="n">
        <f aca="false">(C1529-$B$4)/($B$6/SQRT($B$7))</f>
        <v>0.489984154098394</v>
      </c>
      <c r="E1529" s="0" t="str">
        <f aca="false">IF(OR(AND($B$9="superior",D1529&gt;$B$10),AND($B$9="inferior",D1529&lt;-$B$10)),"Rechazar H0","No rechazar H0")</f>
        <v>No rechazar H0</v>
      </c>
      <c r="F1529" s="0" t="str">
        <f aca="false">IF(AND(B1529="H0 verdadera",E1529="Rechazar H0"),"Error tipo I",IF(AND(B1529="Ha verdadera",E1529="No rechazar H0"),"Error tipo II","Decisión correcta"))</f>
        <v>Decisión correcta</v>
      </c>
    </row>
    <row r="1530" customFormat="false" ht="15" hidden="false" customHeight="false" outlineLevel="0" collapsed="false">
      <c r="A1530" s="0" t="n">
        <v>1509</v>
      </c>
      <c r="B1530" s="0" t="s">
        <v>86</v>
      </c>
      <c r="C1530" s="17" t="n">
        <v>-0.504022582219535</v>
      </c>
      <c r="D1530" s="17" t="n">
        <f aca="false">(C1530-$B$4)/($B$6/SQRT($B$7))</f>
        <v>-2.52011291109767</v>
      </c>
      <c r="E1530" s="0" t="str">
        <f aca="false">IF(OR(AND($B$9="superior",D1530&gt;$B$10),AND($B$9="inferior",D1530&lt;-$B$10)),"Rechazar H0","No rechazar H0")</f>
        <v>Rechazar H0</v>
      </c>
      <c r="F1530" s="0" t="str">
        <f aca="false">IF(AND(B1530="H0 verdadera",E1530="Rechazar H0"),"Error tipo I",IF(AND(B1530="Ha verdadera",E1530="No rechazar H0"),"Error tipo II","Decisión correcta"))</f>
        <v>Decisión correcta</v>
      </c>
    </row>
    <row r="1531" customFormat="false" ht="15" hidden="false" customHeight="false" outlineLevel="0" collapsed="false">
      <c r="A1531" s="0" t="n">
        <v>1510</v>
      </c>
      <c r="B1531" s="0" t="s">
        <v>85</v>
      </c>
      <c r="C1531" s="17" t="n">
        <v>0.155403561039102</v>
      </c>
      <c r="D1531" s="17" t="n">
        <f aca="false">(C1531-$B$4)/($B$6/SQRT($B$7))</f>
        <v>0.777017805195509</v>
      </c>
      <c r="E1531" s="0" t="str">
        <f aca="false">IF(OR(AND($B$9="superior",D1531&gt;$B$10),AND($B$9="inferior",D1531&lt;-$B$10)),"Rechazar H0","No rechazar H0")</f>
        <v>No rechazar H0</v>
      </c>
      <c r="F1531" s="0" t="str">
        <f aca="false">IF(AND(B1531="H0 verdadera",E1531="Rechazar H0"),"Error tipo I",IF(AND(B1531="Ha verdadera",E1531="No rechazar H0"),"Error tipo II","Decisión correcta"))</f>
        <v>Decisión correcta</v>
      </c>
    </row>
    <row r="1532" customFormat="false" ht="15" hidden="false" customHeight="false" outlineLevel="0" collapsed="false">
      <c r="A1532" s="0" t="n">
        <v>1511</v>
      </c>
      <c r="B1532" s="0" t="s">
        <v>85</v>
      </c>
      <c r="C1532" s="17" t="n">
        <v>-0.164291675509815</v>
      </c>
      <c r="D1532" s="17" t="n">
        <f aca="false">(C1532-$B$4)/($B$6/SQRT($B$7))</f>
        <v>-0.821458377549073</v>
      </c>
      <c r="E1532" s="0" t="str">
        <f aca="false">IF(OR(AND($B$9="superior",D1532&gt;$B$10),AND($B$9="inferior",D1532&lt;-$B$10)),"Rechazar H0","No rechazar H0")</f>
        <v>No rechazar H0</v>
      </c>
      <c r="F1532" s="0" t="str">
        <f aca="false">IF(AND(B1532="H0 verdadera",E1532="Rechazar H0"),"Error tipo I",IF(AND(B1532="Ha verdadera",E1532="No rechazar H0"),"Error tipo II","Decisión correcta"))</f>
        <v>Decisión correcta</v>
      </c>
    </row>
    <row r="1533" customFormat="false" ht="15" hidden="false" customHeight="false" outlineLevel="0" collapsed="false">
      <c r="A1533" s="0" t="n">
        <v>1512</v>
      </c>
      <c r="B1533" s="0" t="s">
        <v>86</v>
      </c>
      <c r="C1533" s="17" t="n">
        <v>-0.619310975096218</v>
      </c>
      <c r="D1533" s="17" t="n">
        <f aca="false">(C1533-$B$4)/($B$6/SQRT($B$7))</f>
        <v>-3.09655487548109</v>
      </c>
      <c r="E1533" s="0" t="str">
        <f aca="false">IF(OR(AND($B$9="superior",D1533&gt;$B$10),AND($B$9="inferior",D1533&lt;-$B$10)),"Rechazar H0","No rechazar H0")</f>
        <v>Rechazar H0</v>
      </c>
      <c r="F1533" s="0" t="str">
        <f aca="false">IF(AND(B1533="H0 verdadera",E1533="Rechazar H0"),"Error tipo I",IF(AND(B1533="Ha verdadera",E1533="No rechazar H0"),"Error tipo II","Decisión correcta"))</f>
        <v>Decisión correcta</v>
      </c>
    </row>
    <row r="1534" customFormat="false" ht="15" hidden="false" customHeight="false" outlineLevel="0" collapsed="false">
      <c r="A1534" s="0" t="n">
        <v>1513</v>
      </c>
      <c r="B1534" s="0" t="s">
        <v>86</v>
      </c>
      <c r="C1534" s="17" t="n">
        <v>-0.259122229341396</v>
      </c>
      <c r="D1534" s="17" t="n">
        <f aca="false">(C1534-$B$4)/($B$6/SQRT($B$7))</f>
        <v>-1.29561114670698</v>
      </c>
      <c r="E1534" s="0" t="str">
        <f aca="false">IF(OR(AND($B$9="superior",D1534&gt;$B$10),AND($B$9="inferior",D1534&lt;-$B$10)),"Rechazar H0","No rechazar H0")</f>
        <v>No rechazar H0</v>
      </c>
      <c r="F1534" s="0" t="str">
        <f aca="false">IF(AND(B1534="H0 verdadera",E1534="Rechazar H0"),"Error tipo I",IF(AND(B1534="Ha verdadera",E1534="No rechazar H0"),"Error tipo II","Decisión correcta"))</f>
        <v>Error tipo II</v>
      </c>
    </row>
    <row r="1535" customFormat="false" ht="15" hidden="false" customHeight="false" outlineLevel="0" collapsed="false">
      <c r="A1535" s="0" t="n">
        <v>1514</v>
      </c>
      <c r="B1535" s="0" t="s">
        <v>85</v>
      </c>
      <c r="C1535" s="17" t="n">
        <v>0.137506355325678</v>
      </c>
      <c r="D1535" s="17" t="n">
        <f aca="false">(C1535-$B$4)/($B$6/SQRT($B$7))</f>
        <v>0.68753177662839</v>
      </c>
      <c r="E1535" s="0" t="str">
        <f aca="false">IF(OR(AND($B$9="superior",D1535&gt;$B$10),AND($B$9="inferior",D1535&lt;-$B$10)),"Rechazar H0","No rechazar H0")</f>
        <v>No rechazar H0</v>
      </c>
      <c r="F1535" s="0" t="str">
        <f aca="false">IF(AND(B1535="H0 verdadera",E1535="Rechazar H0"),"Error tipo I",IF(AND(B1535="Ha verdadera",E1535="No rechazar H0"),"Error tipo II","Decisión correcta"))</f>
        <v>Decisión correcta</v>
      </c>
    </row>
    <row r="1536" customFormat="false" ht="15" hidden="false" customHeight="false" outlineLevel="0" collapsed="false">
      <c r="A1536" s="0" t="n">
        <v>1515</v>
      </c>
      <c r="B1536" s="0" t="s">
        <v>85</v>
      </c>
      <c r="C1536" s="17" t="n">
        <v>0.0705032266947291</v>
      </c>
      <c r="D1536" s="17" t="n">
        <f aca="false">(C1536-$B$4)/($B$6/SQRT($B$7))</f>
        <v>0.352516133473646</v>
      </c>
      <c r="E1536" s="0" t="str">
        <f aca="false">IF(OR(AND($B$9="superior",D1536&gt;$B$10),AND($B$9="inferior",D1536&lt;-$B$10)),"Rechazar H0","No rechazar H0")</f>
        <v>No rechazar H0</v>
      </c>
      <c r="F1536" s="0" t="str">
        <f aca="false">IF(AND(B1536="H0 verdadera",E1536="Rechazar H0"),"Error tipo I",IF(AND(B1536="Ha verdadera",E1536="No rechazar H0"),"Error tipo II","Decisión correcta"))</f>
        <v>Decisión correcta</v>
      </c>
    </row>
    <row r="1537" customFormat="false" ht="15" hidden="false" customHeight="false" outlineLevel="0" collapsed="false">
      <c r="A1537" s="0" t="n">
        <v>1516</v>
      </c>
      <c r="B1537" s="0" t="s">
        <v>85</v>
      </c>
      <c r="C1537" s="17" t="n">
        <v>0.362160836962633</v>
      </c>
      <c r="D1537" s="17" t="n">
        <f aca="false">(C1537-$B$4)/($B$6/SQRT($B$7))</f>
        <v>1.81080418481316</v>
      </c>
      <c r="E1537" s="0" t="str">
        <f aca="false">IF(OR(AND($B$9="superior",D1537&gt;$B$10),AND($B$9="inferior",D1537&lt;-$B$10)),"Rechazar H0","No rechazar H0")</f>
        <v>No rechazar H0</v>
      </c>
      <c r="F1537" s="0" t="str">
        <f aca="false">IF(AND(B1537="H0 verdadera",E1537="Rechazar H0"),"Error tipo I",IF(AND(B1537="Ha verdadera",E1537="No rechazar H0"),"Error tipo II","Decisión correcta"))</f>
        <v>Decisión correcta</v>
      </c>
    </row>
    <row r="1538" customFormat="false" ht="15" hidden="false" customHeight="false" outlineLevel="0" collapsed="false">
      <c r="A1538" s="0" t="n">
        <v>1517</v>
      </c>
      <c r="B1538" s="0" t="s">
        <v>85</v>
      </c>
      <c r="C1538" s="17" t="n">
        <v>0.115303562846936</v>
      </c>
      <c r="D1538" s="17" t="n">
        <f aca="false">(C1538-$B$4)/($B$6/SQRT($B$7))</f>
        <v>0.576517814234679</v>
      </c>
      <c r="E1538" s="0" t="str">
        <f aca="false">IF(OR(AND($B$9="superior",D1538&gt;$B$10),AND($B$9="inferior",D1538&lt;-$B$10)),"Rechazar H0","No rechazar H0")</f>
        <v>No rechazar H0</v>
      </c>
      <c r="F1538" s="0" t="str">
        <f aca="false">IF(AND(B1538="H0 verdadera",E1538="Rechazar H0"),"Error tipo I",IF(AND(B1538="Ha verdadera",E1538="No rechazar H0"),"Error tipo II","Decisión correcta"))</f>
        <v>Decisión correcta</v>
      </c>
    </row>
    <row r="1539" customFormat="false" ht="15" hidden="false" customHeight="false" outlineLevel="0" collapsed="false">
      <c r="A1539" s="0" t="n">
        <v>1518</v>
      </c>
      <c r="B1539" s="0" t="s">
        <v>85</v>
      </c>
      <c r="C1539" s="17" t="n">
        <v>-0.185647081289985</v>
      </c>
      <c r="D1539" s="17" t="n">
        <f aca="false">(C1539-$B$4)/($B$6/SQRT($B$7))</f>
        <v>-0.928235406449924</v>
      </c>
      <c r="E1539" s="0" t="str">
        <f aca="false">IF(OR(AND($B$9="superior",D1539&gt;$B$10),AND($B$9="inferior",D1539&lt;-$B$10)),"Rechazar H0","No rechazar H0")</f>
        <v>No rechazar H0</v>
      </c>
      <c r="F1539" s="0" t="str">
        <f aca="false">IF(AND(B1539="H0 verdadera",E1539="Rechazar H0"),"Error tipo I",IF(AND(B1539="Ha verdadera",E1539="No rechazar H0"),"Error tipo II","Decisión correcta"))</f>
        <v>Decisión correcta</v>
      </c>
    </row>
    <row r="1540" customFormat="false" ht="15" hidden="false" customHeight="false" outlineLevel="0" collapsed="false">
      <c r="A1540" s="0" t="n">
        <v>1519</v>
      </c>
      <c r="B1540" s="0" t="s">
        <v>85</v>
      </c>
      <c r="C1540" s="17" t="n">
        <v>-0.0505301850815586</v>
      </c>
      <c r="D1540" s="17" t="n">
        <f aca="false">(C1540-$B$4)/($B$6/SQRT($B$7))</f>
        <v>-0.252650925407793</v>
      </c>
      <c r="E1540" s="0" t="str">
        <f aca="false">IF(OR(AND($B$9="superior",D1540&gt;$B$10),AND($B$9="inferior",D1540&lt;-$B$10)),"Rechazar H0","No rechazar H0")</f>
        <v>No rechazar H0</v>
      </c>
      <c r="F1540" s="0" t="str">
        <f aca="false">IF(AND(B1540="H0 verdadera",E1540="Rechazar H0"),"Error tipo I",IF(AND(B1540="Ha verdadera",E1540="No rechazar H0"),"Error tipo II","Decisión correcta"))</f>
        <v>Decisión correcta</v>
      </c>
    </row>
    <row r="1541" customFormat="false" ht="15" hidden="false" customHeight="false" outlineLevel="0" collapsed="false">
      <c r="A1541" s="0" t="n">
        <v>1520</v>
      </c>
      <c r="B1541" s="0" t="s">
        <v>85</v>
      </c>
      <c r="C1541" s="17" t="n">
        <v>0.188458695748089</v>
      </c>
      <c r="D1541" s="17" t="n">
        <f aca="false">(C1541-$B$4)/($B$6/SQRT($B$7))</f>
        <v>0.942293478740446</v>
      </c>
      <c r="E1541" s="0" t="str">
        <f aca="false">IF(OR(AND($B$9="superior",D1541&gt;$B$10),AND($B$9="inferior",D1541&lt;-$B$10)),"Rechazar H0","No rechazar H0")</f>
        <v>No rechazar H0</v>
      </c>
      <c r="F1541" s="0" t="str">
        <f aca="false">IF(AND(B1541="H0 verdadera",E1541="Rechazar H0"),"Error tipo I",IF(AND(B1541="Ha verdadera",E1541="No rechazar H0"),"Error tipo II","Decisión correcta"))</f>
        <v>Decisión correcta</v>
      </c>
    </row>
    <row r="1542" customFormat="false" ht="15" hidden="false" customHeight="false" outlineLevel="0" collapsed="false">
      <c r="A1542" s="0" t="n">
        <v>1521</v>
      </c>
      <c r="B1542" s="0" t="s">
        <v>85</v>
      </c>
      <c r="C1542" s="17" t="n">
        <v>0.166007054168473</v>
      </c>
      <c r="D1542" s="17" t="n">
        <f aca="false">(C1542-$B$4)/($B$6/SQRT($B$7))</f>
        <v>0.830035270842366</v>
      </c>
      <c r="E1542" s="0" t="str">
        <f aca="false">IF(OR(AND($B$9="superior",D1542&gt;$B$10),AND($B$9="inferior",D1542&lt;-$B$10)),"Rechazar H0","No rechazar H0")</f>
        <v>No rechazar H0</v>
      </c>
      <c r="F1542" s="0" t="str">
        <f aca="false">IF(AND(B1542="H0 verdadera",E1542="Rechazar H0"),"Error tipo I",IF(AND(B1542="Ha verdadera",E1542="No rechazar H0"),"Error tipo II","Decisión correcta"))</f>
        <v>Decisión correcta</v>
      </c>
    </row>
    <row r="1543" customFormat="false" ht="15" hidden="false" customHeight="false" outlineLevel="0" collapsed="false">
      <c r="A1543" s="0" t="n">
        <v>1522</v>
      </c>
      <c r="B1543" s="0" t="s">
        <v>85</v>
      </c>
      <c r="C1543" s="17" t="n">
        <v>0.0608869839025662</v>
      </c>
      <c r="D1543" s="17" t="n">
        <f aca="false">(C1543-$B$4)/($B$6/SQRT($B$7))</f>
        <v>0.304434919512831</v>
      </c>
      <c r="E1543" s="0" t="str">
        <f aca="false">IF(OR(AND($B$9="superior",D1543&gt;$B$10),AND($B$9="inferior",D1543&lt;-$B$10)),"Rechazar H0","No rechazar H0")</f>
        <v>No rechazar H0</v>
      </c>
      <c r="F1543" s="0" t="str">
        <f aca="false">IF(AND(B1543="H0 verdadera",E1543="Rechazar H0"),"Error tipo I",IF(AND(B1543="Ha verdadera",E1543="No rechazar H0"),"Error tipo II","Decisión correcta"))</f>
        <v>Decisión correcta</v>
      </c>
    </row>
    <row r="1544" customFormat="false" ht="15" hidden="false" customHeight="false" outlineLevel="0" collapsed="false">
      <c r="A1544" s="0" t="n">
        <v>1523</v>
      </c>
      <c r="B1544" s="0" t="s">
        <v>86</v>
      </c>
      <c r="C1544" s="17" t="n">
        <v>-0.131357130143443</v>
      </c>
      <c r="D1544" s="17" t="n">
        <f aca="false">(C1544-$B$4)/($B$6/SQRT($B$7))</f>
        <v>-0.656785650717212</v>
      </c>
      <c r="E1544" s="0" t="str">
        <f aca="false">IF(OR(AND($B$9="superior",D1544&gt;$B$10),AND($B$9="inferior",D1544&lt;-$B$10)),"Rechazar H0","No rechazar H0")</f>
        <v>No rechazar H0</v>
      </c>
      <c r="F1544" s="0" t="str">
        <f aca="false">IF(AND(B1544="H0 verdadera",E1544="Rechazar H0"),"Error tipo I",IF(AND(B1544="Ha verdadera",E1544="No rechazar H0"),"Error tipo II","Decisión correcta"))</f>
        <v>Error tipo II</v>
      </c>
    </row>
    <row r="1545" customFormat="false" ht="15" hidden="false" customHeight="false" outlineLevel="0" collapsed="false">
      <c r="A1545" s="0" t="n">
        <v>1524</v>
      </c>
      <c r="B1545" s="0" t="s">
        <v>86</v>
      </c>
      <c r="C1545" s="17" t="n">
        <v>-0.533018710395935</v>
      </c>
      <c r="D1545" s="17" t="n">
        <f aca="false">(C1545-$B$4)/($B$6/SQRT($B$7))</f>
        <v>-2.66509355197967</v>
      </c>
      <c r="E1545" s="0" t="str">
        <f aca="false">IF(OR(AND($B$9="superior",D1545&gt;$B$10),AND($B$9="inferior",D1545&lt;-$B$10)),"Rechazar H0","No rechazar H0")</f>
        <v>Rechazar H0</v>
      </c>
      <c r="F1545" s="0" t="str">
        <f aca="false">IF(AND(B1545="H0 verdadera",E1545="Rechazar H0"),"Error tipo I",IF(AND(B1545="Ha verdadera",E1545="No rechazar H0"),"Error tipo II","Decisión correcta"))</f>
        <v>Decisión correcta</v>
      </c>
    </row>
    <row r="1546" customFormat="false" ht="15" hidden="false" customHeight="false" outlineLevel="0" collapsed="false">
      <c r="A1546" s="0" t="n">
        <v>1525</v>
      </c>
      <c r="B1546" s="0" t="s">
        <v>86</v>
      </c>
      <c r="C1546" s="17" t="n">
        <v>-0.462334501199766</v>
      </c>
      <c r="D1546" s="17" t="n">
        <f aca="false">(C1546-$B$4)/($B$6/SQRT($B$7))</f>
        <v>-2.31167250599883</v>
      </c>
      <c r="E1546" s="0" t="str">
        <f aca="false">IF(OR(AND($B$9="superior",D1546&gt;$B$10),AND($B$9="inferior",D1546&lt;-$B$10)),"Rechazar H0","No rechazar H0")</f>
        <v>Rechazar H0</v>
      </c>
      <c r="F1546" s="0" t="str">
        <f aca="false">IF(AND(B1546="H0 verdadera",E1546="Rechazar H0"),"Error tipo I",IF(AND(B1546="Ha verdadera",E1546="No rechazar H0"),"Error tipo II","Decisión correcta"))</f>
        <v>Decisión correcta</v>
      </c>
    </row>
    <row r="1547" customFormat="false" ht="15" hidden="false" customHeight="false" outlineLevel="0" collapsed="false">
      <c r="A1547" s="0" t="n">
        <v>1526</v>
      </c>
      <c r="B1547" s="0" t="s">
        <v>86</v>
      </c>
      <c r="C1547" s="17" t="n">
        <v>-0.338464292675391</v>
      </c>
      <c r="D1547" s="17" t="n">
        <f aca="false">(C1547-$B$4)/($B$6/SQRT($B$7))</f>
        <v>-1.69232146337696</v>
      </c>
      <c r="E1547" s="0" t="str">
        <f aca="false">IF(OR(AND($B$9="superior",D1547&gt;$B$10),AND($B$9="inferior",D1547&lt;-$B$10)),"Rechazar H0","No rechazar H0")</f>
        <v>Rechazar H0</v>
      </c>
      <c r="F1547" s="0" t="str">
        <f aca="false">IF(AND(B1547="H0 verdadera",E1547="Rechazar H0"),"Error tipo I",IF(AND(B1547="Ha verdadera",E1547="No rechazar H0"),"Error tipo II","Decisión correcta"))</f>
        <v>Decisión correcta</v>
      </c>
    </row>
    <row r="1548" customFormat="false" ht="15" hidden="false" customHeight="false" outlineLevel="0" collapsed="false">
      <c r="A1548" s="0" t="n">
        <v>1527</v>
      </c>
      <c r="B1548" s="0" t="s">
        <v>85</v>
      </c>
      <c r="C1548" s="17" t="n">
        <v>0.184928296368625</v>
      </c>
      <c r="D1548" s="17" t="n">
        <f aca="false">(C1548-$B$4)/($B$6/SQRT($B$7))</f>
        <v>0.924641481843125</v>
      </c>
      <c r="E1548" s="0" t="str">
        <f aca="false">IF(OR(AND($B$9="superior",D1548&gt;$B$10),AND($B$9="inferior",D1548&lt;-$B$10)),"Rechazar H0","No rechazar H0")</f>
        <v>No rechazar H0</v>
      </c>
      <c r="F1548" s="0" t="str">
        <f aca="false">IF(AND(B1548="H0 verdadera",E1548="Rechazar H0"),"Error tipo I",IF(AND(B1548="Ha verdadera",E1548="No rechazar H0"),"Error tipo II","Decisión correcta"))</f>
        <v>Decisión correcta</v>
      </c>
    </row>
    <row r="1549" customFormat="false" ht="15" hidden="false" customHeight="false" outlineLevel="0" collapsed="false">
      <c r="A1549" s="0" t="n">
        <v>1528</v>
      </c>
      <c r="B1549" s="0" t="s">
        <v>86</v>
      </c>
      <c r="C1549" s="17" t="n">
        <v>-0.248497493492123</v>
      </c>
      <c r="D1549" s="17" t="n">
        <f aca="false">(C1549-$B$4)/($B$6/SQRT($B$7))</f>
        <v>-1.24248746746062</v>
      </c>
      <c r="E1549" s="0" t="str">
        <f aca="false">IF(OR(AND($B$9="superior",D1549&gt;$B$10),AND($B$9="inferior",D1549&lt;-$B$10)),"Rechazar H0","No rechazar H0")</f>
        <v>No rechazar H0</v>
      </c>
      <c r="F1549" s="0" t="str">
        <f aca="false">IF(AND(B1549="H0 verdadera",E1549="Rechazar H0"),"Error tipo I",IF(AND(B1549="Ha verdadera",E1549="No rechazar H0"),"Error tipo II","Decisión correcta"))</f>
        <v>Error tipo II</v>
      </c>
    </row>
    <row r="1550" customFormat="false" ht="15" hidden="false" customHeight="false" outlineLevel="0" collapsed="false">
      <c r="A1550" s="0" t="n">
        <v>1529</v>
      </c>
      <c r="B1550" s="0" t="s">
        <v>86</v>
      </c>
      <c r="C1550" s="17" t="n">
        <v>-0.356332196919127</v>
      </c>
      <c r="D1550" s="17" t="n">
        <f aca="false">(C1550-$B$4)/($B$6/SQRT($B$7))</f>
        <v>-1.78166098459563</v>
      </c>
      <c r="E1550" s="0" t="str">
        <f aca="false">IF(OR(AND($B$9="superior",D1550&gt;$B$10),AND($B$9="inferior",D1550&lt;-$B$10)),"Rechazar H0","No rechazar H0")</f>
        <v>Rechazar H0</v>
      </c>
      <c r="F1550" s="0" t="str">
        <f aca="false">IF(AND(B1550="H0 verdadera",E1550="Rechazar H0"),"Error tipo I",IF(AND(B1550="Ha verdadera",E1550="No rechazar H0"),"Error tipo II","Decisión correcta"))</f>
        <v>Decisión correcta</v>
      </c>
    </row>
    <row r="1551" customFormat="false" ht="15" hidden="false" customHeight="false" outlineLevel="0" collapsed="false">
      <c r="A1551" s="0" t="n">
        <v>1530</v>
      </c>
      <c r="B1551" s="0" t="s">
        <v>86</v>
      </c>
      <c r="C1551" s="17" t="n">
        <v>-0.0846765442984331</v>
      </c>
      <c r="D1551" s="17" t="n">
        <f aca="false">(C1551-$B$4)/($B$6/SQRT($B$7))</f>
        <v>-0.423382721492165</v>
      </c>
      <c r="E1551" s="0" t="str">
        <f aca="false">IF(OR(AND($B$9="superior",D1551&gt;$B$10),AND($B$9="inferior",D1551&lt;-$B$10)),"Rechazar H0","No rechazar H0")</f>
        <v>No rechazar H0</v>
      </c>
      <c r="F1551" s="0" t="str">
        <f aca="false">IF(AND(B1551="H0 verdadera",E1551="Rechazar H0"),"Error tipo I",IF(AND(B1551="Ha verdadera",E1551="No rechazar H0"),"Error tipo II","Decisión correcta"))</f>
        <v>Error tipo II</v>
      </c>
    </row>
    <row r="1552" customFormat="false" ht="15" hidden="false" customHeight="false" outlineLevel="0" collapsed="false">
      <c r="A1552" s="0" t="n">
        <v>1531</v>
      </c>
      <c r="B1552" s="0" t="s">
        <v>85</v>
      </c>
      <c r="C1552" s="17" t="n">
        <v>-0.12619848642807</v>
      </c>
      <c r="D1552" s="17" t="n">
        <f aca="false">(C1552-$B$4)/($B$6/SQRT($B$7))</f>
        <v>-0.630992432140351</v>
      </c>
      <c r="E1552" s="0" t="str">
        <f aca="false">IF(OR(AND($B$9="superior",D1552&gt;$B$10),AND($B$9="inferior",D1552&lt;-$B$10)),"Rechazar H0","No rechazar H0")</f>
        <v>No rechazar H0</v>
      </c>
      <c r="F1552" s="0" t="str">
        <f aca="false">IF(AND(B1552="H0 verdadera",E1552="Rechazar H0"),"Error tipo I",IF(AND(B1552="Ha verdadera",E1552="No rechazar H0"),"Error tipo II","Decisión correcta"))</f>
        <v>Decisión correcta</v>
      </c>
    </row>
    <row r="1553" customFormat="false" ht="15" hidden="false" customHeight="false" outlineLevel="0" collapsed="false">
      <c r="A1553" s="0" t="n">
        <v>1532</v>
      </c>
      <c r="B1553" s="0" t="s">
        <v>86</v>
      </c>
      <c r="C1553" s="17" t="n">
        <v>-0.519967305191315</v>
      </c>
      <c r="D1553" s="17" t="n">
        <f aca="false">(C1553-$B$4)/($B$6/SQRT($B$7))</f>
        <v>-2.59983652595657</v>
      </c>
      <c r="E1553" s="0" t="str">
        <f aca="false">IF(OR(AND($B$9="superior",D1553&gt;$B$10),AND($B$9="inferior",D1553&lt;-$B$10)),"Rechazar H0","No rechazar H0")</f>
        <v>Rechazar H0</v>
      </c>
      <c r="F1553" s="0" t="str">
        <f aca="false">IF(AND(B1553="H0 verdadera",E1553="Rechazar H0"),"Error tipo I",IF(AND(B1553="Ha verdadera",E1553="No rechazar H0"),"Error tipo II","Decisión correcta"))</f>
        <v>Decisión correcta</v>
      </c>
    </row>
    <row r="1554" customFormat="false" ht="15" hidden="false" customHeight="false" outlineLevel="0" collapsed="false">
      <c r="A1554" s="0" t="n">
        <v>1533</v>
      </c>
      <c r="B1554" s="0" t="s">
        <v>86</v>
      </c>
      <c r="C1554" s="17" t="n">
        <v>-0.658574880059261</v>
      </c>
      <c r="D1554" s="17" t="n">
        <f aca="false">(C1554-$B$4)/($B$6/SQRT($B$7))</f>
        <v>-3.29287440029631</v>
      </c>
      <c r="E1554" s="0" t="str">
        <f aca="false">IF(OR(AND($B$9="superior",D1554&gt;$B$10),AND($B$9="inferior",D1554&lt;-$B$10)),"Rechazar H0","No rechazar H0")</f>
        <v>Rechazar H0</v>
      </c>
      <c r="F1554" s="0" t="str">
        <f aca="false">IF(AND(B1554="H0 verdadera",E1554="Rechazar H0"),"Error tipo I",IF(AND(B1554="Ha verdadera",E1554="No rechazar H0"),"Error tipo II","Decisión correcta"))</f>
        <v>Decisión correcta</v>
      </c>
    </row>
    <row r="1555" customFormat="false" ht="15" hidden="false" customHeight="false" outlineLevel="0" collapsed="false">
      <c r="A1555" s="0" t="n">
        <v>1534</v>
      </c>
      <c r="B1555" s="0" t="s">
        <v>85</v>
      </c>
      <c r="C1555" s="17" t="n">
        <v>-0.277386122686074</v>
      </c>
      <c r="D1555" s="17" t="n">
        <f aca="false">(C1555-$B$4)/($B$6/SQRT($B$7))</f>
        <v>-1.38693061343037</v>
      </c>
      <c r="E1555" s="0" t="str">
        <f aca="false">IF(OR(AND($B$9="superior",D1555&gt;$B$10),AND($B$9="inferior",D1555&lt;-$B$10)),"Rechazar H0","No rechazar H0")</f>
        <v>No rechazar H0</v>
      </c>
      <c r="F1555" s="0" t="str">
        <f aca="false">IF(AND(B1555="H0 verdadera",E1555="Rechazar H0"),"Error tipo I",IF(AND(B1555="Ha verdadera",E1555="No rechazar H0"),"Error tipo II","Decisión correcta"))</f>
        <v>Decisión correcta</v>
      </c>
    </row>
    <row r="1556" customFormat="false" ht="15" hidden="false" customHeight="false" outlineLevel="0" collapsed="false">
      <c r="A1556" s="0" t="n">
        <v>1535</v>
      </c>
      <c r="B1556" s="0" t="s">
        <v>86</v>
      </c>
      <c r="C1556" s="17" t="n">
        <v>-0.156206469545341</v>
      </c>
      <c r="D1556" s="17" t="n">
        <f aca="false">(C1556-$B$4)/($B$6/SQRT($B$7))</f>
        <v>-0.781032347726704</v>
      </c>
      <c r="E1556" s="0" t="str">
        <f aca="false">IF(OR(AND($B$9="superior",D1556&gt;$B$10),AND($B$9="inferior",D1556&lt;-$B$10)),"Rechazar H0","No rechazar H0")</f>
        <v>No rechazar H0</v>
      </c>
      <c r="F1556" s="0" t="str">
        <f aca="false">IF(AND(B1556="H0 verdadera",E1556="Rechazar H0"),"Error tipo I",IF(AND(B1556="Ha verdadera",E1556="No rechazar H0"),"Error tipo II","Decisión correcta"))</f>
        <v>Error tipo II</v>
      </c>
    </row>
    <row r="1557" customFormat="false" ht="15" hidden="false" customHeight="false" outlineLevel="0" collapsed="false">
      <c r="A1557" s="0" t="n">
        <v>1536</v>
      </c>
      <c r="B1557" s="0" t="s">
        <v>85</v>
      </c>
      <c r="C1557" s="17" t="n">
        <v>0.219745936861294</v>
      </c>
      <c r="D1557" s="17" t="n">
        <f aca="false">(C1557-$B$4)/($B$6/SQRT($B$7))</f>
        <v>1.09872968430647</v>
      </c>
      <c r="E1557" s="0" t="str">
        <f aca="false">IF(OR(AND($B$9="superior",D1557&gt;$B$10),AND($B$9="inferior",D1557&lt;-$B$10)),"Rechazar H0","No rechazar H0")</f>
        <v>No rechazar H0</v>
      </c>
      <c r="F1557" s="0" t="str">
        <f aca="false">IF(AND(B1557="H0 verdadera",E1557="Rechazar H0"),"Error tipo I",IF(AND(B1557="Ha verdadera",E1557="No rechazar H0"),"Error tipo II","Decisión correcta"))</f>
        <v>Decisión correcta</v>
      </c>
    </row>
    <row r="1558" customFormat="false" ht="15" hidden="false" customHeight="false" outlineLevel="0" collapsed="false">
      <c r="A1558" s="0" t="n">
        <v>1537</v>
      </c>
      <c r="B1558" s="0" t="s">
        <v>85</v>
      </c>
      <c r="C1558" s="17" t="n">
        <v>0.0787588626416983</v>
      </c>
      <c r="D1558" s="17" t="n">
        <f aca="false">(C1558-$B$4)/($B$6/SQRT($B$7))</f>
        <v>0.393794313208491</v>
      </c>
      <c r="E1558" s="0" t="str">
        <f aca="false">IF(OR(AND($B$9="superior",D1558&gt;$B$10),AND($B$9="inferior",D1558&lt;-$B$10)),"Rechazar H0","No rechazar H0")</f>
        <v>No rechazar H0</v>
      </c>
      <c r="F1558" s="0" t="str">
        <f aca="false">IF(AND(B1558="H0 verdadera",E1558="Rechazar H0"),"Error tipo I",IF(AND(B1558="Ha verdadera",E1558="No rechazar H0"),"Error tipo II","Decisión correcta"))</f>
        <v>Decisión correcta</v>
      </c>
    </row>
    <row r="1559" customFormat="false" ht="15" hidden="false" customHeight="false" outlineLevel="0" collapsed="false">
      <c r="A1559" s="0" t="n">
        <v>1538</v>
      </c>
      <c r="B1559" s="0" t="s">
        <v>85</v>
      </c>
      <c r="C1559" s="17" t="n">
        <v>0.0443902128052931</v>
      </c>
      <c r="D1559" s="17" t="n">
        <f aca="false">(C1559-$B$4)/($B$6/SQRT($B$7))</f>
        <v>0.221951064026465</v>
      </c>
      <c r="E1559" s="0" t="str">
        <f aca="false">IF(OR(AND($B$9="superior",D1559&gt;$B$10),AND($B$9="inferior",D1559&lt;-$B$10)),"Rechazar H0","No rechazar H0")</f>
        <v>No rechazar H0</v>
      </c>
      <c r="F1559" s="0" t="str">
        <f aca="false">IF(AND(B1559="H0 verdadera",E1559="Rechazar H0"),"Error tipo I",IF(AND(B1559="Ha verdadera",E1559="No rechazar H0"),"Error tipo II","Decisión correcta"))</f>
        <v>Decisión correcta</v>
      </c>
    </row>
    <row r="1560" customFormat="false" ht="15" hidden="false" customHeight="false" outlineLevel="0" collapsed="false">
      <c r="A1560" s="0" t="n">
        <v>1539</v>
      </c>
      <c r="B1560" s="0" t="s">
        <v>86</v>
      </c>
      <c r="C1560" s="17" t="n">
        <v>-0.483061827015547</v>
      </c>
      <c r="D1560" s="17" t="n">
        <f aca="false">(C1560-$B$4)/($B$6/SQRT($B$7))</f>
        <v>-2.41530913507774</v>
      </c>
      <c r="E1560" s="0" t="str">
        <f aca="false">IF(OR(AND($B$9="superior",D1560&gt;$B$10),AND($B$9="inferior",D1560&lt;-$B$10)),"Rechazar H0","No rechazar H0")</f>
        <v>Rechazar H0</v>
      </c>
      <c r="F1560" s="0" t="str">
        <f aca="false">IF(AND(B1560="H0 verdadera",E1560="Rechazar H0"),"Error tipo I",IF(AND(B1560="Ha verdadera",E1560="No rechazar H0"),"Error tipo II","Decisión correcta"))</f>
        <v>Decisión correcta</v>
      </c>
    </row>
    <row r="1561" customFormat="false" ht="15" hidden="false" customHeight="false" outlineLevel="0" collapsed="false">
      <c r="A1561" s="0" t="n">
        <v>1540</v>
      </c>
      <c r="B1561" s="0" t="s">
        <v>85</v>
      </c>
      <c r="C1561" s="17" t="n">
        <v>0.181653175808467</v>
      </c>
      <c r="D1561" s="17" t="n">
        <f aca="false">(C1561-$B$4)/($B$6/SQRT($B$7))</f>
        <v>0.908265879042335</v>
      </c>
      <c r="E1561" s="0" t="str">
        <f aca="false">IF(OR(AND($B$9="superior",D1561&gt;$B$10),AND($B$9="inferior",D1561&lt;-$B$10)),"Rechazar H0","No rechazar H0")</f>
        <v>No rechazar H0</v>
      </c>
      <c r="F1561" s="0" t="str">
        <f aca="false">IF(AND(B1561="H0 verdadera",E1561="Rechazar H0"),"Error tipo I",IF(AND(B1561="Ha verdadera",E1561="No rechazar H0"),"Error tipo II","Decisión correcta"))</f>
        <v>Decisión correcta</v>
      </c>
    </row>
    <row r="1562" customFormat="false" ht="15" hidden="false" customHeight="false" outlineLevel="0" collapsed="false">
      <c r="A1562" s="0" t="n">
        <v>1541</v>
      </c>
      <c r="B1562" s="0" t="s">
        <v>85</v>
      </c>
      <c r="C1562" s="17" t="n">
        <v>-0.0888585048231689</v>
      </c>
      <c r="D1562" s="17" t="n">
        <f aca="false">(C1562-$B$4)/($B$6/SQRT($B$7))</f>
        <v>-0.444292524115844</v>
      </c>
      <c r="E1562" s="0" t="str">
        <f aca="false">IF(OR(AND($B$9="superior",D1562&gt;$B$10),AND($B$9="inferior",D1562&lt;-$B$10)),"Rechazar H0","No rechazar H0")</f>
        <v>No rechazar H0</v>
      </c>
      <c r="F1562" s="0" t="str">
        <f aca="false">IF(AND(B1562="H0 verdadera",E1562="Rechazar H0"),"Error tipo I",IF(AND(B1562="Ha verdadera",E1562="No rechazar H0"),"Error tipo II","Decisión correcta"))</f>
        <v>Decisión correcta</v>
      </c>
    </row>
    <row r="1563" customFormat="false" ht="15" hidden="false" customHeight="false" outlineLevel="0" collapsed="false">
      <c r="A1563" s="0" t="n">
        <v>1542</v>
      </c>
      <c r="B1563" s="0" t="s">
        <v>85</v>
      </c>
      <c r="C1563" s="17" t="n">
        <v>0.253901186329547</v>
      </c>
      <c r="D1563" s="17" t="n">
        <f aca="false">(C1563-$B$4)/($B$6/SQRT($B$7))</f>
        <v>1.26950593164774</v>
      </c>
      <c r="E1563" s="0" t="str">
        <f aca="false">IF(OR(AND($B$9="superior",D1563&gt;$B$10),AND($B$9="inferior",D1563&lt;-$B$10)),"Rechazar H0","No rechazar H0")</f>
        <v>No rechazar H0</v>
      </c>
      <c r="F1563" s="0" t="str">
        <f aca="false">IF(AND(B1563="H0 verdadera",E1563="Rechazar H0"),"Error tipo I",IF(AND(B1563="Ha verdadera",E1563="No rechazar H0"),"Error tipo II","Decisión correcta"))</f>
        <v>Decisión correcta</v>
      </c>
    </row>
    <row r="1564" customFormat="false" ht="15" hidden="false" customHeight="false" outlineLevel="0" collapsed="false">
      <c r="A1564" s="0" t="n">
        <v>1543</v>
      </c>
      <c r="B1564" s="0" t="s">
        <v>85</v>
      </c>
      <c r="C1564" s="17" t="n">
        <v>-0.184207494752533</v>
      </c>
      <c r="D1564" s="17" t="n">
        <f aca="false">(C1564-$B$4)/($B$6/SQRT($B$7))</f>
        <v>-0.921037473762667</v>
      </c>
      <c r="E1564" s="0" t="str">
        <f aca="false">IF(OR(AND($B$9="superior",D1564&gt;$B$10),AND($B$9="inferior",D1564&lt;-$B$10)),"Rechazar H0","No rechazar H0")</f>
        <v>No rechazar H0</v>
      </c>
      <c r="F1564" s="0" t="str">
        <f aca="false">IF(AND(B1564="H0 verdadera",E1564="Rechazar H0"),"Error tipo I",IF(AND(B1564="Ha verdadera",E1564="No rechazar H0"),"Error tipo II","Decisión correcta"))</f>
        <v>Decisión correcta</v>
      </c>
    </row>
    <row r="1565" customFormat="false" ht="15" hidden="false" customHeight="false" outlineLevel="0" collapsed="false">
      <c r="A1565" s="0" t="n">
        <v>1544</v>
      </c>
      <c r="B1565" s="0" t="s">
        <v>86</v>
      </c>
      <c r="C1565" s="17" t="n">
        <v>-0.393301847050445</v>
      </c>
      <c r="D1565" s="17" t="n">
        <f aca="false">(C1565-$B$4)/($B$6/SQRT($B$7))</f>
        <v>-1.96650923525222</v>
      </c>
      <c r="E1565" s="0" t="str">
        <f aca="false">IF(OR(AND($B$9="superior",D1565&gt;$B$10),AND($B$9="inferior",D1565&lt;-$B$10)),"Rechazar H0","No rechazar H0")</f>
        <v>Rechazar H0</v>
      </c>
      <c r="F1565" s="0" t="str">
        <f aca="false">IF(AND(B1565="H0 verdadera",E1565="Rechazar H0"),"Error tipo I",IF(AND(B1565="Ha verdadera",E1565="No rechazar H0"),"Error tipo II","Decisión correcta"))</f>
        <v>Decisión correcta</v>
      </c>
    </row>
    <row r="1566" customFormat="false" ht="15" hidden="false" customHeight="false" outlineLevel="0" collapsed="false">
      <c r="A1566" s="0" t="n">
        <v>1545</v>
      </c>
      <c r="B1566" s="0" t="s">
        <v>85</v>
      </c>
      <c r="C1566" s="17" t="n">
        <v>-0.107588803832476</v>
      </c>
      <c r="D1566" s="17" t="n">
        <f aca="false">(C1566-$B$4)/($B$6/SQRT($B$7))</f>
        <v>-0.53794401916238</v>
      </c>
      <c r="E1566" s="0" t="str">
        <f aca="false">IF(OR(AND($B$9="superior",D1566&gt;$B$10),AND($B$9="inferior",D1566&lt;-$B$10)),"Rechazar H0","No rechazar H0")</f>
        <v>No rechazar H0</v>
      </c>
      <c r="F1566" s="0" t="str">
        <f aca="false">IF(AND(B1566="H0 verdadera",E1566="Rechazar H0"),"Error tipo I",IF(AND(B1566="Ha verdadera",E1566="No rechazar H0"),"Error tipo II","Decisión correcta"))</f>
        <v>Decisión correcta</v>
      </c>
    </row>
    <row r="1567" customFormat="false" ht="15" hidden="false" customHeight="false" outlineLevel="0" collapsed="false">
      <c r="A1567" s="0" t="n">
        <v>1546</v>
      </c>
      <c r="B1567" s="0" t="s">
        <v>86</v>
      </c>
      <c r="C1567" s="17" t="n">
        <v>-0.161298465578064</v>
      </c>
      <c r="D1567" s="17" t="n">
        <f aca="false">(C1567-$B$4)/($B$6/SQRT($B$7))</f>
        <v>-0.806492327890319</v>
      </c>
      <c r="E1567" s="0" t="str">
        <f aca="false">IF(OR(AND($B$9="superior",D1567&gt;$B$10),AND($B$9="inferior",D1567&lt;-$B$10)),"Rechazar H0","No rechazar H0")</f>
        <v>No rechazar H0</v>
      </c>
      <c r="F1567" s="0" t="str">
        <f aca="false">IF(AND(B1567="H0 verdadera",E1567="Rechazar H0"),"Error tipo I",IF(AND(B1567="Ha verdadera",E1567="No rechazar H0"),"Error tipo II","Decisión correcta"))</f>
        <v>Error tipo II</v>
      </c>
    </row>
    <row r="1568" customFormat="false" ht="15" hidden="false" customHeight="false" outlineLevel="0" collapsed="false">
      <c r="A1568" s="0" t="n">
        <v>1547</v>
      </c>
      <c r="B1568" s="0" t="s">
        <v>86</v>
      </c>
      <c r="C1568" s="17" t="n">
        <v>-0.363381275783566</v>
      </c>
      <c r="D1568" s="17" t="n">
        <f aca="false">(C1568-$B$4)/($B$6/SQRT($B$7))</f>
        <v>-1.81690637891783</v>
      </c>
      <c r="E1568" s="0" t="str">
        <f aca="false">IF(OR(AND($B$9="superior",D1568&gt;$B$10),AND($B$9="inferior",D1568&lt;-$B$10)),"Rechazar H0","No rechazar H0")</f>
        <v>Rechazar H0</v>
      </c>
      <c r="F1568" s="0" t="str">
        <f aca="false">IF(AND(B1568="H0 verdadera",E1568="Rechazar H0"),"Error tipo I",IF(AND(B1568="Ha verdadera",E1568="No rechazar H0"),"Error tipo II","Decisión correcta"))</f>
        <v>Decisión correcta</v>
      </c>
    </row>
    <row r="1569" customFormat="false" ht="15" hidden="false" customHeight="false" outlineLevel="0" collapsed="false">
      <c r="A1569" s="0" t="n">
        <v>1548</v>
      </c>
      <c r="B1569" s="0" t="s">
        <v>86</v>
      </c>
      <c r="C1569" s="17" t="n">
        <v>-0.56104107573985</v>
      </c>
      <c r="D1569" s="17" t="n">
        <f aca="false">(C1569-$B$4)/($B$6/SQRT($B$7))</f>
        <v>-2.80520537869925</v>
      </c>
      <c r="E1569" s="0" t="str">
        <f aca="false">IF(OR(AND($B$9="superior",D1569&gt;$B$10),AND($B$9="inferior",D1569&lt;-$B$10)),"Rechazar H0","No rechazar H0")</f>
        <v>Rechazar H0</v>
      </c>
      <c r="F1569" s="0" t="str">
        <f aca="false">IF(AND(B1569="H0 verdadera",E1569="Rechazar H0"),"Error tipo I",IF(AND(B1569="Ha verdadera",E1569="No rechazar H0"),"Error tipo II","Decisión correcta"))</f>
        <v>Decisión correcta</v>
      </c>
    </row>
    <row r="1570" customFormat="false" ht="15" hidden="false" customHeight="false" outlineLevel="0" collapsed="false">
      <c r="A1570" s="0" t="n">
        <v>1549</v>
      </c>
      <c r="B1570" s="0" t="s">
        <v>85</v>
      </c>
      <c r="C1570" s="17" t="n">
        <v>-0.385552720233771</v>
      </c>
      <c r="D1570" s="17" t="n">
        <f aca="false">(C1570-$B$4)/($B$6/SQRT($B$7))</f>
        <v>-1.92776360116885</v>
      </c>
      <c r="E1570" s="0" t="str">
        <f aca="false">IF(OR(AND($B$9="superior",D1570&gt;$B$10),AND($B$9="inferior",D1570&lt;-$B$10)),"Rechazar H0","No rechazar H0")</f>
        <v>Rechazar H0</v>
      </c>
      <c r="F1570" s="0" t="str">
        <f aca="false">IF(AND(B1570="H0 verdadera",E1570="Rechazar H0"),"Error tipo I",IF(AND(B1570="Ha verdadera",E1570="No rechazar H0"),"Error tipo II","Decisión correcta"))</f>
        <v>Error tipo I</v>
      </c>
    </row>
    <row r="1571" customFormat="false" ht="15" hidden="false" customHeight="false" outlineLevel="0" collapsed="false">
      <c r="A1571" s="0" t="n">
        <v>1550</v>
      </c>
      <c r="B1571" s="0" t="s">
        <v>85</v>
      </c>
      <c r="C1571" s="17" t="n">
        <v>-0.173980206461445</v>
      </c>
      <c r="D1571" s="17" t="n">
        <f aca="false">(C1571-$B$4)/($B$6/SQRT($B$7))</f>
        <v>-0.869901032307225</v>
      </c>
      <c r="E1571" s="0" t="str">
        <f aca="false">IF(OR(AND($B$9="superior",D1571&gt;$B$10),AND($B$9="inferior",D1571&lt;-$B$10)),"Rechazar H0","No rechazar H0")</f>
        <v>No rechazar H0</v>
      </c>
      <c r="F1571" s="0" t="str">
        <f aca="false">IF(AND(B1571="H0 verdadera",E1571="Rechazar H0"),"Error tipo I",IF(AND(B1571="Ha verdadera",E1571="No rechazar H0"),"Error tipo II","Decisión correcta"))</f>
        <v>Decisión correcta</v>
      </c>
    </row>
    <row r="1572" customFormat="false" ht="15" hidden="false" customHeight="false" outlineLevel="0" collapsed="false">
      <c r="A1572" s="0" t="n">
        <v>1551</v>
      </c>
      <c r="B1572" s="0" t="s">
        <v>85</v>
      </c>
      <c r="C1572" s="17" t="n">
        <v>0.144421542511265</v>
      </c>
      <c r="D1572" s="17" t="n">
        <f aca="false">(C1572-$B$4)/($B$6/SQRT($B$7))</f>
        <v>0.722107712556322</v>
      </c>
      <c r="E1572" s="0" t="str">
        <f aca="false">IF(OR(AND($B$9="superior",D1572&gt;$B$10),AND($B$9="inferior",D1572&lt;-$B$10)),"Rechazar H0","No rechazar H0")</f>
        <v>No rechazar H0</v>
      </c>
      <c r="F1572" s="0" t="str">
        <f aca="false">IF(AND(B1572="H0 verdadera",E1572="Rechazar H0"),"Error tipo I",IF(AND(B1572="Ha verdadera",E1572="No rechazar H0"),"Error tipo II","Decisión correcta"))</f>
        <v>Decisión correcta</v>
      </c>
    </row>
    <row r="1573" customFormat="false" ht="15" hidden="false" customHeight="false" outlineLevel="0" collapsed="false">
      <c r="A1573" s="0" t="n">
        <v>1552</v>
      </c>
      <c r="B1573" s="0" t="s">
        <v>85</v>
      </c>
      <c r="C1573" s="17" t="n">
        <v>-0.0816818661932872</v>
      </c>
      <c r="D1573" s="17" t="n">
        <f aca="false">(C1573-$B$4)/($B$6/SQRT($B$7))</f>
        <v>-0.408409330966436</v>
      </c>
      <c r="E1573" s="0" t="str">
        <f aca="false">IF(OR(AND($B$9="superior",D1573&gt;$B$10),AND($B$9="inferior",D1573&lt;-$B$10)),"Rechazar H0","No rechazar H0")</f>
        <v>No rechazar H0</v>
      </c>
      <c r="F1573" s="0" t="str">
        <f aca="false">IF(AND(B1573="H0 verdadera",E1573="Rechazar H0"),"Error tipo I",IF(AND(B1573="Ha verdadera",E1573="No rechazar H0"),"Error tipo II","Decisión correcta"))</f>
        <v>Decisión correcta</v>
      </c>
    </row>
    <row r="1574" customFormat="false" ht="15" hidden="false" customHeight="false" outlineLevel="0" collapsed="false">
      <c r="A1574" s="0" t="n">
        <v>1553</v>
      </c>
      <c r="B1574" s="0" t="s">
        <v>85</v>
      </c>
      <c r="C1574" s="17" t="n">
        <v>-0.350803982238412</v>
      </c>
      <c r="D1574" s="17" t="n">
        <f aca="false">(C1574-$B$4)/($B$6/SQRT($B$7))</f>
        <v>-1.75401991119206</v>
      </c>
      <c r="E1574" s="0" t="str">
        <f aca="false">IF(OR(AND($B$9="superior",D1574&gt;$B$10),AND($B$9="inferior",D1574&lt;-$B$10)),"Rechazar H0","No rechazar H0")</f>
        <v>Rechazar H0</v>
      </c>
      <c r="F1574" s="0" t="str">
        <f aca="false">IF(AND(B1574="H0 verdadera",E1574="Rechazar H0"),"Error tipo I",IF(AND(B1574="Ha verdadera",E1574="No rechazar H0"),"Error tipo II","Decisión correcta"))</f>
        <v>Error tipo I</v>
      </c>
    </row>
    <row r="1575" customFormat="false" ht="15" hidden="false" customHeight="false" outlineLevel="0" collapsed="false">
      <c r="A1575" s="0" t="n">
        <v>1554</v>
      </c>
      <c r="B1575" s="0" t="s">
        <v>86</v>
      </c>
      <c r="C1575" s="17" t="n">
        <v>-0.47629463953826</v>
      </c>
      <c r="D1575" s="17" t="n">
        <f aca="false">(C1575-$B$4)/($B$6/SQRT($B$7))</f>
        <v>-2.3814731976913</v>
      </c>
      <c r="E1575" s="0" t="str">
        <f aca="false">IF(OR(AND($B$9="superior",D1575&gt;$B$10),AND($B$9="inferior",D1575&lt;-$B$10)),"Rechazar H0","No rechazar H0")</f>
        <v>Rechazar H0</v>
      </c>
      <c r="F1575" s="0" t="str">
        <f aca="false">IF(AND(B1575="H0 verdadera",E1575="Rechazar H0"),"Error tipo I",IF(AND(B1575="Ha verdadera",E1575="No rechazar H0"),"Error tipo II","Decisión correcta"))</f>
        <v>Decisión correcta</v>
      </c>
    </row>
    <row r="1576" customFormat="false" ht="15" hidden="false" customHeight="false" outlineLevel="0" collapsed="false">
      <c r="A1576" s="0" t="n">
        <v>1555</v>
      </c>
      <c r="B1576" s="0" t="s">
        <v>85</v>
      </c>
      <c r="C1576" s="17" t="n">
        <v>-0.0485306735728507</v>
      </c>
      <c r="D1576" s="17" t="n">
        <f aca="false">(C1576-$B$4)/($B$6/SQRT($B$7))</f>
        <v>-0.242653367864254</v>
      </c>
      <c r="E1576" s="0" t="str">
        <f aca="false">IF(OR(AND($B$9="superior",D1576&gt;$B$10),AND($B$9="inferior",D1576&lt;-$B$10)),"Rechazar H0","No rechazar H0")</f>
        <v>No rechazar H0</v>
      </c>
      <c r="F1576" s="0" t="str">
        <f aca="false">IF(AND(B1576="H0 verdadera",E1576="Rechazar H0"),"Error tipo I",IF(AND(B1576="Ha verdadera",E1576="No rechazar H0"),"Error tipo II","Decisión correcta"))</f>
        <v>Decisión correcta</v>
      </c>
    </row>
    <row r="1577" customFormat="false" ht="15" hidden="false" customHeight="false" outlineLevel="0" collapsed="false">
      <c r="A1577" s="0" t="n">
        <v>1556</v>
      </c>
      <c r="B1577" s="0" t="s">
        <v>85</v>
      </c>
      <c r="C1577" s="17" t="n">
        <v>-0.100599802651467</v>
      </c>
      <c r="D1577" s="17" t="n">
        <f aca="false">(C1577-$B$4)/($B$6/SQRT($B$7))</f>
        <v>-0.502999013257332</v>
      </c>
      <c r="E1577" s="0" t="str">
        <f aca="false">IF(OR(AND($B$9="superior",D1577&gt;$B$10),AND($B$9="inferior",D1577&lt;-$B$10)),"Rechazar H0","No rechazar H0")</f>
        <v>No rechazar H0</v>
      </c>
      <c r="F1577" s="0" t="str">
        <f aca="false">IF(AND(B1577="H0 verdadera",E1577="Rechazar H0"),"Error tipo I",IF(AND(B1577="Ha verdadera",E1577="No rechazar H0"),"Error tipo II","Decisión correcta"))</f>
        <v>Decisión correcta</v>
      </c>
    </row>
    <row r="1578" customFormat="false" ht="15" hidden="false" customHeight="false" outlineLevel="0" collapsed="false">
      <c r="A1578" s="0" t="n">
        <v>1557</v>
      </c>
      <c r="B1578" s="0" t="s">
        <v>85</v>
      </c>
      <c r="C1578" s="17" t="n">
        <v>0.0312967867707795</v>
      </c>
      <c r="D1578" s="17" t="n">
        <f aca="false">(C1578-$B$4)/($B$6/SQRT($B$7))</f>
        <v>0.156483933853898</v>
      </c>
      <c r="E1578" s="0" t="str">
        <f aca="false">IF(OR(AND($B$9="superior",D1578&gt;$B$10),AND($B$9="inferior",D1578&lt;-$B$10)),"Rechazar H0","No rechazar H0")</f>
        <v>No rechazar H0</v>
      </c>
      <c r="F1578" s="0" t="str">
        <f aca="false">IF(AND(B1578="H0 verdadera",E1578="Rechazar H0"),"Error tipo I",IF(AND(B1578="Ha verdadera",E1578="No rechazar H0"),"Error tipo II","Decisión correcta"))</f>
        <v>Decisión correcta</v>
      </c>
    </row>
    <row r="1579" customFormat="false" ht="15" hidden="false" customHeight="false" outlineLevel="0" collapsed="false">
      <c r="A1579" s="0" t="n">
        <v>1558</v>
      </c>
      <c r="B1579" s="0" t="s">
        <v>85</v>
      </c>
      <c r="C1579" s="17" t="n">
        <v>-0.0818594538940905</v>
      </c>
      <c r="D1579" s="17" t="n">
        <f aca="false">(C1579-$B$4)/($B$6/SQRT($B$7))</f>
        <v>-0.409297269470453</v>
      </c>
      <c r="E1579" s="0" t="str">
        <f aca="false">IF(OR(AND($B$9="superior",D1579&gt;$B$10),AND($B$9="inferior",D1579&lt;-$B$10)),"Rechazar H0","No rechazar H0")</f>
        <v>No rechazar H0</v>
      </c>
      <c r="F1579" s="0" t="str">
        <f aca="false">IF(AND(B1579="H0 verdadera",E1579="Rechazar H0"),"Error tipo I",IF(AND(B1579="Ha verdadera",E1579="No rechazar H0"),"Error tipo II","Decisión correcta"))</f>
        <v>Decisión correcta</v>
      </c>
    </row>
    <row r="1580" customFormat="false" ht="15" hidden="false" customHeight="false" outlineLevel="0" collapsed="false">
      <c r="A1580" s="0" t="n">
        <v>1559</v>
      </c>
      <c r="B1580" s="0" t="s">
        <v>86</v>
      </c>
      <c r="C1580" s="17" t="n">
        <v>-0.828438206409419</v>
      </c>
      <c r="D1580" s="17" t="n">
        <f aca="false">(C1580-$B$4)/($B$6/SQRT($B$7))</f>
        <v>-4.14219103204709</v>
      </c>
      <c r="E1580" s="0" t="str">
        <f aca="false">IF(OR(AND($B$9="superior",D1580&gt;$B$10),AND($B$9="inferior",D1580&lt;-$B$10)),"Rechazar H0","No rechazar H0")</f>
        <v>Rechazar H0</v>
      </c>
      <c r="F1580" s="0" t="str">
        <f aca="false">IF(AND(B1580="H0 verdadera",E1580="Rechazar H0"),"Error tipo I",IF(AND(B1580="Ha verdadera",E1580="No rechazar H0"),"Error tipo II","Decisión correcta"))</f>
        <v>Decisión correcta</v>
      </c>
    </row>
    <row r="1581" customFormat="false" ht="15" hidden="false" customHeight="false" outlineLevel="0" collapsed="false">
      <c r="A1581" s="0" t="n">
        <v>1560</v>
      </c>
      <c r="B1581" s="0" t="s">
        <v>85</v>
      </c>
      <c r="C1581" s="17" t="n">
        <v>0.38886656612024</v>
      </c>
      <c r="D1581" s="17" t="n">
        <f aca="false">(C1581-$B$4)/($B$6/SQRT($B$7))</f>
        <v>1.9443328306012</v>
      </c>
      <c r="E1581" s="0" t="str">
        <f aca="false">IF(OR(AND($B$9="superior",D1581&gt;$B$10),AND($B$9="inferior",D1581&lt;-$B$10)),"Rechazar H0","No rechazar H0")</f>
        <v>No rechazar H0</v>
      </c>
      <c r="F1581" s="0" t="str">
        <f aca="false">IF(AND(B1581="H0 verdadera",E1581="Rechazar H0"),"Error tipo I",IF(AND(B1581="Ha verdadera",E1581="No rechazar H0"),"Error tipo II","Decisión correcta"))</f>
        <v>Decisión correcta</v>
      </c>
    </row>
    <row r="1582" customFormat="false" ht="15" hidden="false" customHeight="false" outlineLevel="0" collapsed="false">
      <c r="A1582" s="0" t="n">
        <v>1561</v>
      </c>
      <c r="B1582" s="0" t="s">
        <v>85</v>
      </c>
      <c r="C1582" s="17" t="n">
        <v>-0.545116369852143</v>
      </c>
      <c r="D1582" s="17" t="n">
        <f aca="false">(C1582-$B$4)/($B$6/SQRT($B$7))</f>
        <v>-2.72558184926072</v>
      </c>
      <c r="E1582" s="0" t="str">
        <f aca="false">IF(OR(AND($B$9="superior",D1582&gt;$B$10),AND($B$9="inferior",D1582&lt;-$B$10)),"Rechazar H0","No rechazar H0")</f>
        <v>Rechazar H0</v>
      </c>
      <c r="F1582" s="0" t="str">
        <f aca="false">IF(AND(B1582="H0 verdadera",E1582="Rechazar H0"),"Error tipo I",IF(AND(B1582="Ha verdadera",E1582="No rechazar H0"),"Error tipo II","Decisión correcta"))</f>
        <v>Error tipo I</v>
      </c>
    </row>
    <row r="1583" customFormat="false" ht="15" hidden="false" customHeight="false" outlineLevel="0" collapsed="false">
      <c r="A1583" s="0" t="n">
        <v>1562</v>
      </c>
      <c r="B1583" s="0" t="s">
        <v>86</v>
      </c>
      <c r="C1583" s="17" t="n">
        <v>-0.45060645354389</v>
      </c>
      <c r="D1583" s="17" t="n">
        <f aca="false">(C1583-$B$4)/($B$6/SQRT($B$7))</f>
        <v>-2.25303226771945</v>
      </c>
      <c r="E1583" s="0" t="str">
        <f aca="false">IF(OR(AND($B$9="superior",D1583&gt;$B$10),AND($B$9="inferior",D1583&lt;-$B$10)),"Rechazar H0","No rechazar H0")</f>
        <v>Rechazar H0</v>
      </c>
      <c r="F1583" s="0" t="str">
        <f aca="false">IF(AND(B1583="H0 verdadera",E1583="Rechazar H0"),"Error tipo I",IF(AND(B1583="Ha verdadera",E1583="No rechazar H0"),"Error tipo II","Decisión correcta"))</f>
        <v>Decisión correcta</v>
      </c>
    </row>
    <row r="1584" customFormat="false" ht="15" hidden="false" customHeight="false" outlineLevel="0" collapsed="false">
      <c r="A1584" s="0" t="n">
        <v>1563</v>
      </c>
      <c r="B1584" s="0" t="s">
        <v>85</v>
      </c>
      <c r="C1584" s="17" t="n">
        <v>0.0345286650691665</v>
      </c>
      <c r="D1584" s="17" t="n">
        <f aca="false">(C1584-$B$4)/($B$6/SQRT($B$7))</f>
        <v>0.172643325345832</v>
      </c>
      <c r="E1584" s="0" t="str">
        <f aca="false">IF(OR(AND($B$9="superior",D1584&gt;$B$10),AND($B$9="inferior",D1584&lt;-$B$10)),"Rechazar H0","No rechazar H0")</f>
        <v>No rechazar H0</v>
      </c>
      <c r="F1584" s="0" t="str">
        <f aca="false">IF(AND(B1584="H0 verdadera",E1584="Rechazar H0"),"Error tipo I",IF(AND(B1584="Ha verdadera",E1584="No rechazar H0"),"Error tipo II","Decisión correcta"))</f>
        <v>Decisión correcta</v>
      </c>
    </row>
    <row r="1585" customFormat="false" ht="15" hidden="false" customHeight="false" outlineLevel="0" collapsed="false">
      <c r="A1585" s="0" t="n">
        <v>1564</v>
      </c>
      <c r="B1585" s="0" t="s">
        <v>86</v>
      </c>
      <c r="C1585" s="17" t="n">
        <v>-0.700578519029179</v>
      </c>
      <c r="D1585" s="17" t="n">
        <f aca="false">(C1585-$B$4)/($B$6/SQRT($B$7))</f>
        <v>-3.50289259514589</v>
      </c>
      <c r="E1585" s="0" t="str">
        <f aca="false">IF(OR(AND($B$9="superior",D1585&gt;$B$10),AND($B$9="inferior",D1585&lt;-$B$10)),"Rechazar H0","No rechazar H0")</f>
        <v>Rechazar H0</v>
      </c>
      <c r="F1585" s="0" t="str">
        <f aca="false">IF(AND(B1585="H0 verdadera",E1585="Rechazar H0"),"Error tipo I",IF(AND(B1585="Ha verdadera",E1585="No rechazar H0"),"Error tipo II","Decisión correcta"))</f>
        <v>Decisión correcta</v>
      </c>
    </row>
    <row r="1586" customFormat="false" ht="15" hidden="false" customHeight="false" outlineLevel="0" collapsed="false">
      <c r="A1586" s="0" t="n">
        <v>1565</v>
      </c>
      <c r="B1586" s="0" t="s">
        <v>85</v>
      </c>
      <c r="C1586" s="17" t="n">
        <v>0.193041032220495</v>
      </c>
      <c r="D1586" s="17" t="n">
        <f aca="false">(C1586-$B$4)/($B$6/SQRT($B$7))</f>
        <v>0.965205161102475</v>
      </c>
      <c r="E1586" s="0" t="str">
        <f aca="false">IF(OR(AND($B$9="superior",D1586&gt;$B$10),AND($B$9="inferior",D1586&lt;-$B$10)),"Rechazar H0","No rechazar H0")</f>
        <v>No rechazar H0</v>
      </c>
      <c r="F1586" s="0" t="str">
        <f aca="false">IF(AND(B1586="H0 verdadera",E1586="Rechazar H0"),"Error tipo I",IF(AND(B1586="Ha verdadera",E1586="No rechazar H0"),"Error tipo II","Decisión correcta"))</f>
        <v>Decisión correcta</v>
      </c>
    </row>
    <row r="1587" customFormat="false" ht="15" hidden="false" customHeight="false" outlineLevel="0" collapsed="false">
      <c r="A1587" s="0" t="n">
        <v>1566</v>
      </c>
      <c r="B1587" s="0" t="s">
        <v>86</v>
      </c>
      <c r="C1587" s="17" t="n">
        <v>-0.621899260669481</v>
      </c>
      <c r="D1587" s="17" t="n">
        <f aca="false">(C1587-$B$4)/($B$6/SQRT($B$7))</f>
        <v>-3.10949630334741</v>
      </c>
      <c r="E1587" s="0" t="str">
        <f aca="false">IF(OR(AND($B$9="superior",D1587&gt;$B$10),AND($B$9="inferior",D1587&lt;-$B$10)),"Rechazar H0","No rechazar H0")</f>
        <v>Rechazar H0</v>
      </c>
      <c r="F1587" s="0" t="str">
        <f aca="false">IF(AND(B1587="H0 verdadera",E1587="Rechazar H0"),"Error tipo I",IF(AND(B1587="Ha verdadera",E1587="No rechazar H0"),"Error tipo II","Decisión correcta"))</f>
        <v>Decisión correcta</v>
      </c>
    </row>
    <row r="1588" customFormat="false" ht="15" hidden="false" customHeight="false" outlineLevel="0" collapsed="false">
      <c r="A1588" s="0" t="n">
        <v>1567</v>
      </c>
      <c r="B1588" s="0" t="s">
        <v>85</v>
      </c>
      <c r="C1588" s="17" t="n">
        <v>-0.144957462147407</v>
      </c>
      <c r="D1588" s="17" t="n">
        <f aca="false">(C1588-$B$4)/($B$6/SQRT($B$7))</f>
        <v>-0.724787310737035</v>
      </c>
      <c r="E1588" s="0" t="str">
        <f aca="false">IF(OR(AND($B$9="superior",D1588&gt;$B$10),AND($B$9="inferior",D1588&lt;-$B$10)),"Rechazar H0","No rechazar H0")</f>
        <v>No rechazar H0</v>
      </c>
      <c r="F1588" s="0" t="str">
        <f aca="false">IF(AND(B1588="H0 verdadera",E1588="Rechazar H0"),"Error tipo I",IF(AND(B1588="Ha verdadera",E1588="No rechazar H0"),"Error tipo II","Decisión correcta"))</f>
        <v>Decisión correcta</v>
      </c>
    </row>
    <row r="1589" customFormat="false" ht="15" hidden="false" customHeight="false" outlineLevel="0" collapsed="false">
      <c r="A1589" s="0" t="n">
        <v>1568</v>
      </c>
      <c r="B1589" s="0" t="s">
        <v>85</v>
      </c>
      <c r="C1589" s="17" t="n">
        <v>0.441631406270163</v>
      </c>
      <c r="D1589" s="17" t="n">
        <f aca="false">(C1589-$B$4)/($B$6/SQRT($B$7))</f>
        <v>2.20815703135082</v>
      </c>
      <c r="E1589" s="0" t="str">
        <f aca="false">IF(OR(AND($B$9="superior",D1589&gt;$B$10),AND($B$9="inferior",D1589&lt;-$B$10)),"Rechazar H0","No rechazar H0")</f>
        <v>No rechazar H0</v>
      </c>
      <c r="F1589" s="0" t="str">
        <f aca="false">IF(AND(B1589="H0 verdadera",E1589="Rechazar H0"),"Error tipo I",IF(AND(B1589="Ha verdadera",E1589="No rechazar H0"),"Error tipo II","Decisión correcta"))</f>
        <v>Decisión correcta</v>
      </c>
    </row>
    <row r="1590" customFormat="false" ht="15" hidden="false" customHeight="false" outlineLevel="0" collapsed="false">
      <c r="A1590" s="0" t="n">
        <v>1569</v>
      </c>
      <c r="B1590" s="0" t="s">
        <v>86</v>
      </c>
      <c r="C1590" s="17" t="n">
        <v>-0.801973286224139</v>
      </c>
      <c r="D1590" s="17" t="n">
        <f aca="false">(C1590-$B$4)/($B$6/SQRT($B$7))</f>
        <v>-4.0098664311207</v>
      </c>
      <c r="E1590" s="0" t="str">
        <f aca="false">IF(OR(AND($B$9="superior",D1590&gt;$B$10),AND($B$9="inferior",D1590&lt;-$B$10)),"Rechazar H0","No rechazar H0")</f>
        <v>Rechazar H0</v>
      </c>
      <c r="F1590" s="0" t="str">
        <f aca="false">IF(AND(B1590="H0 verdadera",E1590="Rechazar H0"),"Error tipo I",IF(AND(B1590="Ha verdadera",E1590="No rechazar H0"),"Error tipo II","Decisión correcta"))</f>
        <v>Decisión correcta</v>
      </c>
    </row>
    <row r="1591" customFormat="false" ht="15" hidden="false" customHeight="false" outlineLevel="0" collapsed="false">
      <c r="A1591" s="0" t="n">
        <v>1570</v>
      </c>
      <c r="B1591" s="0" t="s">
        <v>85</v>
      </c>
      <c r="C1591" s="17" t="n">
        <v>-0.0978387781514689</v>
      </c>
      <c r="D1591" s="17" t="n">
        <f aca="false">(C1591-$B$4)/($B$6/SQRT($B$7))</f>
        <v>-0.489193890757344</v>
      </c>
      <c r="E1591" s="0" t="str">
        <f aca="false">IF(OR(AND($B$9="superior",D1591&gt;$B$10),AND($B$9="inferior",D1591&lt;-$B$10)),"Rechazar H0","No rechazar H0")</f>
        <v>No rechazar H0</v>
      </c>
      <c r="F1591" s="0" t="str">
        <f aca="false">IF(AND(B1591="H0 verdadera",E1591="Rechazar H0"),"Error tipo I",IF(AND(B1591="Ha verdadera",E1591="No rechazar H0"),"Error tipo II","Decisión correcta"))</f>
        <v>Decisión correcta</v>
      </c>
    </row>
    <row r="1592" customFormat="false" ht="15" hidden="false" customHeight="false" outlineLevel="0" collapsed="false">
      <c r="A1592" s="0" t="n">
        <v>1571</v>
      </c>
      <c r="B1592" s="0" t="s">
        <v>86</v>
      </c>
      <c r="C1592" s="17" t="n">
        <v>-0.156177911532337</v>
      </c>
      <c r="D1592" s="17" t="n">
        <f aca="false">(C1592-$B$4)/($B$6/SQRT($B$7))</f>
        <v>-0.780889557661685</v>
      </c>
      <c r="E1592" s="0" t="str">
        <f aca="false">IF(OR(AND($B$9="superior",D1592&gt;$B$10),AND($B$9="inferior",D1592&lt;-$B$10)),"Rechazar H0","No rechazar H0")</f>
        <v>No rechazar H0</v>
      </c>
      <c r="F1592" s="0" t="str">
        <f aca="false">IF(AND(B1592="H0 verdadera",E1592="Rechazar H0"),"Error tipo I",IF(AND(B1592="Ha verdadera",E1592="No rechazar H0"),"Error tipo II","Decisión correcta"))</f>
        <v>Error tipo II</v>
      </c>
    </row>
    <row r="1593" customFormat="false" ht="15" hidden="false" customHeight="false" outlineLevel="0" collapsed="false">
      <c r="A1593" s="0" t="n">
        <v>1572</v>
      </c>
      <c r="B1593" s="0" t="s">
        <v>86</v>
      </c>
      <c r="C1593" s="17" t="n">
        <v>-0.29879244301738</v>
      </c>
      <c r="D1593" s="17" t="n">
        <f aca="false">(C1593-$B$4)/($B$6/SQRT($B$7))</f>
        <v>-1.4939622150869</v>
      </c>
      <c r="E1593" s="0" t="str">
        <f aca="false">IF(OR(AND($B$9="superior",D1593&gt;$B$10),AND($B$9="inferior",D1593&lt;-$B$10)),"Rechazar H0","No rechazar H0")</f>
        <v>No rechazar H0</v>
      </c>
      <c r="F1593" s="0" t="str">
        <f aca="false">IF(AND(B1593="H0 verdadera",E1593="Rechazar H0"),"Error tipo I",IF(AND(B1593="Ha verdadera",E1593="No rechazar H0"),"Error tipo II","Decisión correcta"))</f>
        <v>Error tipo II</v>
      </c>
    </row>
    <row r="1594" customFormat="false" ht="15" hidden="false" customHeight="false" outlineLevel="0" collapsed="false">
      <c r="A1594" s="0" t="n">
        <v>1573</v>
      </c>
      <c r="B1594" s="0" t="s">
        <v>85</v>
      </c>
      <c r="C1594" s="17" t="n">
        <v>0.136452913838596</v>
      </c>
      <c r="D1594" s="17" t="n">
        <f aca="false">(C1594-$B$4)/($B$6/SQRT($B$7))</f>
        <v>0.682264569192982</v>
      </c>
      <c r="E1594" s="0" t="str">
        <f aca="false">IF(OR(AND($B$9="superior",D1594&gt;$B$10),AND($B$9="inferior",D1594&lt;-$B$10)),"Rechazar H0","No rechazar H0")</f>
        <v>No rechazar H0</v>
      </c>
      <c r="F1594" s="0" t="str">
        <f aca="false">IF(AND(B1594="H0 verdadera",E1594="Rechazar H0"),"Error tipo I",IF(AND(B1594="Ha verdadera",E1594="No rechazar H0"),"Error tipo II","Decisión correcta"))</f>
        <v>Decisión correcta</v>
      </c>
    </row>
    <row r="1595" customFormat="false" ht="15" hidden="false" customHeight="false" outlineLevel="0" collapsed="false">
      <c r="A1595" s="0" t="n">
        <v>1574</v>
      </c>
      <c r="B1595" s="0" t="s">
        <v>85</v>
      </c>
      <c r="C1595" s="17" t="n">
        <v>-0.288433288712389</v>
      </c>
      <c r="D1595" s="17" t="n">
        <f aca="false">(C1595-$B$4)/($B$6/SQRT($B$7))</f>
        <v>-1.44216644356194</v>
      </c>
      <c r="E1595" s="0" t="str">
        <f aca="false">IF(OR(AND($B$9="superior",D1595&gt;$B$10),AND($B$9="inferior",D1595&lt;-$B$10)),"Rechazar H0","No rechazar H0")</f>
        <v>No rechazar H0</v>
      </c>
      <c r="F1595" s="0" t="str">
        <f aca="false">IF(AND(B1595="H0 verdadera",E1595="Rechazar H0"),"Error tipo I",IF(AND(B1595="Ha verdadera",E1595="No rechazar H0"),"Error tipo II","Decisión correcta"))</f>
        <v>Decisión correcta</v>
      </c>
    </row>
    <row r="1596" customFormat="false" ht="15" hidden="false" customHeight="false" outlineLevel="0" collapsed="false">
      <c r="A1596" s="0" t="n">
        <v>1575</v>
      </c>
      <c r="B1596" s="0" t="s">
        <v>86</v>
      </c>
      <c r="C1596" s="17" t="n">
        <v>-0.231675584601393</v>
      </c>
      <c r="D1596" s="17" t="n">
        <f aca="false">(C1596-$B$4)/($B$6/SQRT($B$7))</f>
        <v>-1.15837792300696</v>
      </c>
      <c r="E1596" s="0" t="str">
        <f aca="false">IF(OR(AND($B$9="superior",D1596&gt;$B$10),AND($B$9="inferior",D1596&lt;-$B$10)),"Rechazar H0","No rechazar H0")</f>
        <v>No rechazar H0</v>
      </c>
      <c r="F1596" s="0" t="str">
        <f aca="false">IF(AND(B1596="H0 verdadera",E1596="Rechazar H0"),"Error tipo I",IF(AND(B1596="Ha verdadera",E1596="No rechazar H0"),"Error tipo II","Decisión correcta"))</f>
        <v>Error tipo II</v>
      </c>
    </row>
    <row r="1597" customFormat="false" ht="15" hidden="false" customHeight="false" outlineLevel="0" collapsed="false">
      <c r="A1597" s="0" t="n">
        <v>1576</v>
      </c>
      <c r="B1597" s="0" t="s">
        <v>85</v>
      </c>
      <c r="C1597" s="17" t="n">
        <v>-0.18440377234943</v>
      </c>
      <c r="D1597" s="17" t="n">
        <f aca="false">(C1597-$B$4)/($B$6/SQRT($B$7))</f>
        <v>-0.92201886174715</v>
      </c>
      <c r="E1597" s="0" t="str">
        <f aca="false">IF(OR(AND($B$9="superior",D1597&gt;$B$10),AND($B$9="inferior",D1597&lt;-$B$10)),"Rechazar H0","No rechazar H0")</f>
        <v>No rechazar H0</v>
      </c>
      <c r="F1597" s="0" t="str">
        <f aca="false">IF(AND(B1597="H0 verdadera",E1597="Rechazar H0"),"Error tipo I",IF(AND(B1597="Ha verdadera",E1597="No rechazar H0"),"Error tipo II","Decisión correcta"))</f>
        <v>Decisión correcta</v>
      </c>
    </row>
    <row r="1598" customFormat="false" ht="15" hidden="false" customHeight="false" outlineLevel="0" collapsed="false">
      <c r="A1598" s="0" t="n">
        <v>1577</v>
      </c>
      <c r="B1598" s="0" t="s">
        <v>86</v>
      </c>
      <c r="C1598" s="17" t="n">
        <v>-0.935376957051674</v>
      </c>
      <c r="D1598" s="17" t="n">
        <f aca="false">(C1598-$B$4)/($B$6/SQRT($B$7))</f>
        <v>-4.67688478525837</v>
      </c>
      <c r="E1598" s="0" t="str">
        <f aca="false">IF(OR(AND($B$9="superior",D1598&gt;$B$10),AND($B$9="inferior",D1598&lt;-$B$10)),"Rechazar H0","No rechazar H0")</f>
        <v>Rechazar H0</v>
      </c>
      <c r="F1598" s="0" t="str">
        <f aca="false">IF(AND(B1598="H0 verdadera",E1598="Rechazar H0"),"Error tipo I",IF(AND(B1598="Ha verdadera",E1598="No rechazar H0"),"Error tipo II","Decisión correcta"))</f>
        <v>Decisión correcta</v>
      </c>
    </row>
    <row r="1599" customFormat="false" ht="15" hidden="false" customHeight="false" outlineLevel="0" collapsed="false">
      <c r="A1599" s="0" t="n">
        <v>1578</v>
      </c>
      <c r="B1599" s="0" t="s">
        <v>85</v>
      </c>
      <c r="C1599" s="17" t="n">
        <v>0.0855629215403719</v>
      </c>
      <c r="D1599" s="17" t="n">
        <f aca="false">(C1599-$B$4)/($B$6/SQRT($B$7))</f>
        <v>0.42781460770186</v>
      </c>
      <c r="E1599" s="0" t="str">
        <f aca="false">IF(OR(AND($B$9="superior",D1599&gt;$B$10),AND($B$9="inferior",D1599&lt;-$B$10)),"Rechazar H0","No rechazar H0")</f>
        <v>No rechazar H0</v>
      </c>
      <c r="F1599" s="0" t="str">
        <f aca="false">IF(AND(B1599="H0 verdadera",E1599="Rechazar H0"),"Error tipo I",IF(AND(B1599="Ha verdadera",E1599="No rechazar H0"),"Error tipo II","Decisión correcta"))</f>
        <v>Decisión correcta</v>
      </c>
    </row>
    <row r="1600" customFormat="false" ht="15" hidden="false" customHeight="false" outlineLevel="0" collapsed="false">
      <c r="A1600" s="0" t="n">
        <v>1579</v>
      </c>
      <c r="B1600" s="0" t="s">
        <v>85</v>
      </c>
      <c r="C1600" s="17" t="n">
        <v>-0.159976198164808</v>
      </c>
      <c r="D1600" s="17" t="n">
        <f aca="false">(C1600-$B$4)/($B$6/SQRT($B$7))</f>
        <v>-0.799880990824039</v>
      </c>
      <c r="E1600" s="0" t="str">
        <f aca="false">IF(OR(AND($B$9="superior",D1600&gt;$B$10),AND($B$9="inferior",D1600&lt;-$B$10)),"Rechazar H0","No rechazar H0")</f>
        <v>No rechazar H0</v>
      </c>
      <c r="F1600" s="0" t="str">
        <f aca="false">IF(AND(B1600="H0 verdadera",E1600="Rechazar H0"),"Error tipo I",IF(AND(B1600="Ha verdadera",E1600="No rechazar H0"),"Error tipo II","Decisión correcta"))</f>
        <v>Decisión correcta</v>
      </c>
    </row>
    <row r="1601" customFormat="false" ht="15" hidden="false" customHeight="false" outlineLevel="0" collapsed="false">
      <c r="A1601" s="0" t="n">
        <v>1580</v>
      </c>
      <c r="B1601" s="0" t="s">
        <v>85</v>
      </c>
      <c r="C1601" s="17" t="n">
        <v>0.0100702977338392</v>
      </c>
      <c r="D1601" s="17" t="n">
        <f aca="false">(C1601-$B$4)/($B$6/SQRT($B$7))</f>
        <v>0.0503514886691962</v>
      </c>
      <c r="E1601" s="0" t="str">
        <f aca="false">IF(OR(AND($B$9="superior",D1601&gt;$B$10),AND($B$9="inferior",D1601&lt;-$B$10)),"Rechazar H0","No rechazar H0")</f>
        <v>No rechazar H0</v>
      </c>
      <c r="F1601" s="0" t="str">
        <f aca="false">IF(AND(B1601="H0 verdadera",E1601="Rechazar H0"),"Error tipo I",IF(AND(B1601="Ha verdadera",E1601="No rechazar H0"),"Error tipo II","Decisión correcta"))</f>
        <v>Decisión correcta</v>
      </c>
    </row>
    <row r="1602" customFormat="false" ht="15" hidden="false" customHeight="false" outlineLevel="0" collapsed="false">
      <c r="A1602" s="0" t="n">
        <v>1581</v>
      </c>
      <c r="B1602" s="0" t="s">
        <v>86</v>
      </c>
      <c r="C1602" s="17" t="n">
        <v>-0.247741508755981</v>
      </c>
      <c r="D1602" s="17" t="n">
        <f aca="false">(C1602-$B$4)/($B$6/SQRT($B$7))</f>
        <v>-1.2387075437799</v>
      </c>
      <c r="E1602" s="0" t="str">
        <f aca="false">IF(OR(AND($B$9="superior",D1602&gt;$B$10),AND($B$9="inferior",D1602&lt;-$B$10)),"Rechazar H0","No rechazar H0")</f>
        <v>No rechazar H0</v>
      </c>
      <c r="F1602" s="0" t="str">
        <f aca="false">IF(AND(B1602="H0 verdadera",E1602="Rechazar H0"),"Error tipo I",IF(AND(B1602="Ha verdadera",E1602="No rechazar H0"),"Error tipo II","Decisión correcta"))</f>
        <v>Error tipo II</v>
      </c>
    </row>
    <row r="1603" customFormat="false" ht="15" hidden="false" customHeight="false" outlineLevel="0" collapsed="false">
      <c r="A1603" s="0" t="n">
        <v>1582</v>
      </c>
      <c r="B1603" s="0" t="s">
        <v>86</v>
      </c>
      <c r="C1603" s="17" t="n">
        <v>-0.135756251990605</v>
      </c>
      <c r="D1603" s="17" t="n">
        <f aca="false">(C1603-$B$4)/($B$6/SQRT($B$7))</f>
        <v>-0.678781259953024</v>
      </c>
      <c r="E1603" s="0" t="str">
        <f aca="false">IF(OR(AND($B$9="superior",D1603&gt;$B$10),AND($B$9="inferior",D1603&lt;-$B$10)),"Rechazar H0","No rechazar H0")</f>
        <v>No rechazar H0</v>
      </c>
      <c r="F1603" s="0" t="str">
        <f aca="false">IF(AND(B1603="H0 verdadera",E1603="Rechazar H0"),"Error tipo I",IF(AND(B1603="Ha verdadera",E1603="No rechazar H0"),"Error tipo II","Decisión correcta"))</f>
        <v>Error tipo II</v>
      </c>
    </row>
    <row r="1604" customFormat="false" ht="15" hidden="false" customHeight="false" outlineLevel="0" collapsed="false">
      <c r="A1604" s="0" t="n">
        <v>1583</v>
      </c>
      <c r="B1604" s="0" t="s">
        <v>86</v>
      </c>
      <c r="C1604" s="17" t="n">
        <v>-0.379383831117625</v>
      </c>
      <c r="D1604" s="17" t="n">
        <f aca="false">(C1604-$B$4)/($B$6/SQRT($B$7))</f>
        <v>-1.89691915558813</v>
      </c>
      <c r="E1604" s="0" t="str">
        <f aca="false">IF(OR(AND($B$9="superior",D1604&gt;$B$10),AND($B$9="inferior",D1604&lt;-$B$10)),"Rechazar H0","No rechazar H0")</f>
        <v>Rechazar H0</v>
      </c>
      <c r="F1604" s="0" t="str">
        <f aca="false">IF(AND(B1604="H0 verdadera",E1604="Rechazar H0"),"Error tipo I",IF(AND(B1604="Ha verdadera",E1604="No rechazar H0"),"Error tipo II","Decisión correcta"))</f>
        <v>Decisión correcta</v>
      </c>
    </row>
    <row r="1605" customFormat="false" ht="15" hidden="false" customHeight="false" outlineLevel="0" collapsed="false">
      <c r="A1605" s="0" t="n">
        <v>1584</v>
      </c>
      <c r="B1605" s="0" t="s">
        <v>86</v>
      </c>
      <c r="C1605" s="17" t="n">
        <v>-0.445226714551424</v>
      </c>
      <c r="D1605" s="17" t="n">
        <f aca="false">(C1605-$B$4)/($B$6/SQRT($B$7))</f>
        <v>-2.22613357275712</v>
      </c>
      <c r="E1605" s="0" t="str">
        <f aca="false">IF(OR(AND($B$9="superior",D1605&gt;$B$10),AND($B$9="inferior",D1605&lt;-$B$10)),"Rechazar H0","No rechazar H0")</f>
        <v>Rechazar H0</v>
      </c>
      <c r="F1605" s="0" t="str">
        <f aca="false">IF(AND(B1605="H0 verdadera",E1605="Rechazar H0"),"Error tipo I",IF(AND(B1605="Ha verdadera",E1605="No rechazar H0"),"Error tipo II","Decisión correcta"))</f>
        <v>Decisión correcta</v>
      </c>
    </row>
    <row r="1606" customFormat="false" ht="15" hidden="false" customHeight="false" outlineLevel="0" collapsed="false">
      <c r="A1606" s="0" t="n">
        <v>1585</v>
      </c>
      <c r="B1606" s="0" t="s">
        <v>86</v>
      </c>
      <c r="C1606" s="17" t="n">
        <v>-0.434077828075034</v>
      </c>
      <c r="D1606" s="17" t="n">
        <f aca="false">(C1606-$B$4)/($B$6/SQRT($B$7))</f>
        <v>-2.17038914037517</v>
      </c>
      <c r="E1606" s="0" t="str">
        <f aca="false">IF(OR(AND($B$9="superior",D1606&gt;$B$10),AND($B$9="inferior",D1606&lt;-$B$10)),"Rechazar H0","No rechazar H0")</f>
        <v>Rechazar H0</v>
      </c>
      <c r="F1606" s="0" t="str">
        <f aca="false">IF(AND(B1606="H0 verdadera",E1606="Rechazar H0"),"Error tipo I",IF(AND(B1606="Ha verdadera",E1606="No rechazar H0"),"Error tipo II","Decisión correcta"))</f>
        <v>Decisión correcta</v>
      </c>
    </row>
    <row r="1607" customFormat="false" ht="15" hidden="false" customHeight="false" outlineLevel="0" collapsed="false">
      <c r="A1607" s="0" t="n">
        <v>1586</v>
      </c>
      <c r="B1607" s="0" t="s">
        <v>85</v>
      </c>
      <c r="C1607" s="17" t="n">
        <v>0.00665965942557133</v>
      </c>
      <c r="D1607" s="17" t="n">
        <f aca="false">(C1607-$B$4)/($B$6/SQRT($B$7))</f>
        <v>0.0332982971278566</v>
      </c>
      <c r="E1607" s="0" t="str">
        <f aca="false">IF(OR(AND($B$9="superior",D1607&gt;$B$10),AND($B$9="inferior",D1607&lt;-$B$10)),"Rechazar H0","No rechazar H0")</f>
        <v>No rechazar H0</v>
      </c>
      <c r="F1607" s="0" t="str">
        <f aca="false">IF(AND(B1607="H0 verdadera",E1607="Rechazar H0"),"Error tipo I",IF(AND(B1607="Ha verdadera",E1607="No rechazar H0"),"Error tipo II","Decisión correcta"))</f>
        <v>Decisión correcta</v>
      </c>
    </row>
    <row r="1608" customFormat="false" ht="15" hidden="false" customHeight="false" outlineLevel="0" collapsed="false">
      <c r="A1608" s="0" t="n">
        <v>1587</v>
      </c>
      <c r="B1608" s="0" t="s">
        <v>86</v>
      </c>
      <c r="C1608" s="17" t="n">
        <v>-0.43908276337617</v>
      </c>
      <c r="D1608" s="17" t="n">
        <f aca="false">(C1608-$B$4)/($B$6/SQRT($B$7))</f>
        <v>-2.19541381688085</v>
      </c>
      <c r="E1608" s="0" t="str">
        <f aca="false">IF(OR(AND($B$9="superior",D1608&gt;$B$10),AND($B$9="inferior",D1608&lt;-$B$10)),"Rechazar H0","No rechazar H0")</f>
        <v>Rechazar H0</v>
      </c>
      <c r="F1608" s="0" t="str">
        <f aca="false">IF(AND(B1608="H0 verdadera",E1608="Rechazar H0"),"Error tipo I",IF(AND(B1608="Ha verdadera",E1608="No rechazar H0"),"Error tipo II","Decisión correcta"))</f>
        <v>Decisión correcta</v>
      </c>
    </row>
    <row r="1609" customFormat="false" ht="15" hidden="false" customHeight="false" outlineLevel="0" collapsed="false">
      <c r="A1609" s="0" t="n">
        <v>1588</v>
      </c>
      <c r="B1609" s="0" t="s">
        <v>85</v>
      </c>
      <c r="C1609" s="17" t="n">
        <v>0.237022008940486</v>
      </c>
      <c r="D1609" s="17" t="n">
        <f aca="false">(C1609-$B$4)/($B$6/SQRT($B$7))</f>
        <v>1.18511004470243</v>
      </c>
      <c r="E1609" s="0" t="str">
        <f aca="false">IF(OR(AND($B$9="superior",D1609&gt;$B$10),AND($B$9="inferior",D1609&lt;-$B$10)),"Rechazar H0","No rechazar H0")</f>
        <v>No rechazar H0</v>
      </c>
      <c r="F1609" s="0" t="str">
        <f aca="false">IF(AND(B1609="H0 verdadera",E1609="Rechazar H0"),"Error tipo I",IF(AND(B1609="Ha verdadera",E1609="No rechazar H0"),"Error tipo II","Decisión correcta"))</f>
        <v>Decisión correcta</v>
      </c>
    </row>
    <row r="1610" customFormat="false" ht="15" hidden="false" customHeight="false" outlineLevel="0" collapsed="false">
      <c r="A1610" s="0" t="n">
        <v>1589</v>
      </c>
      <c r="B1610" s="0" t="s">
        <v>85</v>
      </c>
      <c r="C1610" s="17" t="n">
        <v>-0.018368974461309</v>
      </c>
      <c r="D1610" s="17" t="n">
        <f aca="false">(C1610-$B$4)/($B$6/SQRT($B$7))</f>
        <v>-0.0918448723065451</v>
      </c>
      <c r="E1610" s="0" t="str">
        <f aca="false">IF(OR(AND($B$9="superior",D1610&gt;$B$10),AND($B$9="inferior",D1610&lt;-$B$10)),"Rechazar H0","No rechazar H0")</f>
        <v>No rechazar H0</v>
      </c>
      <c r="F1610" s="0" t="str">
        <f aca="false">IF(AND(B1610="H0 verdadera",E1610="Rechazar H0"),"Error tipo I",IF(AND(B1610="Ha verdadera",E1610="No rechazar H0"),"Error tipo II","Decisión correcta"))</f>
        <v>Decisión correcta</v>
      </c>
    </row>
    <row r="1611" customFormat="false" ht="15" hidden="false" customHeight="false" outlineLevel="0" collapsed="false">
      <c r="A1611" s="0" t="n">
        <v>1590</v>
      </c>
      <c r="B1611" s="0" t="s">
        <v>86</v>
      </c>
      <c r="C1611" s="17" t="n">
        <v>-0.659742329332445</v>
      </c>
      <c r="D1611" s="17" t="n">
        <f aca="false">(C1611-$B$4)/($B$6/SQRT($B$7))</f>
        <v>-3.29871164666223</v>
      </c>
      <c r="E1611" s="0" t="str">
        <f aca="false">IF(OR(AND($B$9="superior",D1611&gt;$B$10),AND($B$9="inferior",D1611&lt;-$B$10)),"Rechazar H0","No rechazar H0")</f>
        <v>Rechazar H0</v>
      </c>
      <c r="F1611" s="0" t="str">
        <f aca="false">IF(AND(B1611="H0 verdadera",E1611="Rechazar H0"),"Error tipo I",IF(AND(B1611="Ha verdadera",E1611="No rechazar H0"),"Error tipo II","Decisión correcta"))</f>
        <v>Decisión correcta</v>
      </c>
    </row>
    <row r="1612" customFormat="false" ht="15" hidden="false" customHeight="false" outlineLevel="0" collapsed="false">
      <c r="A1612" s="0" t="n">
        <v>1591</v>
      </c>
      <c r="B1612" s="0" t="s">
        <v>86</v>
      </c>
      <c r="C1612" s="17" t="n">
        <v>-0.533493617500186</v>
      </c>
      <c r="D1612" s="17" t="n">
        <f aca="false">(C1612-$B$4)/($B$6/SQRT($B$7))</f>
        <v>-2.66746808750093</v>
      </c>
      <c r="E1612" s="0" t="str">
        <f aca="false">IF(OR(AND($B$9="superior",D1612&gt;$B$10),AND($B$9="inferior",D1612&lt;-$B$10)),"Rechazar H0","No rechazar H0")</f>
        <v>Rechazar H0</v>
      </c>
      <c r="F1612" s="0" t="str">
        <f aca="false">IF(AND(B1612="H0 verdadera",E1612="Rechazar H0"),"Error tipo I",IF(AND(B1612="Ha verdadera",E1612="No rechazar H0"),"Error tipo II","Decisión correcta"))</f>
        <v>Decisión correcta</v>
      </c>
    </row>
    <row r="1613" customFormat="false" ht="15" hidden="false" customHeight="false" outlineLevel="0" collapsed="false">
      <c r="A1613" s="0" t="n">
        <v>1592</v>
      </c>
      <c r="B1613" s="0" t="s">
        <v>85</v>
      </c>
      <c r="C1613" s="17" t="n">
        <v>-0.273442537053928</v>
      </c>
      <c r="D1613" s="17" t="n">
        <f aca="false">(C1613-$B$4)/($B$6/SQRT($B$7))</f>
        <v>-1.36721268526964</v>
      </c>
      <c r="E1613" s="0" t="str">
        <f aca="false">IF(OR(AND($B$9="superior",D1613&gt;$B$10),AND($B$9="inferior",D1613&lt;-$B$10)),"Rechazar H0","No rechazar H0")</f>
        <v>No rechazar H0</v>
      </c>
      <c r="F1613" s="0" t="str">
        <f aca="false">IF(AND(B1613="H0 verdadera",E1613="Rechazar H0"),"Error tipo I",IF(AND(B1613="Ha verdadera",E1613="No rechazar H0"),"Error tipo II","Decisión correcta"))</f>
        <v>Decisión correcta</v>
      </c>
    </row>
    <row r="1614" customFormat="false" ht="15" hidden="false" customHeight="false" outlineLevel="0" collapsed="false">
      <c r="A1614" s="0" t="n">
        <v>1593</v>
      </c>
      <c r="B1614" s="0" t="s">
        <v>85</v>
      </c>
      <c r="C1614" s="17" t="n">
        <v>-0.141016190989593</v>
      </c>
      <c r="D1614" s="17" t="n">
        <f aca="false">(C1614-$B$4)/($B$6/SQRT($B$7))</f>
        <v>-0.705080954947965</v>
      </c>
      <c r="E1614" s="0" t="str">
        <f aca="false">IF(OR(AND($B$9="superior",D1614&gt;$B$10),AND($B$9="inferior",D1614&lt;-$B$10)),"Rechazar H0","No rechazar H0")</f>
        <v>No rechazar H0</v>
      </c>
      <c r="F1614" s="0" t="str">
        <f aca="false">IF(AND(B1614="H0 verdadera",E1614="Rechazar H0"),"Error tipo I",IF(AND(B1614="Ha verdadera",E1614="No rechazar H0"),"Error tipo II","Decisión correcta"))</f>
        <v>Decisión correcta</v>
      </c>
    </row>
    <row r="1615" customFormat="false" ht="15" hidden="false" customHeight="false" outlineLevel="0" collapsed="false">
      <c r="A1615" s="0" t="n">
        <v>1594</v>
      </c>
      <c r="B1615" s="0" t="s">
        <v>86</v>
      </c>
      <c r="C1615" s="17" t="n">
        <v>-0.419611347682135</v>
      </c>
      <c r="D1615" s="17" t="n">
        <f aca="false">(C1615-$B$4)/($B$6/SQRT($B$7))</f>
        <v>-2.09805673841067</v>
      </c>
      <c r="E1615" s="0" t="str">
        <f aca="false">IF(OR(AND($B$9="superior",D1615&gt;$B$10),AND($B$9="inferior",D1615&lt;-$B$10)),"Rechazar H0","No rechazar H0")</f>
        <v>Rechazar H0</v>
      </c>
      <c r="F1615" s="0" t="str">
        <f aca="false">IF(AND(B1615="H0 verdadera",E1615="Rechazar H0"),"Error tipo I",IF(AND(B1615="Ha verdadera",E1615="No rechazar H0"),"Error tipo II","Decisión correcta"))</f>
        <v>Decisión correcta</v>
      </c>
    </row>
    <row r="1616" customFormat="false" ht="15" hidden="false" customHeight="false" outlineLevel="0" collapsed="false">
      <c r="A1616" s="0" t="n">
        <v>1595</v>
      </c>
      <c r="B1616" s="0" t="s">
        <v>86</v>
      </c>
      <c r="C1616" s="17" t="n">
        <v>-0.674200055180538</v>
      </c>
      <c r="D1616" s="17" t="n">
        <f aca="false">(C1616-$B$4)/($B$6/SQRT($B$7))</f>
        <v>-3.37100027590269</v>
      </c>
      <c r="E1616" s="0" t="str">
        <f aca="false">IF(OR(AND($B$9="superior",D1616&gt;$B$10),AND($B$9="inferior",D1616&lt;-$B$10)),"Rechazar H0","No rechazar H0")</f>
        <v>Rechazar H0</v>
      </c>
      <c r="F1616" s="0" t="str">
        <f aca="false">IF(AND(B1616="H0 verdadera",E1616="Rechazar H0"),"Error tipo I",IF(AND(B1616="Ha verdadera",E1616="No rechazar H0"),"Error tipo II","Decisión correcta"))</f>
        <v>Decisión correcta</v>
      </c>
    </row>
    <row r="1617" customFormat="false" ht="15" hidden="false" customHeight="false" outlineLevel="0" collapsed="false">
      <c r="A1617" s="0" t="n">
        <v>1596</v>
      </c>
      <c r="B1617" s="0" t="s">
        <v>86</v>
      </c>
      <c r="C1617" s="17" t="n">
        <v>-0.206945697623672</v>
      </c>
      <c r="D1617" s="17" t="n">
        <f aca="false">(C1617-$B$4)/($B$6/SQRT($B$7))</f>
        <v>-1.03472848811836</v>
      </c>
      <c r="E1617" s="0" t="str">
        <f aca="false">IF(OR(AND($B$9="superior",D1617&gt;$B$10),AND($B$9="inferior",D1617&lt;-$B$10)),"Rechazar H0","No rechazar H0")</f>
        <v>No rechazar H0</v>
      </c>
      <c r="F1617" s="0" t="str">
        <f aca="false">IF(AND(B1617="H0 verdadera",E1617="Rechazar H0"),"Error tipo I",IF(AND(B1617="Ha verdadera",E1617="No rechazar H0"),"Error tipo II","Decisión correcta"))</f>
        <v>Error tipo II</v>
      </c>
    </row>
    <row r="1618" customFormat="false" ht="15" hidden="false" customHeight="false" outlineLevel="0" collapsed="false">
      <c r="A1618" s="0" t="n">
        <v>1597</v>
      </c>
      <c r="B1618" s="0" t="s">
        <v>86</v>
      </c>
      <c r="C1618" s="17" t="n">
        <v>-0.139206324574169</v>
      </c>
      <c r="D1618" s="17" t="n">
        <f aca="false">(C1618-$B$4)/($B$6/SQRT($B$7))</f>
        <v>-0.696031622870843</v>
      </c>
      <c r="E1618" s="0" t="str">
        <f aca="false">IF(OR(AND($B$9="superior",D1618&gt;$B$10),AND($B$9="inferior",D1618&lt;-$B$10)),"Rechazar H0","No rechazar H0")</f>
        <v>No rechazar H0</v>
      </c>
      <c r="F1618" s="0" t="str">
        <f aca="false">IF(AND(B1618="H0 verdadera",E1618="Rechazar H0"),"Error tipo I",IF(AND(B1618="Ha verdadera",E1618="No rechazar H0"),"Error tipo II","Decisión correcta"))</f>
        <v>Error tipo II</v>
      </c>
    </row>
    <row r="1619" customFormat="false" ht="15" hidden="false" customHeight="false" outlineLevel="0" collapsed="false">
      <c r="A1619" s="0" t="n">
        <v>1598</v>
      </c>
      <c r="B1619" s="0" t="s">
        <v>85</v>
      </c>
      <c r="C1619" s="17" t="n">
        <v>-0.152827859663846</v>
      </c>
      <c r="D1619" s="17" t="n">
        <f aca="false">(C1619-$B$4)/($B$6/SQRT($B$7))</f>
        <v>-0.764139298319228</v>
      </c>
      <c r="E1619" s="0" t="str">
        <f aca="false">IF(OR(AND($B$9="superior",D1619&gt;$B$10),AND($B$9="inferior",D1619&lt;-$B$10)),"Rechazar H0","No rechazar H0")</f>
        <v>No rechazar H0</v>
      </c>
      <c r="F1619" s="0" t="str">
        <f aca="false">IF(AND(B1619="H0 verdadera",E1619="Rechazar H0"),"Error tipo I",IF(AND(B1619="Ha verdadera",E1619="No rechazar H0"),"Error tipo II","Decisión correcta"))</f>
        <v>Decisión correcta</v>
      </c>
    </row>
    <row r="1620" customFormat="false" ht="15" hidden="false" customHeight="false" outlineLevel="0" collapsed="false">
      <c r="A1620" s="0" t="n">
        <v>1599</v>
      </c>
      <c r="B1620" s="0" t="s">
        <v>85</v>
      </c>
      <c r="C1620" s="17" t="n">
        <v>-0.17379499430335</v>
      </c>
      <c r="D1620" s="17" t="n">
        <f aca="false">(C1620-$B$4)/($B$6/SQRT($B$7))</f>
        <v>-0.868974971516747</v>
      </c>
      <c r="E1620" s="0" t="str">
        <f aca="false">IF(OR(AND($B$9="superior",D1620&gt;$B$10),AND($B$9="inferior",D1620&lt;-$B$10)),"Rechazar H0","No rechazar H0")</f>
        <v>No rechazar H0</v>
      </c>
      <c r="F1620" s="0" t="str">
        <f aca="false">IF(AND(B1620="H0 verdadera",E1620="Rechazar H0"),"Error tipo I",IF(AND(B1620="Ha verdadera",E1620="No rechazar H0"),"Error tipo II","Decisión correcta"))</f>
        <v>Decisión correcta</v>
      </c>
    </row>
    <row r="1621" customFormat="false" ht="15" hidden="false" customHeight="false" outlineLevel="0" collapsed="false">
      <c r="A1621" s="0" t="n">
        <v>1600</v>
      </c>
      <c r="B1621" s="0" t="s">
        <v>85</v>
      </c>
      <c r="C1621" s="17" t="n">
        <v>0.368457316622496</v>
      </c>
      <c r="D1621" s="17" t="n">
        <f aca="false">(C1621-$B$4)/($B$6/SQRT($B$7))</f>
        <v>1.84228658311248</v>
      </c>
      <c r="E1621" s="0" t="str">
        <f aca="false">IF(OR(AND($B$9="superior",D1621&gt;$B$10),AND($B$9="inferior",D1621&lt;-$B$10)),"Rechazar H0","No rechazar H0")</f>
        <v>No rechazar H0</v>
      </c>
      <c r="F1621" s="0" t="str">
        <f aca="false">IF(AND(B1621="H0 verdadera",E1621="Rechazar H0"),"Error tipo I",IF(AND(B1621="Ha verdadera",E1621="No rechazar H0"),"Error tipo II","Decisión correcta"))</f>
        <v>Decisión correcta</v>
      </c>
    </row>
    <row r="1622" customFormat="false" ht="15" hidden="false" customHeight="false" outlineLevel="0" collapsed="false">
      <c r="A1622" s="0" t="n">
        <v>1601</v>
      </c>
      <c r="B1622" s="0" t="s">
        <v>86</v>
      </c>
      <c r="C1622" s="17" t="n">
        <v>-0.2973460725321</v>
      </c>
      <c r="D1622" s="17" t="n">
        <f aca="false">(C1622-$B$4)/($B$6/SQRT($B$7))</f>
        <v>-1.4867303626605</v>
      </c>
      <c r="E1622" s="0" t="str">
        <f aca="false">IF(OR(AND($B$9="superior",D1622&gt;$B$10),AND($B$9="inferior",D1622&lt;-$B$10)),"Rechazar H0","No rechazar H0")</f>
        <v>No rechazar H0</v>
      </c>
      <c r="F1622" s="0" t="str">
        <f aca="false">IF(AND(B1622="H0 verdadera",E1622="Rechazar H0"),"Error tipo I",IF(AND(B1622="Ha verdadera",E1622="No rechazar H0"),"Error tipo II","Decisión correcta"))</f>
        <v>Error tipo II</v>
      </c>
    </row>
    <row r="1623" customFormat="false" ht="15" hidden="false" customHeight="false" outlineLevel="0" collapsed="false">
      <c r="A1623" s="0" t="n">
        <v>1602</v>
      </c>
      <c r="B1623" s="0" t="s">
        <v>85</v>
      </c>
      <c r="C1623" s="17" t="n">
        <v>0.0479128789294384</v>
      </c>
      <c r="D1623" s="17" t="n">
        <f aca="false">(C1623-$B$4)/($B$6/SQRT($B$7))</f>
        <v>0.239564394647192</v>
      </c>
      <c r="E1623" s="0" t="str">
        <f aca="false">IF(OR(AND($B$9="superior",D1623&gt;$B$10),AND($B$9="inferior",D1623&lt;-$B$10)),"Rechazar H0","No rechazar H0")</f>
        <v>No rechazar H0</v>
      </c>
      <c r="F1623" s="0" t="str">
        <f aca="false">IF(AND(B1623="H0 verdadera",E1623="Rechazar H0"),"Error tipo I",IF(AND(B1623="Ha verdadera",E1623="No rechazar H0"),"Error tipo II","Decisión correcta"))</f>
        <v>Decisión correcta</v>
      </c>
    </row>
    <row r="1624" customFormat="false" ht="15" hidden="false" customHeight="false" outlineLevel="0" collapsed="false">
      <c r="A1624" s="0" t="n">
        <v>1603</v>
      </c>
      <c r="B1624" s="0" t="s">
        <v>85</v>
      </c>
      <c r="C1624" s="17" t="n">
        <v>-0.085720802141314</v>
      </c>
      <c r="D1624" s="17" t="n">
        <f aca="false">(C1624-$B$4)/($B$6/SQRT($B$7))</f>
        <v>-0.42860401070657</v>
      </c>
      <c r="E1624" s="0" t="str">
        <f aca="false">IF(OR(AND($B$9="superior",D1624&gt;$B$10),AND($B$9="inferior",D1624&lt;-$B$10)),"Rechazar H0","No rechazar H0")</f>
        <v>No rechazar H0</v>
      </c>
      <c r="F1624" s="0" t="str">
        <f aca="false">IF(AND(B1624="H0 verdadera",E1624="Rechazar H0"),"Error tipo I",IF(AND(B1624="Ha verdadera",E1624="No rechazar H0"),"Error tipo II","Decisión correcta"))</f>
        <v>Decisión correcta</v>
      </c>
    </row>
    <row r="1625" customFormat="false" ht="15" hidden="false" customHeight="false" outlineLevel="0" collapsed="false">
      <c r="A1625" s="0" t="n">
        <v>1604</v>
      </c>
      <c r="B1625" s="0" t="s">
        <v>86</v>
      </c>
      <c r="C1625" s="17" t="n">
        <v>-0.516409982892524</v>
      </c>
      <c r="D1625" s="17" t="n">
        <f aca="false">(C1625-$B$4)/($B$6/SQRT($B$7))</f>
        <v>-2.58204991446262</v>
      </c>
      <c r="E1625" s="0" t="str">
        <f aca="false">IF(OR(AND($B$9="superior",D1625&gt;$B$10),AND($B$9="inferior",D1625&lt;-$B$10)),"Rechazar H0","No rechazar H0")</f>
        <v>Rechazar H0</v>
      </c>
      <c r="F1625" s="0" t="str">
        <f aca="false">IF(AND(B1625="H0 verdadera",E1625="Rechazar H0"),"Error tipo I",IF(AND(B1625="Ha verdadera",E1625="No rechazar H0"),"Error tipo II","Decisión correcta"))</f>
        <v>Decisión correcta</v>
      </c>
    </row>
    <row r="1626" customFormat="false" ht="15" hidden="false" customHeight="false" outlineLevel="0" collapsed="false">
      <c r="A1626" s="0" t="n">
        <v>1605</v>
      </c>
      <c r="B1626" s="0" t="s">
        <v>85</v>
      </c>
      <c r="C1626" s="17" t="n">
        <v>-0.185752863324671</v>
      </c>
      <c r="D1626" s="17" t="n">
        <f aca="false">(C1626-$B$4)/($B$6/SQRT($B$7))</f>
        <v>-0.928764316623356</v>
      </c>
      <c r="E1626" s="0" t="str">
        <f aca="false">IF(OR(AND($B$9="superior",D1626&gt;$B$10),AND($B$9="inferior",D1626&lt;-$B$10)),"Rechazar H0","No rechazar H0")</f>
        <v>No rechazar H0</v>
      </c>
      <c r="F1626" s="0" t="str">
        <f aca="false">IF(AND(B1626="H0 verdadera",E1626="Rechazar H0"),"Error tipo I",IF(AND(B1626="Ha verdadera",E1626="No rechazar H0"),"Error tipo II","Decisión correcta"))</f>
        <v>Decisión correcta</v>
      </c>
    </row>
    <row r="1627" customFormat="false" ht="15" hidden="false" customHeight="false" outlineLevel="0" collapsed="false">
      <c r="A1627" s="0" t="n">
        <v>1606</v>
      </c>
      <c r="B1627" s="0" t="s">
        <v>86</v>
      </c>
      <c r="C1627" s="17" t="n">
        <v>-0.159837507902227</v>
      </c>
      <c r="D1627" s="17" t="n">
        <f aca="false">(C1627-$B$4)/($B$6/SQRT($B$7))</f>
        <v>-0.799187539511133</v>
      </c>
      <c r="E1627" s="0" t="str">
        <f aca="false">IF(OR(AND($B$9="superior",D1627&gt;$B$10),AND($B$9="inferior",D1627&lt;-$B$10)),"Rechazar H0","No rechazar H0")</f>
        <v>No rechazar H0</v>
      </c>
      <c r="F1627" s="0" t="str">
        <f aca="false">IF(AND(B1627="H0 verdadera",E1627="Rechazar H0"),"Error tipo I",IF(AND(B1627="Ha verdadera",E1627="No rechazar H0"),"Error tipo II","Decisión correcta"))</f>
        <v>Error tipo II</v>
      </c>
    </row>
    <row r="1628" customFormat="false" ht="15" hidden="false" customHeight="false" outlineLevel="0" collapsed="false">
      <c r="A1628" s="0" t="n">
        <v>1607</v>
      </c>
      <c r="B1628" s="0" t="s">
        <v>85</v>
      </c>
      <c r="C1628" s="17" t="n">
        <v>-0.20681734681388</v>
      </c>
      <c r="D1628" s="17" t="n">
        <f aca="false">(C1628-$B$4)/($B$6/SQRT($B$7))</f>
        <v>-1.0340867340694</v>
      </c>
      <c r="E1628" s="0" t="str">
        <f aca="false">IF(OR(AND($B$9="superior",D1628&gt;$B$10),AND($B$9="inferior",D1628&lt;-$B$10)),"Rechazar H0","No rechazar H0")</f>
        <v>No rechazar H0</v>
      </c>
      <c r="F1628" s="0" t="str">
        <f aca="false">IF(AND(B1628="H0 verdadera",E1628="Rechazar H0"),"Error tipo I",IF(AND(B1628="Ha verdadera",E1628="No rechazar H0"),"Error tipo II","Decisión correcta"))</f>
        <v>Decisión correcta</v>
      </c>
    </row>
    <row r="1629" customFormat="false" ht="15" hidden="false" customHeight="false" outlineLevel="0" collapsed="false">
      <c r="A1629" s="0" t="n">
        <v>1608</v>
      </c>
      <c r="B1629" s="0" t="s">
        <v>86</v>
      </c>
      <c r="C1629" s="17" t="n">
        <v>-0.160010448451368</v>
      </c>
      <c r="D1629" s="17" t="n">
        <f aca="false">(C1629-$B$4)/($B$6/SQRT($B$7))</f>
        <v>-0.800052242256839</v>
      </c>
      <c r="E1629" s="0" t="str">
        <f aca="false">IF(OR(AND($B$9="superior",D1629&gt;$B$10),AND($B$9="inferior",D1629&lt;-$B$10)),"Rechazar H0","No rechazar H0")</f>
        <v>No rechazar H0</v>
      </c>
      <c r="F1629" s="0" t="str">
        <f aca="false">IF(AND(B1629="H0 verdadera",E1629="Rechazar H0"),"Error tipo I",IF(AND(B1629="Ha verdadera",E1629="No rechazar H0"),"Error tipo II","Decisión correcta"))</f>
        <v>Error tipo II</v>
      </c>
    </row>
    <row r="1630" customFormat="false" ht="15" hidden="false" customHeight="false" outlineLevel="0" collapsed="false">
      <c r="A1630" s="0" t="n">
        <v>1609</v>
      </c>
      <c r="B1630" s="0" t="s">
        <v>85</v>
      </c>
      <c r="C1630" s="17" t="n">
        <v>-0.105681117140961</v>
      </c>
      <c r="D1630" s="17" t="n">
        <f aca="false">(C1630-$B$4)/($B$6/SQRT($B$7))</f>
        <v>-0.528405585704803</v>
      </c>
      <c r="E1630" s="0" t="str">
        <f aca="false">IF(OR(AND($B$9="superior",D1630&gt;$B$10),AND($B$9="inferior",D1630&lt;-$B$10)),"Rechazar H0","No rechazar H0")</f>
        <v>No rechazar H0</v>
      </c>
      <c r="F1630" s="0" t="str">
        <f aca="false">IF(AND(B1630="H0 verdadera",E1630="Rechazar H0"),"Error tipo I",IF(AND(B1630="Ha verdadera",E1630="No rechazar H0"),"Error tipo II","Decisión correcta"))</f>
        <v>Decisión correcta</v>
      </c>
    </row>
    <row r="1631" customFormat="false" ht="15" hidden="false" customHeight="false" outlineLevel="0" collapsed="false">
      <c r="A1631" s="0" t="n">
        <v>1610</v>
      </c>
      <c r="B1631" s="0" t="s">
        <v>86</v>
      </c>
      <c r="C1631" s="17" t="n">
        <v>-0.373323875564761</v>
      </c>
      <c r="D1631" s="17" t="n">
        <f aca="false">(C1631-$B$4)/($B$6/SQRT($B$7))</f>
        <v>-1.8666193778238</v>
      </c>
      <c r="E1631" s="0" t="str">
        <f aca="false">IF(OR(AND($B$9="superior",D1631&gt;$B$10),AND($B$9="inferior",D1631&lt;-$B$10)),"Rechazar H0","No rechazar H0")</f>
        <v>Rechazar H0</v>
      </c>
      <c r="F1631" s="0" t="str">
        <f aca="false">IF(AND(B1631="H0 verdadera",E1631="Rechazar H0"),"Error tipo I",IF(AND(B1631="Ha verdadera",E1631="No rechazar H0"),"Error tipo II","Decisión correcta"))</f>
        <v>Decisión correcta</v>
      </c>
    </row>
    <row r="1632" customFormat="false" ht="15" hidden="false" customHeight="false" outlineLevel="0" collapsed="false">
      <c r="A1632" s="0" t="n">
        <v>1611</v>
      </c>
      <c r="B1632" s="0" t="s">
        <v>86</v>
      </c>
      <c r="C1632" s="17" t="n">
        <v>-0.435015735734469</v>
      </c>
      <c r="D1632" s="17" t="n">
        <f aca="false">(C1632-$B$4)/($B$6/SQRT($B$7))</f>
        <v>-2.17507867867234</v>
      </c>
      <c r="E1632" s="0" t="str">
        <f aca="false">IF(OR(AND($B$9="superior",D1632&gt;$B$10),AND($B$9="inferior",D1632&lt;-$B$10)),"Rechazar H0","No rechazar H0")</f>
        <v>Rechazar H0</v>
      </c>
      <c r="F1632" s="0" t="str">
        <f aca="false">IF(AND(B1632="H0 verdadera",E1632="Rechazar H0"),"Error tipo I",IF(AND(B1632="Ha verdadera",E1632="No rechazar H0"),"Error tipo II","Decisión correcta"))</f>
        <v>Decisión correcta</v>
      </c>
    </row>
    <row r="1633" customFormat="false" ht="15" hidden="false" customHeight="false" outlineLevel="0" collapsed="false">
      <c r="A1633" s="0" t="n">
        <v>1612</v>
      </c>
      <c r="B1633" s="0" t="s">
        <v>86</v>
      </c>
      <c r="C1633" s="17" t="n">
        <v>-0.311812322903769</v>
      </c>
      <c r="D1633" s="17" t="n">
        <f aca="false">(C1633-$B$4)/($B$6/SQRT($B$7))</f>
        <v>-1.55906161451884</v>
      </c>
      <c r="E1633" s="0" t="str">
        <f aca="false">IF(OR(AND($B$9="superior",D1633&gt;$B$10),AND($B$9="inferior",D1633&lt;-$B$10)),"Rechazar H0","No rechazar H0")</f>
        <v>No rechazar H0</v>
      </c>
      <c r="F1633" s="0" t="str">
        <f aca="false">IF(AND(B1633="H0 verdadera",E1633="Rechazar H0"),"Error tipo I",IF(AND(B1633="Ha verdadera",E1633="No rechazar H0"),"Error tipo II","Decisión correcta"))</f>
        <v>Error tipo II</v>
      </c>
    </row>
    <row r="1634" customFormat="false" ht="15" hidden="false" customHeight="false" outlineLevel="0" collapsed="false">
      <c r="A1634" s="0" t="n">
        <v>1613</v>
      </c>
      <c r="B1634" s="0" t="s">
        <v>85</v>
      </c>
      <c r="C1634" s="17" t="n">
        <v>-0.186224487440981</v>
      </c>
      <c r="D1634" s="17" t="n">
        <f aca="false">(C1634-$B$4)/($B$6/SQRT($B$7))</f>
        <v>-0.931122437204905</v>
      </c>
      <c r="E1634" s="0" t="str">
        <f aca="false">IF(OR(AND($B$9="superior",D1634&gt;$B$10),AND($B$9="inferior",D1634&lt;-$B$10)),"Rechazar H0","No rechazar H0")</f>
        <v>No rechazar H0</v>
      </c>
      <c r="F1634" s="0" t="str">
        <f aca="false">IF(AND(B1634="H0 verdadera",E1634="Rechazar H0"),"Error tipo I",IF(AND(B1634="Ha verdadera",E1634="No rechazar H0"),"Error tipo II","Decisión correcta"))</f>
        <v>Decisión correcta</v>
      </c>
    </row>
    <row r="1635" customFormat="false" ht="15" hidden="false" customHeight="false" outlineLevel="0" collapsed="false">
      <c r="A1635" s="0" t="n">
        <v>1614</v>
      </c>
      <c r="B1635" s="0" t="s">
        <v>86</v>
      </c>
      <c r="C1635" s="17" t="n">
        <v>-0.484463001118273</v>
      </c>
      <c r="D1635" s="17" t="n">
        <f aca="false">(C1635-$B$4)/($B$6/SQRT($B$7))</f>
        <v>-2.42231500559137</v>
      </c>
      <c r="E1635" s="0" t="str">
        <f aca="false">IF(OR(AND($B$9="superior",D1635&gt;$B$10),AND($B$9="inferior",D1635&lt;-$B$10)),"Rechazar H0","No rechazar H0")</f>
        <v>Rechazar H0</v>
      </c>
      <c r="F1635" s="0" t="str">
        <f aca="false">IF(AND(B1635="H0 verdadera",E1635="Rechazar H0"),"Error tipo I",IF(AND(B1635="Ha verdadera",E1635="No rechazar H0"),"Error tipo II","Decisión correcta"))</f>
        <v>Decisión correcta</v>
      </c>
    </row>
    <row r="1636" customFormat="false" ht="15" hidden="false" customHeight="false" outlineLevel="0" collapsed="false">
      <c r="A1636" s="0" t="n">
        <v>1615</v>
      </c>
      <c r="B1636" s="0" t="s">
        <v>86</v>
      </c>
      <c r="C1636" s="17" t="n">
        <v>-0.036331343968552</v>
      </c>
      <c r="D1636" s="17" t="n">
        <f aca="false">(C1636-$B$4)/($B$6/SQRT($B$7))</f>
        <v>-0.18165671984276</v>
      </c>
      <c r="E1636" s="0" t="str">
        <f aca="false">IF(OR(AND($B$9="superior",D1636&gt;$B$10),AND($B$9="inferior",D1636&lt;-$B$10)),"Rechazar H0","No rechazar H0")</f>
        <v>No rechazar H0</v>
      </c>
      <c r="F1636" s="0" t="str">
        <f aca="false">IF(AND(B1636="H0 verdadera",E1636="Rechazar H0"),"Error tipo I",IF(AND(B1636="Ha verdadera",E1636="No rechazar H0"),"Error tipo II","Decisión correcta"))</f>
        <v>Error tipo II</v>
      </c>
    </row>
    <row r="1637" customFormat="false" ht="15" hidden="false" customHeight="false" outlineLevel="0" collapsed="false">
      <c r="A1637" s="0" t="n">
        <v>1616</v>
      </c>
      <c r="B1637" s="0" t="s">
        <v>86</v>
      </c>
      <c r="C1637" s="17" t="n">
        <v>-0.355849743089306</v>
      </c>
      <c r="D1637" s="17" t="n">
        <f aca="false">(C1637-$B$4)/($B$6/SQRT($B$7))</f>
        <v>-1.77924871544653</v>
      </c>
      <c r="E1637" s="0" t="str">
        <f aca="false">IF(OR(AND($B$9="superior",D1637&gt;$B$10),AND($B$9="inferior",D1637&lt;-$B$10)),"Rechazar H0","No rechazar H0")</f>
        <v>Rechazar H0</v>
      </c>
      <c r="F1637" s="0" t="str">
        <f aca="false">IF(AND(B1637="H0 verdadera",E1637="Rechazar H0"),"Error tipo I",IF(AND(B1637="Ha verdadera",E1637="No rechazar H0"),"Error tipo II","Decisión correcta"))</f>
        <v>Decisión correcta</v>
      </c>
    </row>
    <row r="1638" customFormat="false" ht="15" hidden="false" customHeight="false" outlineLevel="0" collapsed="false">
      <c r="A1638" s="0" t="n">
        <v>1617</v>
      </c>
      <c r="B1638" s="0" t="s">
        <v>85</v>
      </c>
      <c r="C1638" s="17" t="n">
        <v>-0.0419816283054678</v>
      </c>
      <c r="D1638" s="17" t="n">
        <f aca="false">(C1638-$B$4)/($B$6/SQRT($B$7))</f>
        <v>-0.209908141527339</v>
      </c>
      <c r="E1638" s="0" t="str">
        <f aca="false">IF(OR(AND($B$9="superior",D1638&gt;$B$10),AND($B$9="inferior",D1638&lt;-$B$10)),"Rechazar H0","No rechazar H0")</f>
        <v>No rechazar H0</v>
      </c>
      <c r="F1638" s="0" t="str">
        <f aca="false">IF(AND(B1638="H0 verdadera",E1638="Rechazar H0"),"Error tipo I",IF(AND(B1638="Ha verdadera",E1638="No rechazar H0"),"Error tipo II","Decisión correcta"))</f>
        <v>Decisión correcta</v>
      </c>
    </row>
    <row r="1639" customFormat="false" ht="15" hidden="false" customHeight="false" outlineLevel="0" collapsed="false">
      <c r="A1639" s="0" t="n">
        <v>1618</v>
      </c>
      <c r="B1639" s="0" t="s">
        <v>86</v>
      </c>
      <c r="C1639" s="17" t="n">
        <v>-0.275755741691224</v>
      </c>
      <c r="D1639" s="17" t="n">
        <f aca="false">(C1639-$B$4)/($B$6/SQRT($B$7))</f>
        <v>-1.37877870845612</v>
      </c>
      <c r="E1639" s="0" t="str">
        <f aca="false">IF(OR(AND($B$9="superior",D1639&gt;$B$10),AND($B$9="inferior",D1639&lt;-$B$10)),"Rechazar H0","No rechazar H0")</f>
        <v>No rechazar H0</v>
      </c>
      <c r="F1639" s="0" t="str">
        <f aca="false">IF(AND(B1639="H0 verdadera",E1639="Rechazar H0"),"Error tipo I",IF(AND(B1639="Ha verdadera",E1639="No rechazar H0"),"Error tipo II","Decisión correcta"))</f>
        <v>Error tipo II</v>
      </c>
    </row>
    <row r="1640" customFormat="false" ht="15" hidden="false" customHeight="false" outlineLevel="0" collapsed="false">
      <c r="A1640" s="0" t="n">
        <v>1619</v>
      </c>
      <c r="B1640" s="0" t="s">
        <v>86</v>
      </c>
      <c r="C1640" s="17" t="n">
        <v>-0.312638740591816</v>
      </c>
      <c r="D1640" s="17" t="n">
        <f aca="false">(C1640-$B$4)/($B$6/SQRT($B$7))</f>
        <v>-1.56319370295908</v>
      </c>
      <c r="E1640" s="0" t="str">
        <f aca="false">IF(OR(AND($B$9="superior",D1640&gt;$B$10),AND($B$9="inferior",D1640&lt;-$B$10)),"Rechazar H0","No rechazar H0")</f>
        <v>No rechazar H0</v>
      </c>
      <c r="F1640" s="0" t="str">
        <f aca="false">IF(AND(B1640="H0 verdadera",E1640="Rechazar H0"),"Error tipo I",IF(AND(B1640="Ha verdadera",E1640="No rechazar H0"),"Error tipo II","Decisión correcta"))</f>
        <v>Error tipo II</v>
      </c>
    </row>
    <row r="1641" customFormat="false" ht="15" hidden="false" customHeight="false" outlineLevel="0" collapsed="false">
      <c r="A1641" s="0" t="n">
        <v>1620</v>
      </c>
      <c r="B1641" s="0" t="s">
        <v>86</v>
      </c>
      <c r="C1641" s="17" t="n">
        <v>-0.603325993277811</v>
      </c>
      <c r="D1641" s="17" t="n">
        <f aca="false">(C1641-$B$4)/($B$6/SQRT($B$7))</f>
        <v>-3.01662996638906</v>
      </c>
      <c r="E1641" s="0" t="str">
        <f aca="false">IF(OR(AND($B$9="superior",D1641&gt;$B$10),AND($B$9="inferior",D1641&lt;-$B$10)),"Rechazar H0","No rechazar H0")</f>
        <v>Rechazar H0</v>
      </c>
      <c r="F1641" s="0" t="str">
        <f aca="false">IF(AND(B1641="H0 verdadera",E1641="Rechazar H0"),"Error tipo I",IF(AND(B1641="Ha verdadera",E1641="No rechazar H0"),"Error tipo II","Decisión correcta"))</f>
        <v>Decisión correcta</v>
      </c>
    </row>
    <row r="1642" customFormat="false" ht="15" hidden="false" customHeight="false" outlineLevel="0" collapsed="false">
      <c r="A1642" s="0" t="n">
        <v>1621</v>
      </c>
      <c r="B1642" s="0" t="s">
        <v>85</v>
      </c>
      <c r="C1642" s="17" t="n">
        <v>0.149858263601958</v>
      </c>
      <c r="D1642" s="17" t="n">
        <f aca="false">(C1642-$B$4)/($B$6/SQRT($B$7))</f>
        <v>0.749291318009788</v>
      </c>
      <c r="E1642" s="0" t="str">
        <f aca="false">IF(OR(AND($B$9="superior",D1642&gt;$B$10),AND($B$9="inferior",D1642&lt;-$B$10)),"Rechazar H0","No rechazar H0")</f>
        <v>No rechazar H0</v>
      </c>
      <c r="F1642" s="0" t="str">
        <f aca="false">IF(AND(B1642="H0 verdadera",E1642="Rechazar H0"),"Error tipo I",IF(AND(B1642="Ha verdadera",E1642="No rechazar H0"),"Error tipo II","Decisión correcta"))</f>
        <v>Decisión correcta</v>
      </c>
    </row>
    <row r="1643" customFormat="false" ht="15" hidden="false" customHeight="false" outlineLevel="0" collapsed="false">
      <c r="A1643" s="0" t="n">
        <v>1622</v>
      </c>
      <c r="B1643" s="0" t="s">
        <v>86</v>
      </c>
      <c r="C1643" s="17" t="n">
        <v>-0.607126640211301</v>
      </c>
      <c r="D1643" s="17" t="n">
        <f aca="false">(C1643-$B$4)/($B$6/SQRT($B$7))</f>
        <v>-3.0356332010565</v>
      </c>
      <c r="E1643" s="0" t="str">
        <f aca="false">IF(OR(AND($B$9="superior",D1643&gt;$B$10),AND($B$9="inferior",D1643&lt;-$B$10)),"Rechazar H0","No rechazar H0")</f>
        <v>Rechazar H0</v>
      </c>
      <c r="F1643" s="0" t="str">
        <f aca="false">IF(AND(B1643="H0 verdadera",E1643="Rechazar H0"),"Error tipo I",IF(AND(B1643="Ha verdadera",E1643="No rechazar H0"),"Error tipo II","Decisión correcta"))</f>
        <v>Decisión correcta</v>
      </c>
    </row>
    <row r="1644" customFormat="false" ht="15" hidden="false" customHeight="false" outlineLevel="0" collapsed="false">
      <c r="A1644" s="0" t="n">
        <v>1623</v>
      </c>
      <c r="B1644" s="0" t="s">
        <v>85</v>
      </c>
      <c r="C1644" s="17" t="n">
        <v>0.298556007317137</v>
      </c>
      <c r="D1644" s="17" t="n">
        <f aca="false">(C1644-$B$4)/($B$6/SQRT($B$7))</f>
        <v>1.49278003658568</v>
      </c>
      <c r="E1644" s="0" t="str">
        <f aca="false">IF(OR(AND($B$9="superior",D1644&gt;$B$10),AND($B$9="inferior",D1644&lt;-$B$10)),"Rechazar H0","No rechazar H0")</f>
        <v>No rechazar H0</v>
      </c>
      <c r="F1644" s="0" t="str">
        <f aca="false">IF(AND(B1644="H0 verdadera",E1644="Rechazar H0"),"Error tipo I",IF(AND(B1644="Ha verdadera",E1644="No rechazar H0"),"Error tipo II","Decisión correcta"))</f>
        <v>Decisión correcta</v>
      </c>
    </row>
    <row r="1645" customFormat="false" ht="15" hidden="false" customHeight="false" outlineLevel="0" collapsed="false">
      <c r="A1645" s="0" t="n">
        <v>1624</v>
      </c>
      <c r="B1645" s="0" t="s">
        <v>85</v>
      </c>
      <c r="C1645" s="17" t="n">
        <v>0.296189604310283</v>
      </c>
      <c r="D1645" s="17" t="n">
        <f aca="false">(C1645-$B$4)/($B$6/SQRT($B$7))</f>
        <v>1.48094802155142</v>
      </c>
      <c r="E1645" s="0" t="str">
        <f aca="false">IF(OR(AND($B$9="superior",D1645&gt;$B$10),AND($B$9="inferior",D1645&lt;-$B$10)),"Rechazar H0","No rechazar H0")</f>
        <v>No rechazar H0</v>
      </c>
      <c r="F1645" s="0" t="str">
        <f aca="false">IF(AND(B1645="H0 verdadera",E1645="Rechazar H0"),"Error tipo I",IF(AND(B1645="Ha verdadera",E1645="No rechazar H0"),"Error tipo II","Decisión correcta"))</f>
        <v>Decisión correcta</v>
      </c>
    </row>
    <row r="1646" customFormat="false" ht="15" hidden="false" customHeight="false" outlineLevel="0" collapsed="false">
      <c r="A1646" s="0" t="n">
        <v>1625</v>
      </c>
      <c r="B1646" s="0" t="s">
        <v>86</v>
      </c>
      <c r="C1646" s="17" t="n">
        <v>-0.642789654578682</v>
      </c>
      <c r="D1646" s="17" t="n">
        <f aca="false">(C1646-$B$4)/($B$6/SQRT($B$7))</f>
        <v>-3.21394827289341</v>
      </c>
      <c r="E1646" s="0" t="str">
        <f aca="false">IF(OR(AND($B$9="superior",D1646&gt;$B$10),AND($B$9="inferior",D1646&lt;-$B$10)),"Rechazar H0","No rechazar H0")</f>
        <v>Rechazar H0</v>
      </c>
      <c r="F1646" s="0" t="str">
        <f aca="false">IF(AND(B1646="H0 verdadera",E1646="Rechazar H0"),"Error tipo I",IF(AND(B1646="Ha verdadera",E1646="No rechazar H0"),"Error tipo II","Decisión correcta"))</f>
        <v>Decisión correcta</v>
      </c>
    </row>
    <row r="1647" customFormat="false" ht="15" hidden="false" customHeight="false" outlineLevel="0" collapsed="false">
      <c r="A1647" s="0" t="n">
        <v>1626</v>
      </c>
      <c r="B1647" s="0" t="s">
        <v>86</v>
      </c>
      <c r="C1647" s="17" t="n">
        <v>-0.706825979181815</v>
      </c>
      <c r="D1647" s="17" t="n">
        <f aca="false">(C1647-$B$4)/($B$6/SQRT($B$7))</f>
        <v>-3.53412989590907</v>
      </c>
      <c r="E1647" s="0" t="str">
        <f aca="false">IF(OR(AND($B$9="superior",D1647&gt;$B$10),AND($B$9="inferior",D1647&lt;-$B$10)),"Rechazar H0","No rechazar H0")</f>
        <v>Rechazar H0</v>
      </c>
      <c r="F1647" s="0" t="str">
        <f aca="false">IF(AND(B1647="H0 verdadera",E1647="Rechazar H0"),"Error tipo I",IF(AND(B1647="Ha verdadera",E1647="No rechazar H0"),"Error tipo II","Decisión correcta"))</f>
        <v>Decisión correcta</v>
      </c>
    </row>
    <row r="1648" customFormat="false" ht="15" hidden="false" customHeight="false" outlineLevel="0" collapsed="false">
      <c r="A1648" s="0" t="n">
        <v>1627</v>
      </c>
      <c r="B1648" s="0" t="s">
        <v>85</v>
      </c>
      <c r="C1648" s="17" t="n">
        <v>-0.362870333656951</v>
      </c>
      <c r="D1648" s="17" t="n">
        <f aca="false">(C1648-$B$4)/($B$6/SQRT($B$7))</f>
        <v>-1.81435166828476</v>
      </c>
      <c r="E1648" s="0" t="str">
        <f aca="false">IF(OR(AND($B$9="superior",D1648&gt;$B$10),AND($B$9="inferior",D1648&lt;-$B$10)),"Rechazar H0","No rechazar H0")</f>
        <v>Rechazar H0</v>
      </c>
      <c r="F1648" s="0" t="str">
        <f aca="false">IF(AND(B1648="H0 verdadera",E1648="Rechazar H0"),"Error tipo I",IF(AND(B1648="Ha verdadera",E1648="No rechazar H0"),"Error tipo II","Decisión correcta"))</f>
        <v>Error tipo I</v>
      </c>
    </row>
    <row r="1649" customFormat="false" ht="15" hidden="false" customHeight="false" outlineLevel="0" collapsed="false">
      <c r="A1649" s="0" t="n">
        <v>1628</v>
      </c>
      <c r="B1649" s="0" t="s">
        <v>86</v>
      </c>
      <c r="C1649" s="17" t="n">
        <v>-0.38984669423025</v>
      </c>
      <c r="D1649" s="17" t="n">
        <f aca="false">(C1649-$B$4)/($B$6/SQRT($B$7))</f>
        <v>-1.94923347115125</v>
      </c>
      <c r="E1649" s="0" t="str">
        <f aca="false">IF(OR(AND($B$9="superior",D1649&gt;$B$10),AND($B$9="inferior",D1649&lt;-$B$10)),"Rechazar H0","No rechazar H0")</f>
        <v>Rechazar H0</v>
      </c>
      <c r="F1649" s="0" t="str">
        <f aca="false">IF(AND(B1649="H0 verdadera",E1649="Rechazar H0"),"Error tipo I",IF(AND(B1649="Ha verdadera",E1649="No rechazar H0"),"Error tipo II","Decisión correcta"))</f>
        <v>Decisión correcta</v>
      </c>
    </row>
    <row r="1650" customFormat="false" ht="15" hidden="false" customHeight="false" outlineLevel="0" collapsed="false">
      <c r="A1650" s="0" t="n">
        <v>1629</v>
      </c>
      <c r="B1650" s="0" t="s">
        <v>86</v>
      </c>
      <c r="C1650" s="17" t="n">
        <v>-0.0599467711481306</v>
      </c>
      <c r="D1650" s="17" t="n">
        <f aca="false">(C1650-$B$4)/($B$6/SQRT($B$7))</f>
        <v>-0.299733855740653</v>
      </c>
      <c r="E1650" s="0" t="str">
        <f aca="false">IF(OR(AND($B$9="superior",D1650&gt;$B$10),AND($B$9="inferior",D1650&lt;-$B$10)),"Rechazar H0","No rechazar H0")</f>
        <v>No rechazar H0</v>
      </c>
      <c r="F1650" s="0" t="str">
        <f aca="false">IF(AND(B1650="H0 verdadera",E1650="Rechazar H0"),"Error tipo I",IF(AND(B1650="Ha verdadera",E1650="No rechazar H0"),"Error tipo II","Decisión correcta"))</f>
        <v>Error tipo II</v>
      </c>
    </row>
    <row r="1651" customFormat="false" ht="15" hidden="false" customHeight="false" outlineLevel="0" collapsed="false">
      <c r="A1651" s="0" t="n">
        <v>1630</v>
      </c>
      <c r="B1651" s="0" t="s">
        <v>86</v>
      </c>
      <c r="C1651" s="17" t="n">
        <v>-0.362047895416056</v>
      </c>
      <c r="D1651" s="17" t="n">
        <f aca="false">(C1651-$B$4)/($B$6/SQRT($B$7))</f>
        <v>-1.81023947708028</v>
      </c>
      <c r="E1651" s="0" t="str">
        <f aca="false">IF(OR(AND($B$9="superior",D1651&gt;$B$10),AND($B$9="inferior",D1651&lt;-$B$10)),"Rechazar H0","No rechazar H0")</f>
        <v>Rechazar H0</v>
      </c>
      <c r="F1651" s="0" t="str">
        <f aca="false">IF(AND(B1651="H0 verdadera",E1651="Rechazar H0"),"Error tipo I",IF(AND(B1651="Ha verdadera",E1651="No rechazar H0"),"Error tipo II","Decisión correcta"))</f>
        <v>Decisión correcta</v>
      </c>
    </row>
    <row r="1652" customFormat="false" ht="15" hidden="false" customHeight="false" outlineLevel="0" collapsed="false">
      <c r="A1652" s="0" t="n">
        <v>1631</v>
      </c>
      <c r="B1652" s="0" t="s">
        <v>85</v>
      </c>
      <c r="C1652" s="17" t="n">
        <v>0.143126850660246</v>
      </c>
      <c r="D1652" s="17" t="n">
        <f aca="false">(C1652-$B$4)/($B$6/SQRT($B$7))</f>
        <v>0.715634253301232</v>
      </c>
      <c r="E1652" s="0" t="str">
        <f aca="false">IF(OR(AND($B$9="superior",D1652&gt;$B$10),AND($B$9="inferior",D1652&lt;-$B$10)),"Rechazar H0","No rechazar H0")</f>
        <v>No rechazar H0</v>
      </c>
      <c r="F1652" s="0" t="str">
        <f aca="false">IF(AND(B1652="H0 verdadera",E1652="Rechazar H0"),"Error tipo I",IF(AND(B1652="Ha verdadera",E1652="No rechazar H0"),"Error tipo II","Decisión correcta"))</f>
        <v>Decisión correcta</v>
      </c>
    </row>
    <row r="1653" customFormat="false" ht="15" hidden="false" customHeight="false" outlineLevel="0" collapsed="false">
      <c r="A1653" s="0" t="n">
        <v>1632</v>
      </c>
      <c r="B1653" s="0" t="s">
        <v>85</v>
      </c>
      <c r="C1653" s="17" t="n">
        <v>0.109285686303411</v>
      </c>
      <c r="D1653" s="17" t="n">
        <f aca="false">(C1653-$B$4)/($B$6/SQRT($B$7))</f>
        <v>0.546428431517056</v>
      </c>
      <c r="E1653" s="0" t="str">
        <f aca="false">IF(OR(AND($B$9="superior",D1653&gt;$B$10),AND($B$9="inferior",D1653&lt;-$B$10)),"Rechazar H0","No rechazar H0")</f>
        <v>No rechazar H0</v>
      </c>
      <c r="F1653" s="0" t="str">
        <f aca="false">IF(AND(B1653="H0 verdadera",E1653="Rechazar H0"),"Error tipo I",IF(AND(B1653="Ha verdadera",E1653="No rechazar H0"),"Error tipo II","Decisión correcta"))</f>
        <v>Decisión correcta</v>
      </c>
    </row>
    <row r="1654" customFormat="false" ht="15" hidden="false" customHeight="false" outlineLevel="0" collapsed="false">
      <c r="A1654" s="0" t="n">
        <v>1633</v>
      </c>
      <c r="B1654" s="0" t="s">
        <v>85</v>
      </c>
      <c r="C1654" s="17" t="n">
        <v>0.0834683730653399</v>
      </c>
      <c r="D1654" s="17" t="n">
        <f aca="false">(C1654-$B$4)/($B$6/SQRT($B$7))</f>
        <v>0.417341865326699</v>
      </c>
      <c r="E1654" s="0" t="str">
        <f aca="false">IF(OR(AND($B$9="superior",D1654&gt;$B$10),AND($B$9="inferior",D1654&lt;-$B$10)),"Rechazar H0","No rechazar H0")</f>
        <v>No rechazar H0</v>
      </c>
      <c r="F1654" s="0" t="str">
        <f aca="false">IF(AND(B1654="H0 verdadera",E1654="Rechazar H0"),"Error tipo I",IF(AND(B1654="Ha verdadera",E1654="No rechazar H0"),"Error tipo II","Decisión correcta"))</f>
        <v>Decisión correcta</v>
      </c>
    </row>
    <row r="1655" customFormat="false" ht="15" hidden="false" customHeight="false" outlineLevel="0" collapsed="false">
      <c r="A1655" s="0" t="n">
        <v>1634</v>
      </c>
      <c r="B1655" s="0" t="s">
        <v>85</v>
      </c>
      <c r="C1655" s="17" t="n">
        <v>-0.00793549540520584</v>
      </c>
      <c r="D1655" s="17" t="n">
        <f aca="false">(C1655-$B$4)/($B$6/SQRT($B$7))</f>
        <v>-0.0396774770260292</v>
      </c>
      <c r="E1655" s="0" t="str">
        <f aca="false">IF(OR(AND($B$9="superior",D1655&gt;$B$10),AND($B$9="inferior",D1655&lt;-$B$10)),"Rechazar H0","No rechazar H0")</f>
        <v>No rechazar H0</v>
      </c>
      <c r="F1655" s="0" t="str">
        <f aca="false">IF(AND(B1655="H0 verdadera",E1655="Rechazar H0"),"Error tipo I",IF(AND(B1655="Ha verdadera",E1655="No rechazar H0"),"Error tipo II","Decisión correcta"))</f>
        <v>Decisión correcta</v>
      </c>
    </row>
    <row r="1656" customFormat="false" ht="15" hidden="false" customHeight="false" outlineLevel="0" collapsed="false">
      <c r="A1656" s="0" t="n">
        <v>1635</v>
      </c>
      <c r="B1656" s="0" t="s">
        <v>85</v>
      </c>
      <c r="C1656" s="17" t="n">
        <v>0.121296041485471</v>
      </c>
      <c r="D1656" s="17" t="n">
        <f aca="false">(C1656-$B$4)/($B$6/SQRT($B$7))</f>
        <v>0.606480207427356</v>
      </c>
      <c r="E1656" s="0" t="str">
        <f aca="false">IF(OR(AND($B$9="superior",D1656&gt;$B$10),AND($B$9="inferior",D1656&lt;-$B$10)),"Rechazar H0","No rechazar H0")</f>
        <v>No rechazar H0</v>
      </c>
      <c r="F1656" s="0" t="str">
        <f aca="false">IF(AND(B1656="H0 verdadera",E1656="Rechazar H0"),"Error tipo I",IF(AND(B1656="Ha verdadera",E1656="No rechazar H0"),"Error tipo II","Decisión correcta"))</f>
        <v>Decisión correcta</v>
      </c>
    </row>
    <row r="1657" customFormat="false" ht="15" hidden="false" customHeight="false" outlineLevel="0" collapsed="false">
      <c r="A1657" s="0" t="n">
        <v>1636</v>
      </c>
      <c r="B1657" s="0" t="s">
        <v>85</v>
      </c>
      <c r="C1657" s="17" t="n">
        <v>-0.273835704663642</v>
      </c>
      <c r="D1657" s="17" t="n">
        <f aca="false">(C1657-$B$4)/($B$6/SQRT($B$7))</f>
        <v>-1.36917852331821</v>
      </c>
      <c r="E1657" s="0" t="str">
        <f aca="false">IF(OR(AND($B$9="superior",D1657&gt;$B$10),AND($B$9="inferior",D1657&lt;-$B$10)),"Rechazar H0","No rechazar H0")</f>
        <v>No rechazar H0</v>
      </c>
      <c r="F1657" s="0" t="str">
        <f aca="false">IF(AND(B1657="H0 verdadera",E1657="Rechazar H0"),"Error tipo I",IF(AND(B1657="Ha verdadera",E1657="No rechazar H0"),"Error tipo II","Decisión correcta"))</f>
        <v>Decisión correcta</v>
      </c>
    </row>
    <row r="1658" customFormat="false" ht="15" hidden="false" customHeight="false" outlineLevel="0" collapsed="false">
      <c r="A1658" s="0" t="n">
        <v>1637</v>
      </c>
      <c r="B1658" s="0" t="s">
        <v>86</v>
      </c>
      <c r="C1658" s="17" t="n">
        <v>-0.292226561878696</v>
      </c>
      <c r="D1658" s="17" t="n">
        <f aca="false">(C1658-$B$4)/($B$6/SQRT($B$7))</f>
        <v>-1.46113280939348</v>
      </c>
      <c r="E1658" s="0" t="str">
        <f aca="false">IF(OR(AND($B$9="superior",D1658&gt;$B$10),AND($B$9="inferior",D1658&lt;-$B$10)),"Rechazar H0","No rechazar H0")</f>
        <v>No rechazar H0</v>
      </c>
      <c r="F1658" s="0" t="str">
        <f aca="false">IF(AND(B1658="H0 verdadera",E1658="Rechazar H0"),"Error tipo I",IF(AND(B1658="Ha verdadera",E1658="No rechazar H0"),"Error tipo II","Decisión correcta"))</f>
        <v>Error tipo II</v>
      </c>
    </row>
    <row r="1659" customFormat="false" ht="15" hidden="false" customHeight="false" outlineLevel="0" collapsed="false">
      <c r="A1659" s="0" t="n">
        <v>1638</v>
      </c>
      <c r="B1659" s="0" t="s">
        <v>86</v>
      </c>
      <c r="C1659" s="17" t="n">
        <v>-0.35725039886243</v>
      </c>
      <c r="D1659" s="17" t="n">
        <f aca="false">(C1659-$B$4)/($B$6/SQRT($B$7))</f>
        <v>-1.78625199431215</v>
      </c>
      <c r="E1659" s="0" t="str">
        <f aca="false">IF(OR(AND($B$9="superior",D1659&gt;$B$10),AND($B$9="inferior",D1659&lt;-$B$10)),"Rechazar H0","No rechazar H0")</f>
        <v>Rechazar H0</v>
      </c>
      <c r="F1659" s="0" t="str">
        <f aca="false">IF(AND(B1659="H0 verdadera",E1659="Rechazar H0"),"Error tipo I",IF(AND(B1659="Ha verdadera",E1659="No rechazar H0"),"Error tipo II","Decisión correcta"))</f>
        <v>Decisión correcta</v>
      </c>
    </row>
    <row r="1660" customFormat="false" ht="15" hidden="false" customHeight="false" outlineLevel="0" collapsed="false">
      <c r="A1660" s="0" t="n">
        <v>1639</v>
      </c>
      <c r="B1660" s="0" t="s">
        <v>85</v>
      </c>
      <c r="C1660" s="17" t="n">
        <v>-0.0755748210024452</v>
      </c>
      <c r="D1660" s="17" t="n">
        <f aca="false">(C1660-$B$4)/($B$6/SQRT($B$7))</f>
        <v>-0.377874105012226</v>
      </c>
      <c r="E1660" s="0" t="str">
        <f aca="false">IF(OR(AND($B$9="superior",D1660&gt;$B$10),AND($B$9="inferior",D1660&lt;-$B$10)),"Rechazar H0","No rechazar H0")</f>
        <v>No rechazar H0</v>
      </c>
      <c r="F1660" s="0" t="str">
        <f aca="false">IF(AND(B1660="H0 verdadera",E1660="Rechazar H0"),"Error tipo I",IF(AND(B1660="Ha verdadera",E1660="No rechazar H0"),"Error tipo II","Decisión correcta"))</f>
        <v>Decisión correcta</v>
      </c>
    </row>
    <row r="1661" customFormat="false" ht="15" hidden="false" customHeight="false" outlineLevel="0" collapsed="false">
      <c r="A1661" s="0" t="n">
        <v>1640</v>
      </c>
      <c r="B1661" s="0" t="s">
        <v>86</v>
      </c>
      <c r="C1661" s="17" t="n">
        <v>-0.253423780938238</v>
      </c>
      <c r="D1661" s="17" t="n">
        <f aca="false">(C1661-$B$4)/($B$6/SQRT($B$7))</f>
        <v>-1.26711890469119</v>
      </c>
      <c r="E1661" s="0" t="str">
        <f aca="false">IF(OR(AND($B$9="superior",D1661&gt;$B$10),AND($B$9="inferior",D1661&lt;-$B$10)),"Rechazar H0","No rechazar H0")</f>
        <v>No rechazar H0</v>
      </c>
      <c r="F1661" s="0" t="str">
        <f aca="false">IF(AND(B1661="H0 verdadera",E1661="Rechazar H0"),"Error tipo I",IF(AND(B1661="Ha verdadera",E1661="No rechazar H0"),"Error tipo II","Decisión correcta"))</f>
        <v>Error tipo II</v>
      </c>
    </row>
    <row r="1662" customFormat="false" ht="15" hidden="false" customHeight="false" outlineLevel="0" collapsed="false">
      <c r="A1662" s="0" t="n">
        <v>1641</v>
      </c>
      <c r="B1662" s="0" t="s">
        <v>85</v>
      </c>
      <c r="C1662" s="17" t="n">
        <v>-0.421345471935476</v>
      </c>
      <c r="D1662" s="17" t="n">
        <f aca="false">(C1662-$B$4)/($B$6/SQRT($B$7))</f>
        <v>-2.10672735967738</v>
      </c>
      <c r="E1662" s="0" t="str">
        <f aca="false">IF(OR(AND($B$9="superior",D1662&gt;$B$10),AND($B$9="inferior",D1662&lt;-$B$10)),"Rechazar H0","No rechazar H0")</f>
        <v>Rechazar H0</v>
      </c>
      <c r="F1662" s="0" t="str">
        <f aca="false">IF(AND(B1662="H0 verdadera",E1662="Rechazar H0"),"Error tipo I",IF(AND(B1662="Ha verdadera",E1662="No rechazar H0"),"Error tipo II","Decisión correcta"))</f>
        <v>Error tipo I</v>
      </c>
    </row>
    <row r="1663" customFormat="false" ht="15" hidden="false" customHeight="false" outlineLevel="0" collapsed="false">
      <c r="A1663" s="0" t="n">
        <v>1642</v>
      </c>
      <c r="B1663" s="0" t="s">
        <v>85</v>
      </c>
      <c r="C1663" s="17" t="n">
        <v>-0.0567632106873566</v>
      </c>
      <c r="D1663" s="17" t="n">
        <f aca="false">(C1663-$B$4)/($B$6/SQRT($B$7))</f>
        <v>-0.283816053436783</v>
      </c>
      <c r="E1663" s="0" t="str">
        <f aca="false">IF(OR(AND($B$9="superior",D1663&gt;$B$10),AND($B$9="inferior",D1663&lt;-$B$10)),"Rechazar H0","No rechazar H0")</f>
        <v>No rechazar H0</v>
      </c>
      <c r="F1663" s="0" t="str">
        <f aca="false">IF(AND(B1663="H0 verdadera",E1663="Rechazar H0"),"Error tipo I",IF(AND(B1663="Ha verdadera",E1663="No rechazar H0"),"Error tipo II","Decisión correcta"))</f>
        <v>Decisión correcta</v>
      </c>
    </row>
    <row r="1664" customFormat="false" ht="15" hidden="false" customHeight="false" outlineLevel="0" collapsed="false">
      <c r="A1664" s="0" t="n">
        <v>1643</v>
      </c>
      <c r="B1664" s="0" t="s">
        <v>86</v>
      </c>
      <c r="C1664" s="17" t="n">
        <v>-0.486701412303316</v>
      </c>
      <c r="D1664" s="17" t="n">
        <f aca="false">(C1664-$B$4)/($B$6/SQRT($B$7))</f>
        <v>-2.43350706151658</v>
      </c>
      <c r="E1664" s="0" t="str">
        <f aca="false">IF(OR(AND($B$9="superior",D1664&gt;$B$10),AND($B$9="inferior",D1664&lt;-$B$10)),"Rechazar H0","No rechazar H0")</f>
        <v>Rechazar H0</v>
      </c>
      <c r="F1664" s="0" t="str">
        <f aca="false">IF(AND(B1664="H0 verdadera",E1664="Rechazar H0"),"Error tipo I",IF(AND(B1664="Ha verdadera",E1664="No rechazar H0"),"Error tipo II","Decisión correcta"))</f>
        <v>Decisión correcta</v>
      </c>
    </row>
    <row r="1665" customFormat="false" ht="15" hidden="false" customHeight="false" outlineLevel="0" collapsed="false">
      <c r="A1665" s="0" t="n">
        <v>1644</v>
      </c>
      <c r="B1665" s="0" t="s">
        <v>85</v>
      </c>
      <c r="C1665" s="17" t="n">
        <v>-0.263529660984615</v>
      </c>
      <c r="D1665" s="17" t="n">
        <f aca="false">(C1665-$B$4)/($B$6/SQRT($B$7))</f>
        <v>-1.31764830492307</v>
      </c>
      <c r="E1665" s="0" t="str">
        <f aca="false">IF(OR(AND($B$9="superior",D1665&gt;$B$10),AND($B$9="inferior",D1665&lt;-$B$10)),"Rechazar H0","No rechazar H0")</f>
        <v>No rechazar H0</v>
      </c>
      <c r="F1665" s="0" t="str">
        <f aca="false">IF(AND(B1665="H0 verdadera",E1665="Rechazar H0"),"Error tipo I",IF(AND(B1665="Ha verdadera",E1665="No rechazar H0"),"Error tipo II","Decisión correcta"))</f>
        <v>Decisión correcta</v>
      </c>
    </row>
    <row r="1666" customFormat="false" ht="15" hidden="false" customHeight="false" outlineLevel="0" collapsed="false">
      <c r="A1666" s="0" t="n">
        <v>1645</v>
      </c>
      <c r="B1666" s="0" t="s">
        <v>85</v>
      </c>
      <c r="C1666" s="17" t="n">
        <v>-0.051132309131427</v>
      </c>
      <c r="D1666" s="17" t="n">
        <f aca="false">(C1666-$B$4)/($B$6/SQRT($B$7))</f>
        <v>-0.255661545657135</v>
      </c>
      <c r="E1666" s="0" t="str">
        <f aca="false">IF(OR(AND($B$9="superior",D1666&gt;$B$10),AND($B$9="inferior",D1666&lt;-$B$10)),"Rechazar H0","No rechazar H0")</f>
        <v>No rechazar H0</v>
      </c>
      <c r="F1666" s="0" t="str">
        <f aca="false">IF(AND(B1666="H0 verdadera",E1666="Rechazar H0"),"Error tipo I",IF(AND(B1666="Ha verdadera",E1666="No rechazar H0"),"Error tipo II","Decisión correcta"))</f>
        <v>Decisión correcta</v>
      </c>
    </row>
    <row r="1667" customFormat="false" ht="15" hidden="false" customHeight="false" outlineLevel="0" collapsed="false">
      <c r="A1667" s="0" t="n">
        <v>1646</v>
      </c>
      <c r="B1667" s="0" t="s">
        <v>86</v>
      </c>
      <c r="C1667" s="17" t="n">
        <v>-0.432693255087497</v>
      </c>
      <c r="D1667" s="17" t="n">
        <f aca="false">(C1667-$B$4)/($B$6/SQRT($B$7))</f>
        <v>-2.16346627543748</v>
      </c>
      <c r="E1667" s="0" t="str">
        <f aca="false">IF(OR(AND($B$9="superior",D1667&gt;$B$10),AND($B$9="inferior",D1667&lt;-$B$10)),"Rechazar H0","No rechazar H0")</f>
        <v>Rechazar H0</v>
      </c>
      <c r="F1667" s="0" t="str">
        <f aca="false">IF(AND(B1667="H0 verdadera",E1667="Rechazar H0"),"Error tipo I",IF(AND(B1667="Ha verdadera",E1667="No rechazar H0"),"Error tipo II","Decisión correcta"))</f>
        <v>Decisión correcta</v>
      </c>
    </row>
    <row r="1668" customFormat="false" ht="15" hidden="false" customHeight="false" outlineLevel="0" collapsed="false">
      <c r="A1668" s="0" t="n">
        <v>1647</v>
      </c>
      <c r="B1668" s="0" t="s">
        <v>85</v>
      </c>
      <c r="C1668" s="17" t="n">
        <v>0.17200638706319</v>
      </c>
      <c r="D1668" s="17" t="n">
        <f aca="false">(C1668-$B$4)/($B$6/SQRT($B$7))</f>
        <v>0.860031935315952</v>
      </c>
      <c r="E1668" s="0" t="str">
        <f aca="false">IF(OR(AND($B$9="superior",D1668&gt;$B$10),AND($B$9="inferior",D1668&lt;-$B$10)),"Rechazar H0","No rechazar H0")</f>
        <v>No rechazar H0</v>
      </c>
      <c r="F1668" s="0" t="str">
        <f aca="false">IF(AND(B1668="H0 verdadera",E1668="Rechazar H0"),"Error tipo I",IF(AND(B1668="Ha verdadera",E1668="No rechazar H0"),"Error tipo II","Decisión correcta"))</f>
        <v>Decisión correcta</v>
      </c>
    </row>
    <row r="1669" customFormat="false" ht="15" hidden="false" customHeight="false" outlineLevel="0" collapsed="false">
      <c r="A1669" s="0" t="n">
        <v>1648</v>
      </c>
      <c r="B1669" s="0" t="s">
        <v>86</v>
      </c>
      <c r="C1669" s="17" t="n">
        <v>-0.254693817070221</v>
      </c>
      <c r="D1669" s="17" t="n">
        <f aca="false">(C1669-$B$4)/($B$6/SQRT($B$7))</f>
        <v>-1.2734690853511</v>
      </c>
      <c r="E1669" s="0" t="str">
        <f aca="false">IF(OR(AND($B$9="superior",D1669&gt;$B$10),AND($B$9="inferior",D1669&lt;-$B$10)),"Rechazar H0","No rechazar H0")</f>
        <v>No rechazar H0</v>
      </c>
      <c r="F1669" s="0" t="str">
        <f aca="false">IF(AND(B1669="H0 verdadera",E1669="Rechazar H0"),"Error tipo I",IF(AND(B1669="Ha verdadera",E1669="No rechazar H0"),"Error tipo II","Decisión correcta"))</f>
        <v>Error tipo II</v>
      </c>
    </row>
    <row r="1670" customFormat="false" ht="15" hidden="false" customHeight="false" outlineLevel="0" collapsed="false">
      <c r="A1670" s="0" t="n">
        <v>1649</v>
      </c>
      <c r="B1670" s="0" t="s">
        <v>85</v>
      </c>
      <c r="C1670" s="17" t="n">
        <v>-0.168832331225571</v>
      </c>
      <c r="D1670" s="17" t="n">
        <f aca="false">(C1670-$B$4)/($B$6/SQRT($B$7))</f>
        <v>-0.844161656127855</v>
      </c>
      <c r="E1670" s="0" t="str">
        <f aca="false">IF(OR(AND($B$9="superior",D1670&gt;$B$10),AND($B$9="inferior",D1670&lt;-$B$10)),"Rechazar H0","No rechazar H0")</f>
        <v>No rechazar H0</v>
      </c>
      <c r="F1670" s="0" t="str">
        <f aca="false">IF(AND(B1670="H0 verdadera",E1670="Rechazar H0"),"Error tipo I",IF(AND(B1670="Ha verdadera",E1670="No rechazar H0"),"Error tipo II","Decisión correcta"))</f>
        <v>Decisión correcta</v>
      </c>
    </row>
    <row r="1671" customFormat="false" ht="15" hidden="false" customHeight="false" outlineLevel="0" collapsed="false">
      <c r="A1671" s="0" t="n">
        <v>1650</v>
      </c>
      <c r="B1671" s="0" t="s">
        <v>86</v>
      </c>
      <c r="C1671" s="17" t="n">
        <v>-0.35278221856489</v>
      </c>
      <c r="D1671" s="17" t="n">
        <f aca="false">(C1671-$B$4)/($B$6/SQRT($B$7))</f>
        <v>-1.76391109282445</v>
      </c>
      <c r="E1671" s="0" t="str">
        <f aca="false">IF(OR(AND($B$9="superior",D1671&gt;$B$10),AND($B$9="inferior",D1671&lt;-$B$10)),"Rechazar H0","No rechazar H0")</f>
        <v>Rechazar H0</v>
      </c>
      <c r="F1671" s="0" t="str">
        <f aca="false">IF(AND(B1671="H0 verdadera",E1671="Rechazar H0"),"Error tipo I",IF(AND(B1671="Ha verdadera",E1671="No rechazar H0"),"Error tipo II","Decisión correcta"))</f>
        <v>Decisión correcta</v>
      </c>
    </row>
    <row r="1672" customFormat="false" ht="15" hidden="false" customHeight="false" outlineLevel="0" collapsed="false">
      <c r="A1672" s="0" t="n">
        <v>1651</v>
      </c>
      <c r="B1672" s="0" t="s">
        <v>85</v>
      </c>
      <c r="C1672" s="17" t="n">
        <v>-0.23722149596058</v>
      </c>
      <c r="D1672" s="17" t="n">
        <f aca="false">(C1672-$B$4)/($B$6/SQRT($B$7))</f>
        <v>-1.1861074798029</v>
      </c>
      <c r="E1672" s="0" t="str">
        <f aca="false">IF(OR(AND($B$9="superior",D1672&gt;$B$10),AND($B$9="inferior",D1672&lt;-$B$10)),"Rechazar H0","No rechazar H0")</f>
        <v>No rechazar H0</v>
      </c>
      <c r="F1672" s="0" t="str">
        <f aca="false">IF(AND(B1672="H0 verdadera",E1672="Rechazar H0"),"Error tipo I",IF(AND(B1672="Ha verdadera",E1672="No rechazar H0"),"Error tipo II","Decisión correcta"))</f>
        <v>Decisión correcta</v>
      </c>
    </row>
    <row r="1673" customFormat="false" ht="15" hidden="false" customHeight="false" outlineLevel="0" collapsed="false">
      <c r="A1673" s="0" t="n">
        <v>1652</v>
      </c>
      <c r="B1673" s="0" t="s">
        <v>86</v>
      </c>
      <c r="C1673" s="17" t="n">
        <v>-0.673571522125607</v>
      </c>
      <c r="D1673" s="17" t="n">
        <f aca="false">(C1673-$B$4)/($B$6/SQRT($B$7))</f>
        <v>-3.36785761062804</v>
      </c>
      <c r="E1673" s="0" t="str">
        <f aca="false">IF(OR(AND($B$9="superior",D1673&gt;$B$10),AND($B$9="inferior",D1673&lt;-$B$10)),"Rechazar H0","No rechazar H0")</f>
        <v>Rechazar H0</v>
      </c>
      <c r="F1673" s="0" t="str">
        <f aca="false">IF(AND(B1673="H0 verdadera",E1673="Rechazar H0"),"Error tipo I",IF(AND(B1673="Ha verdadera",E1673="No rechazar H0"),"Error tipo II","Decisión correcta"))</f>
        <v>Decisión correcta</v>
      </c>
    </row>
    <row r="1674" customFormat="false" ht="15" hidden="false" customHeight="false" outlineLevel="0" collapsed="false">
      <c r="A1674" s="0" t="n">
        <v>1653</v>
      </c>
      <c r="B1674" s="0" t="s">
        <v>86</v>
      </c>
      <c r="C1674" s="17" t="n">
        <v>-0.404412550138098</v>
      </c>
      <c r="D1674" s="17" t="n">
        <f aca="false">(C1674-$B$4)/($B$6/SQRT($B$7))</f>
        <v>-2.02206275069049</v>
      </c>
      <c r="E1674" s="0" t="str">
        <f aca="false">IF(OR(AND($B$9="superior",D1674&gt;$B$10),AND($B$9="inferior",D1674&lt;-$B$10)),"Rechazar H0","No rechazar H0")</f>
        <v>Rechazar H0</v>
      </c>
      <c r="F1674" s="0" t="str">
        <f aca="false">IF(AND(B1674="H0 verdadera",E1674="Rechazar H0"),"Error tipo I",IF(AND(B1674="Ha verdadera",E1674="No rechazar H0"),"Error tipo II","Decisión correcta"))</f>
        <v>Decisión correcta</v>
      </c>
    </row>
    <row r="1675" customFormat="false" ht="15" hidden="false" customHeight="false" outlineLevel="0" collapsed="false">
      <c r="A1675" s="0" t="n">
        <v>1654</v>
      </c>
      <c r="B1675" s="0" t="s">
        <v>86</v>
      </c>
      <c r="C1675" s="17" t="n">
        <v>-0.412579256117522</v>
      </c>
      <c r="D1675" s="17" t="n">
        <f aca="false">(C1675-$B$4)/($B$6/SQRT($B$7))</f>
        <v>-2.06289628058761</v>
      </c>
      <c r="E1675" s="0" t="str">
        <f aca="false">IF(OR(AND($B$9="superior",D1675&gt;$B$10),AND($B$9="inferior",D1675&lt;-$B$10)),"Rechazar H0","No rechazar H0")</f>
        <v>Rechazar H0</v>
      </c>
      <c r="F1675" s="0" t="str">
        <f aca="false">IF(AND(B1675="H0 verdadera",E1675="Rechazar H0"),"Error tipo I",IF(AND(B1675="Ha verdadera",E1675="No rechazar H0"),"Error tipo II","Decisión correcta"))</f>
        <v>Decisión correcta</v>
      </c>
    </row>
    <row r="1676" customFormat="false" ht="15" hidden="false" customHeight="false" outlineLevel="0" collapsed="false">
      <c r="A1676" s="0" t="n">
        <v>1655</v>
      </c>
      <c r="B1676" s="0" t="s">
        <v>85</v>
      </c>
      <c r="C1676" s="17" t="n">
        <v>-0.248998430814268</v>
      </c>
      <c r="D1676" s="17" t="n">
        <f aca="false">(C1676-$B$4)/($B$6/SQRT($B$7))</f>
        <v>-1.24499215407134</v>
      </c>
      <c r="E1676" s="0" t="str">
        <f aca="false">IF(OR(AND($B$9="superior",D1676&gt;$B$10),AND($B$9="inferior",D1676&lt;-$B$10)),"Rechazar H0","No rechazar H0")</f>
        <v>No rechazar H0</v>
      </c>
      <c r="F1676" s="0" t="str">
        <f aca="false">IF(AND(B1676="H0 verdadera",E1676="Rechazar H0"),"Error tipo I",IF(AND(B1676="Ha verdadera",E1676="No rechazar H0"),"Error tipo II","Decisión correcta"))</f>
        <v>Decisión correcta</v>
      </c>
    </row>
    <row r="1677" customFormat="false" ht="15" hidden="false" customHeight="false" outlineLevel="0" collapsed="false">
      <c r="A1677" s="0" t="n">
        <v>1656</v>
      </c>
      <c r="B1677" s="0" t="s">
        <v>85</v>
      </c>
      <c r="C1677" s="17" t="n">
        <v>0.235259872917838</v>
      </c>
      <c r="D1677" s="17" t="n">
        <f aca="false">(C1677-$B$4)/($B$6/SQRT($B$7))</f>
        <v>1.17629936458919</v>
      </c>
      <c r="E1677" s="0" t="str">
        <f aca="false">IF(OR(AND($B$9="superior",D1677&gt;$B$10),AND($B$9="inferior",D1677&lt;-$B$10)),"Rechazar H0","No rechazar H0")</f>
        <v>No rechazar H0</v>
      </c>
      <c r="F1677" s="0" t="str">
        <f aca="false">IF(AND(B1677="H0 verdadera",E1677="Rechazar H0"),"Error tipo I",IF(AND(B1677="Ha verdadera",E1677="No rechazar H0"),"Error tipo II","Decisión correcta"))</f>
        <v>Decisión correcta</v>
      </c>
    </row>
    <row r="1678" customFormat="false" ht="15" hidden="false" customHeight="false" outlineLevel="0" collapsed="false">
      <c r="A1678" s="0" t="n">
        <v>1657</v>
      </c>
      <c r="B1678" s="0" t="s">
        <v>85</v>
      </c>
      <c r="C1678" s="17" t="n">
        <v>0.0759385954066662</v>
      </c>
      <c r="D1678" s="17" t="n">
        <f aca="false">(C1678-$B$4)/($B$6/SQRT($B$7))</f>
        <v>0.379692977033331</v>
      </c>
      <c r="E1678" s="0" t="str">
        <f aca="false">IF(OR(AND($B$9="superior",D1678&gt;$B$10),AND($B$9="inferior",D1678&lt;-$B$10)),"Rechazar H0","No rechazar H0")</f>
        <v>No rechazar H0</v>
      </c>
      <c r="F1678" s="0" t="str">
        <f aca="false">IF(AND(B1678="H0 verdadera",E1678="Rechazar H0"),"Error tipo I",IF(AND(B1678="Ha verdadera",E1678="No rechazar H0"),"Error tipo II","Decisión correcta"))</f>
        <v>Decisión correcta</v>
      </c>
    </row>
    <row r="1679" customFormat="false" ht="15" hidden="false" customHeight="false" outlineLevel="0" collapsed="false">
      <c r="A1679" s="0" t="n">
        <v>1658</v>
      </c>
      <c r="B1679" s="0" t="s">
        <v>86</v>
      </c>
      <c r="C1679" s="17" t="n">
        <v>-0.178394721311706</v>
      </c>
      <c r="D1679" s="17" t="n">
        <f aca="false">(C1679-$B$4)/($B$6/SQRT($B$7))</f>
        <v>-0.891973606558532</v>
      </c>
      <c r="E1679" s="0" t="str">
        <f aca="false">IF(OR(AND($B$9="superior",D1679&gt;$B$10),AND($B$9="inferior",D1679&lt;-$B$10)),"Rechazar H0","No rechazar H0")</f>
        <v>No rechazar H0</v>
      </c>
      <c r="F1679" s="0" t="str">
        <f aca="false">IF(AND(B1679="H0 verdadera",E1679="Rechazar H0"),"Error tipo I",IF(AND(B1679="Ha verdadera",E1679="No rechazar H0"),"Error tipo II","Decisión correcta"))</f>
        <v>Error tipo II</v>
      </c>
    </row>
    <row r="1680" customFormat="false" ht="15" hidden="false" customHeight="false" outlineLevel="0" collapsed="false">
      <c r="A1680" s="0" t="n">
        <v>1659</v>
      </c>
      <c r="B1680" s="0" t="s">
        <v>85</v>
      </c>
      <c r="C1680" s="17" t="n">
        <v>0.10442716548056</v>
      </c>
      <c r="D1680" s="17" t="n">
        <f aca="false">(C1680-$B$4)/($B$6/SQRT($B$7))</f>
        <v>0.5221358274028</v>
      </c>
      <c r="E1680" s="0" t="str">
        <f aca="false">IF(OR(AND($B$9="superior",D1680&gt;$B$10),AND($B$9="inferior",D1680&lt;-$B$10)),"Rechazar H0","No rechazar H0")</f>
        <v>No rechazar H0</v>
      </c>
      <c r="F1680" s="0" t="str">
        <f aca="false">IF(AND(B1680="H0 verdadera",E1680="Rechazar H0"),"Error tipo I",IF(AND(B1680="Ha verdadera",E1680="No rechazar H0"),"Error tipo II","Decisión correcta"))</f>
        <v>Decisión correcta</v>
      </c>
    </row>
    <row r="1681" customFormat="false" ht="15" hidden="false" customHeight="false" outlineLevel="0" collapsed="false">
      <c r="A1681" s="0" t="n">
        <v>1660</v>
      </c>
      <c r="B1681" s="0" t="s">
        <v>85</v>
      </c>
      <c r="C1681" s="17" t="n">
        <v>-0.01514218926274</v>
      </c>
      <c r="D1681" s="17" t="n">
        <f aca="false">(C1681-$B$4)/($B$6/SQRT($B$7))</f>
        <v>-0.0757109463137001</v>
      </c>
      <c r="E1681" s="0" t="str">
        <f aca="false">IF(OR(AND($B$9="superior",D1681&gt;$B$10),AND($B$9="inferior",D1681&lt;-$B$10)),"Rechazar H0","No rechazar H0")</f>
        <v>No rechazar H0</v>
      </c>
      <c r="F1681" s="0" t="str">
        <f aca="false">IF(AND(B1681="H0 verdadera",E1681="Rechazar H0"),"Error tipo I",IF(AND(B1681="Ha verdadera",E1681="No rechazar H0"),"Error tipo II","Decisión correcta"))</f>
        <v>Decisión correcta</v>
      </c>
    </row>
    <row r="1682" customFormat="false" ht="15" hidden="false" customHeight="false" outlineLevel="0" collapsed="false">
      <c r="A1682" s="0" t="n">
        <v>1661</v>
      </c>
      <c r="B1682" s="0" t="s">
        <v>86</v>
      </c>
      <c r="C1682" s="17" t="n">
        <v>-0.308513947184298</v>
      </c>
      <c r="D1682" s="17" t="n">
        <f aca="false">(C1682-$B$4)/($B$6/SQRT($B$7))</f>
        <v>-1.54256973592149</v>
      </c>
      <c r="E1682" s="0" t="str">
        <f aca="false">IF(OR(AND($B$9="superior",D1682&gt;$B$10),AND($B$9="inferior",D1682&lt;-$B$10)),"Rechazar H0","No rechazar H0")</f>
        <v>No rechazar H0</v>
      </c>
      <c r="F1682" s="0" t="str">
        <f aca="false">IF(AND(B1682="H0 verdadera",E1682="Rechazar H0"),"Error tipo I",IF(AND(B1682="Ha verdadera",E1682="No rechazar H0"),"Error tipo II","Decisión correcta"))</f>
        <v>Error tipo II</v>
      </c>
    </row>
    <row r="1683" customFormat="false" ht="15" hidden="false" customHeight="false" outlineLevel="0" collapsed="false">
      <c r="A1683" s="0" t="n">
        <v>1662</v>
      </c>
      <c r="B1683" s="0" t="s">
        <v>86</v>
      </c>
      <c r="C1683" s="17" t="n">
        <v>-0.496981858397855</v>
      </c>
      <c r="D1683" s="17" t="n">
        <f aca="false">(C1683-$B$4)/($B$6/SQRT($B$7))</f>
        <v>-2.48490929198927</v>
      </c>
      <c r="E1683" s="0" t="str">
        <f aca="false">IF(OR(AND($B$9="superior",D1683&gt;$B$10),AND($B$9="inferior",D1683&lt;-$B$10)),"Rechazar H0","No rechazar H0")</f>
        <v>Rechazar H0</v>
      </c>
      <c r="F1683" s="0" t="str">
        <f aca="false">IF(AND(B1683="H0 verdadera",E1683="Rechazar H0"),"Error tipo I",IF(AND(B1683="Ha verdadera",E1683="No rechazar H0"),"Error tipo II","Decisión correcta"))</f>
        <v>Decisión correcta</v>
      </c>
    </row>
    <row r="1684" customFormat="false" ht="15" hidden="false" customHeight="false" outlineLevel="0" collapsed="false">
      <c r="A1684" s="0" t="n">
        <v>1663</v>
      </c>
      <c r="B1684" s="0" t="s">
        <v>86</v>
      </c>
      <c r="C1684" s="17" t="n">
        <v>-0.675511980791456</v>
      </c>
      <c r="D1684" s="17" t="n">
        <f aca="false">(C1684-$B$4)/($B$6/SQRT($B$7))</f>
        <v>-3.37755990395728</v>
      </c>
      <c r="E1684" s="0" t="str">
        <f aca="false">IF(OR(AND($B$9="superior",D1684&gt;$B$10),AND($B$9="inferior",D1684&lt;-$B$10)),"Rechazar H0","No rechazar H0")</f>
        <v>Rechazar H0</v>
      </c>
      <c r="F1684" s="0" t="str">
        <f aca="false">IF(AND(B1684="H0 verdadera",E1684="Rechazar H0"),"Error tipo I",IF(AND(B1684="Ha verdadera",E1684="No rechazar H0"),"Error tipo II","Decisión correcta"))</f>
        <v>Decisión correcta</v>
      </c>
    </row>
    <row r="1685" customFormat="false" ht="15" hidden="false" customHeight="false" outlineLevel="0" collapsed="false">
      <c r="A1685" s="0" t="n">
        <v>1664</v>
      </c>
      <c r="B1685" s="0" t="s">
        <v>85</v>
      </c>
      <c r="C1685" s="17" t="n">
        <v>-0.00085133398523042</v>
      </c>
      <c r="D1685" s="17" t="n">
        <f aca="false">(C1685-$B$4)/($B$6/SQRT($B$7))</f>
        <v>-0.0042566699261521</v>
      </c>
      <c r="E1685" s="0" t="str">
        <f aca="false">IF(OR(AND($B$9="superior",D1685&gt;$B$10),AND($B$9="inferior",D1685&lt;-$B$10)),"Rechazar H0","No rechazar H0")</f>
        <v>No rechazar H0</v>
      </c>
      <c r="F1685" s="0" t="str">
        <f aca="false">IF(AND(B1685="H0 verdadera",E1685="Rechazar H0"),"Error tipo I",IF(AND(B1685="Ha verdadera",E1685="No rechazar H0"),"Error tipo II","Decisión correcta"))</f>
        <v>Decisión correcta</v>
      </c>
    </row>
    <row r="1686" customFormat="false" ht="15" hidden="false" customHeight="false" outlineLevel="0" collapsed="false">
      <c r="A1686" s="0" t="n">
        <v>1665</v>
      </c>
      <c r="B1686" s="0" t="s">
        <v>85</v>
      </c>
      <c r="C1686" s="17" t="n">
        <v>-0.11072335472201</v>
      </c>
      <c r="D1686" s="17" t="n">
        <f aca="false">(C1686-$B$4)/($B$6/SQRT($B$7))</f>
        <v>-0.553616773610052</v>
      </c>
      <c r="E1686" s="0" t="str">
        <f aca="false">IF(OR(AND($B$9="superior",D1686&gt;$B$10),AND($B$9="inferior",D1686&lt;-$B$10)),"Rechazar H0","No rechazar H0")</f>
        <v>No rechazar H0</v>
      </c>
      <c r="F1686" s="0" t="str">
        <f aca="false">IF(AND(B1686="H0 verdadera",E1686="Rechazar H0"),"Error tipo I",IF(AND(B1686="Ha verdadera",E1686="No rechazar H0"),"Error tipo II","Decisión correcta"))</f>
        <v>Decisión correcta</v>
      </c>
    </row>
    <row r="1687" customFormat="false" ht="15" hidden="false" customHeight="false" outlineLevel="0" collapsed="false">
      <c r="A1687" s="0" t="n">
        <v>1666</v>
      </c>
      <c r="B1687" s="0" t="s">
        <v>86</v>
      </c>
      <c r="C1687" s="17" t="n">
        <v>-0.148243755979264</v>
      </c>
      <c r="D1687" s="17" t="n">
        <f aca="false">(C1687-$B$4)/($B$6/SQRT($B$7))</f>
        <v>-0.741218779896321</v>
      </c>
      <c r="E1687" s="0" t="str">
        <f aca="false">IF(OR(AND($B$9="superior",D1687&gt;$B$10),AND($B$9="inferior",D1687&lt;-$B$10)),"Rechazar H0","No rechazar H0")</f>
        <v>No rechazar H0</v>
      </c>
      <c r="F1687" s="0" t="str">
        <f aca="false">IF(AND(B1687="H0 verdadera",E1687="Rechazar H0"),"Error tipo I",IF(AND(B1687="Ha verdadera",E1687="No rechazar H0"),"Error tipo II","Decisión correcta"))</f>
        <v>Error tipo II</v>
      </c>
    </row>
    <row r="1688" customFormat="false" ht="15" hidden="false" customHeight="false" outlineLevel="0" collapsed="false">
      <c r="A1688" s="0" t="n">
        <v>1667</v>
      </c>
      <c r="B1688" s="0" t="s">
        <v>85</v>
      </c>
      <c r="C1688" s="17" t="n">
        <v>0.0705674514576028</v>
      </c>
      <c r="D1688" s="17" t="n">
        <f aca="false">(C1688-$B$4)/($B$6/SQRT($B$7))</f>
        <v>0.352837257288014</v>
      </c>
      <c r="E1688" s="0" t="str">
        <f aca="false">IF(OR(AND($B$9="superior",D1688&gt;$B$10),AND($B$9="inferior",D1688&lt;-$B$10)),"Rechazar H0","No rechazar H0")</f>
        <v>No rechazar H0</v>
      </c>
      <c r="F1688" s="0" t="str">
        <f aca="false">IF(AND(B1688="H0 verdadera",E1688="Rechazar H0"),"Error tipo I",IF(AND(B1688="Ha verdadera",E1688="No rechazar H0"),"Error tipo II","Decisión correcta"))</f>
        <v>Decisión correcta</v>
      </c>
    </row>
    <row r="1689" customFormat="false" ht="15" hidden="false" customHeight="false" outlineLevel="0" collapsed="false">
      <c r="A1689" s="0" t="n">
        <v>1668</v>
      </c>
      <c r="B1689" s="0" t="s">
        <v>85</v>
      </c>
      <c r="C1689" s="17" t="n">
        <v>-0.459022808389819</v>
      </c>
      <c r="D1689" s="17" t="n">
        <f aca="false">(C1689-$B$4)/($B$6/SQRT($B$7))</f>
        <v>-2.29511404194909</v>
      </c>
      <c r="E1689" s="0" t="str">
        <f aca="false">IF(OR(AND($B$9="superior",D1689&gt;$B$10),AND($B$9="inferior",D1689&lt;-$B$10)),"Rechazar H0","No rechazar H0")</f>
        <v>Rechazar H0</v>
      </c>
      <c r="F1689" s="0" t="str">
        <f aca="false">IF(AND(B1689="H0 verdadera",E1689="Rechazar H0"),"Error tipo I",IF(AND(B1689="Ha verdadera",E1689="No rechazar H0"),"Error tipo II","Decisión correcta"))</f>
        <v>Error tipo I</v>
      </c>
    </row>
    <row r="1690" customFormat="false" ht="15" hidden="false" customHeight="false" outlineLevel="0" collapsed="false">
      <c r="A1690" s="0" t="n">
        <v>1669</v>
      </c>
      <c r="B1690" s="0" t="s">
        <v>85</v>
      </c>
      <c r="C1690" s="17" t="n">
        <v>0.56678528445437</v>
      </c>
      <c r="D1690" s="17" t="n">
        <f aca="false">(C1690-$B$4)/($B$6/SQRT($B$7))</f>
        <v>2.83392642227185</v>
      </c>
      <c r="E1690" s="0" t="str">
        <f aca="false">IF(OR(AND($B$9="superior",D1690&gt;$B$10),AND($B$9="inferior",D1690&lt;-$B$10)),"Rechazar H0","No rechazar H0")</f>
        <v>No rechazar H0</v>
      </c>
      <c r="F1690" s="0" t="str">
        <f aca="false">IF(AND(B1690="H0 verdadera",E1690="Rechazar H0"),"Error tipo I",IF(AND(B1690="Ha verdadera",E1690="No rechazar H0"),"Error tipo II","Decisión correcta"))</f>
        <v>Decisión correcta</v>
      </c>
    </row>
    <row r="1691" customFormat="false" ht="15" hidden="false" customHeight="false" outlineLevel="0" collapsed="false">
      <c r="A1691" s="0" t="n">
        <v>1670</v>
      </c>
      <c r="B1691" s="0" t="s">
        <v>85</v>
      </c>
      <c r="C1691" s="17" t="n">
        <v>0.0259069369210274</v>
      </c>
      <c r="D1691" s="17" t="n">
        <f aca="false">(C1691-$B$4)/($B$6/SQRT($B$7))</f>
        <v>0.129534684605137</v>
      </c>
      <c r="E1691" s="0" t="str">
        <f aca="false">IF(OR(AND($B$9="superior",D1691&gt;$B$10),AND($B$9="inferior",D1691&lt;-$B$10)),"Rechazar H0","No rechazar H0")</f>
        <v>No rechazar H0</v>
      </c>
      <c r="F1691" s="0" t="str">
        <f aca="false">IF(AND(B1691="H0 verdadera",E1691="Rechazar H0"),"Error tipo I",IF(AND(B1691="Ha verdadera",E1691="No rechazar H0"),"Error tipo II","Decisión correcta"))</f>
        <v>Decisión correcta</v>
      </c>
    </row>
    <row r="1692" customFormat="false" ht="15" hidden="false" customHeight="false" outlineLevel="0" collapsed="false">
      <c r="A1692" s="0" t="n">
        <v>1671</v>
      </c>
      <c r="B1692" s="0" t="s">
        <v>85</v>
      </c>
      <c r="C1692" s="17" t="n">
        <v>0.108390110609535</v>
      </c>
      <c r="D1692" s="17" t="n">
        <f aca="false">(C1692-$B$4)/($B$6/SQRT($B$7))</f>
        <v>0.541950553047674</v>
      </c>
      <c r="E1692" s="0" t="str">
        <f aca="false">IF(OR(AND($B$9="superior",D1692&gt;$B$10),AND($B$9="inferior",D1692&lt;-$B$10)),"Rechazar H0","No rechazar H0")</f>
        <v>No rechazar H0</v>
      </c>
      <c r="F1692" s="0" t="str">
        <f aca="false">IF(AND(B1692="H0 verdadera",E1692="Rechazar H0"),"Error tipo I",IF(AND(B1692="Ha verdadera",E1692="No rechazar H0"),"Error tipo II","Decisión correcta"))</f>
        <v>Decisión correcta</v>
      </c>
    </row>
    <row r="1693" customFormat="false" ht="15" hidden="false" customHeight="false" outlineLevel="0" collapsed="false">
      <c r="A1693" s="0" t="n">
        <v>1672</v>
      </c>
      <c r="B1693" s="0" t="s">
        <v>86</v>
      </c>
      <c r="C1693" s="17" t="n">
        <v>-0.626032226894806</v>
      </c>
      <c r="D1693" s="17" t="n">
        <f aca="false">(C1693-$B$4)/($B$6/SQRT($B$7))</f>
        <v>-3.13016113447403</v>
      </c>
      <c r="E1693" s="0" t="str">
        <f aca="false">IF(OR(AND($B$9="superior",D1693&gt;$B$10),AND($B$9="inferior",D1693&lt;-$B$10)),"Rechazar H0","No rechazar H0")</f>
        <v>Rechazar H0</v>
      </c>
      <c r="F1693" s="0" t="str">
        <f aca="false">IF(AND(B1693="H0 verdadera",E1693="Rechazar H0"),"Error tipo I",IF(AND(B1693="Ha verdadera",E1693="No rechazar H0"),"Error tipo II","Decisión correcta"))</f>
        <v>Decisión correcta</v>
      </c>
    </row>
    <row r="1694" customFormat="false" ht="15" hidden="false" customHeight="false" outlineLevel="0" collapsed="false">
      <c r="A1694" s="0" t="n">
        <v>1673</v>
      </c>
      <c r="B1694" s="0" t="s">
        <v>86</v>
      </c>
      <c r="C1694" s="17" t="n">
        <v>-0.650380194827467</v>
      </c>
      <c r="D1694" s="17" t="n">
        <f aca="false">(C1694-$B$4)/($B$6/SQRT($B$7))</f>
        <v>-3.25190097413734</v>
      </c>
      <c r="E1694" s="0" t="str">
        <f aca="false">IF(OR(AND($B$9="superior",D1694&gt;$B$10),AND($B$9="inferior",D1694&lt;-$B$10)),"Rechazar H0","No rechazar H0")</f>
        <v>Rechazar H0</v>
      </c>
      <c r="F1694" s="0" t="str">
        <f aca="false">IF(AND(B1694="H0 verdadera",E1694="Rechazar H0"),"Error tipo I",IF(AND(B1694="Ha verdadera",E1694="No rechazar H0"),"Error tipo II","Decisión correcta"))</f>
        <v>Decisión correcta</v>
      </c>
    </row>
    <row r="1695" customFormat="false" ht="15" hidden="false" customHeight="false" outlineLevel="0" collapsed="false">
      <c r="A1695" s="0" t="n">
        <v>1674</v>
      </c>
      <c r="B1695" s="0" t="s">
        <v>85</v>
      </c>
      <c r="C1695" s="17" t="n">
        <v>0.196913199303228</v>
      </c>
      <c r="D1695" s="17" t="n">
        <f aca="false">(C1695-$B$4)/($B$6/SQRT($B$7))</f>
        <v>0.984565996516142</v>
      </c>
      <c r="E1695" s="0" t="str">
        <f aca="false">IF(OR(AND($B$9="superior",D1695&gt;$B$10),AND($B$9="inferior",D1695&lt;-$B$10)),"Rechazar H0","No rechazar H0")</f>
        <v>No rechazar H0</v>
      </c>
      <c r="F1695" s="0" t="str">
        <f aca="false">IF(AND(B1695="H0 verdadera",E1695="Rechazar H0"),"Error tipo I",IF(AND(B1695="Ha verdadera",E1695="No rechazar H0"),"Error tipo II","Decisión correcta"))</f>
        <v>Decisión correcta</v>
      </c>
    </row>
    <row r="1696" customFormat="false" ht="15" hidden="false" customHeight="false" outlineLevel="0" collapsed="false">
      <c r="A1696" s="0" t="n">
        <v>1675</v>
      </c>
      <c r="B1696" s="0" t="s">
        <v>86</v>
      </c>
      <c r="C1696" s="17" t="n">
        <v>-0.283933421475007</v>
      </c>
      <c r="D1696" s="17" t="n">
        <f aca="false">(C1696-$B$4)/($B$6/SQRT($B$7))</f>
        <v>-1.41966710737503</v>
      </c>
      <c r="E1696" s="0" t="str">
        <f aca="false">IF(OR(AND($B$9="superior",D1696&gt;$B$10),AND($B$9="inferior",D1696&lt;-$B$10)),"Rechazar H0","No rechazar H0")</f>
        <v>No rechazar H0</v>
      </c>
      <c r="F1696" s="0" t="str">
        <f aca="false">IF(AND(B1696="H0 verdadera",E1696="Rechazar H0"),"Error tipo I",IF(AND(B1696="Ha verdadera",E1696="No rechazar H0"),"Error tipo II","Decisión correcta"))</f>
        <v>Error tipo II</v>
      </c>
    </row>
    <row r="1697" customFormat="false" ht="15" hidden="false" customHeight="false" outlineLevel="0" collapsed="false">
      <c r="A1697" s="0" t="n">
        <v>1676</v>
      </c>
      <c r="B1697" s="0" t="s">
        <v>85</v>
      </c>
      <c r="C1697" s="17" t="n">
        <v>-0.105997667513065</v>
      </c>
      <c r="D1697" s="17" t="n">
        <f aca="false">(C1697-$B$4)/($B$6/SQRT($B$7))</f>
        <v>-0.529988337565326</v>
      </c>
      <c r="E1697" s="0" t="str">
        <f aca="false">IF(OR(AND($B$9="superior",D1697&gt;$B$10),AND($B$9="inferior",D1697&lt;-$B$10)),"Rechazar H0","No rechazar H0")</f>
        <v>No rechazar H0</v>
      </c>
      <c r="F1697" s="0" t="str">
        <f aca="false">IF(AND(B1697="H0 verdadera",E1697="Rechazar H0"),"Error tipo I",IF(AND(B1697="Ha verdadera",E1697="No rechazar H0"),"Error tipo II","Decisión correcta"))</f>
        <v>Decisión correcta</v>
      </c>
    </row>
    <row r="1698" customFormat="false" ht="15" hidden="false" customHeight="false" outlineLevel="0" collapsed="false">
      <c r="A1698" s="0" t="n">
        <v>1677</v>
      </c>
      <c r="B1698" s="0" t="s">
        <v>85</v>
      </c>
      <c r="C1698" s="17" t="n">
        <v>-0.0220337287770261</v>
      </c>
      <c r="D1698" s="17" t="n">
        <f aca="false">(C1698-$B$4)/($B$6/SQRT($B$7))</f>
        <v>-0.11016864388513</v>
      </c>
      <c r="E1698" s="0" t="str">
        <f aca="false">IF(OR(AND($B$9="superior",D1698&gt;$B$10),AND($B$9="inferior",D1698&lt;-$B$10)),"Rechazar H0","No rechazar H0")</f>
        <v>No rechazar H0</v>
      </c>
      <c r="F1698" s="0" t="str">
        <f aca="false">IF(AND(B1698="H0 verdadera",E1698="Rechazar H0"),"Error tipo I",IF(AND(B1698="Ha verdadera",E1698="No rechazar H0"),"Error tipo II","Decisión correcta"))</f>
        <v>Decisión correcta</v>
      </c>
    </row>
    <row r="1699" customFormat="false" ht="15" hidden="false" customHeight="false" outlineLevel="0" collapsed="false">
      <c r="A1699" s="0" t="n">
        <v>1678</v>
      </c>
      <c r="B1699" s="0" t="s">
        <v>86</v>
      </c>
      <c r="C1699" s="17" t="n">
        <v>-0.441076849282732</v>
      </c>
      <c r="D1699" s="17" t="n">
        <f aca="false">(C1699-$B$4)/($B$6/SQRT($B$7))</f>
        <v>-2.20538424641366</v>
      </c>
      <c r="E1699" s="0" t="str">
        <f aca="false">IF(OR(AND($B$9="superior",D1699&gt;$B$10),AND($B$9="inferior",D1699&lt;-$B$10)),"Rechazar H0","No rechazar H0")</f>
        <v>Rechazar H0</v>
      </c>
      <c r="F1699" s="0" t="str">
        <f aca="false">IF(AND(B1699="H0 verdadera",E1699="Rechazar H0"),"Error tipo I",IF(AND(B1699="Ha verdadera",E1699="No rechazar H0"),"Error tipo II","Decisión correcta"))</f>
        <v>Decisión correcta</v>
      </c>
    </row>
    <row r="1700" customFormat="false" ht="15" hidden="false" customHeight="false" outlineLevel="0" collapsed="false">
      <c r="A1700" s="0" t="n">
        <v>1679</v>
      </c>
      <c r="B1700" s="0" t="s">
        <v>85</v>
      </c>
      <c r="C1700" s="17" t="n">
        <v>-0.303289858108637</v>
      </c>
      <c r="D1700" s="17" t="n">
        <f aca="false">(C1700-$B$4)/($B$6/SQRT($B$7))</f>
        <v>-1.51644929054318</v>
      </c>
      <c r="E1700" s="0" t="str">
        <f aca="false">IF(OR(AND($B$9="superior",D1700&gt;$B$10),AND($B$9="inferior",D1700&lt;-$B$10)),"Rechazar H0","No rechazar H0")</f>
        <v>No rechazar H0</v>
      </c>
      <c r="F1700" s="0" t="str">
        <f aca="false">IF(AND(B1700="H0 verdadera",E1700="Rechazar H0"),"Error tipo I",IF(AND(B1700="Ha verdadera",E1700="No rechazar H0"),"Error tipo II","Decisión correcta"))</f>
        <v>Decisión correcta</v>
      </c>
    </row>
    <row r="1701" customFormat="false" ht="15" hidden="false" customHeight="false" outlineLevel="0" collapsed="false">
      <c r="A1701" s="0" t="n">
        <v>1680</v>
      </c>
      <c r="B1701" s="0" t="s">
        <v>85</v>
      </c>
      <c r="C1701" s="17" t="n">
        <v>-0.0501884647102332</v>
      </c>
      <c r="D1701" s="17" t="n">
        <f aca="false">(C1701-$B$4)/($B$6/SQRT($B$7))</f>
        <v>-0.250942323551166</v>
      </c>
      <c r="E1701" s="0" t="str">
        <f aca="false">IF(OR(AND($B$9="superior",D1701&gt;$B$10),AND($B$9="inferior",D1701&lt;-$B$10)),"Rechazar H0","No rechazar H0")</f>
        <v>No rechazar H0</v>
      </c>
      <c r="F1701" s="0" t="str">
        <f aca="false">IF(AND(B1701="H0 verdadera",E1701="Rechazar H0"),"Error tipo I",IF(AND(B1701="Ha verdadera",E1701="No rechazar H0"),"Error tipo II","Decisión correcta"))</f>
        <v>Decisión correcta</v>
      </c>
    </row>
    <row r="1702" customFormat="false" ht="15" hidden="false" customHeight="false" outlineLevel="0" collapsed="false">
      <c r="A1702" s="0" t="n">
        <v>1681</v>
      </c>
      <c r="B1702" s="0" t="s">
        <v>86</v>
      </c>
      <c r="C1702" s="17" t="n">
        <v>-0.268744245982252</v>
      </c>
      <c r="D1702" s="17" t="n">
        <f aca="false">(C1702-$B$4)/($B$6/SQRT($B$7))</f>
        <v>-1.34372122991126</v>
      </c>
      <c r="E1702" s="0" t="str">
        <f aca="false">IF(OR(AND($B$9="superior",D1702&gt;$B$10),AND($B$9="inferior",D1702&lt;-$B$10)),"Rechazar H0","No rechazar H0")</f>
        <v>No rechazar H0</v>
      </c>
      <c r="F1702" s="0" t="str">
        <f aca="false">IF(AND(B1702="H0 verdadera",E1702="Rechazar H0"),"Error tipo I",IF(AND(B1702="Ha verdadera",E1702="No rechazar H0"),"Error tipo II","Decisión correcta"))</f>
        <v>Error tipo II</v>
      </c>
    </row>
    <row r="1703" customFormat="false" ht="15" hidden="false" customHeight="false" outlineLevel="0" collapsed="false">
      <c r="A1703" s="0" t="n">
        <v>1682</v>
      </c>
      <c r="B1703" s="0" t="s">
        <v>85</v>
      </c>
      <c r="C1703" s="17" t="n">
        <v>0.13484520412403</v>
      </c>
      <c r="D1703" s="17" t="n">
        <f aca="false">(C1703-$B$4)/($B$6/SQRT($B$7))</f>
        <v>0.67422602062015</v>
      </c>
      <c r="E1703" s="0" t="str">
        <f aca="false">IF(OR(AND($B$9="superior",D1703&gt;$B$10),AND($B$9="inferior",D1703&lt;-$B$10)),"Rechazar H0","No rechazar H0")</f>
        <v>No rechazar H0</v>
      </c>
      <c r="F1703" s="0" t="str">
        <f aca="false">IF(AND(B1703="H0 verdadera",E1703="Rechazar H0"),"Error tipo I",IF(AND(B1703="Ha verdadera",E1703="No rechazar H0"),"Error tipo II","Decisión correcta"))</f>
        <v>Decisión correcta</v>
      </c>
    </row>
    <row r="1704" customFormat="false" ht="15" hidden="false" customHeight="false" outlineLevel="0" collapsed="false">
      <c r="A1704" s="0" t="n">
        <v>1683</v>
      </c>
      <c r="B1704" s="0" t="s">
        <v>86</v>
      </c>
      <c r="C1704" s="17" t="n">
        <v>-0.696992715311497</v>
      </c>
      <c r="D1704" s="17" t="n">
        <f aca="false">(C1704-$B$4)/($B$6/SQRT($B$7))</f>
        <v>-3.48496357655749</v>
      </c>
      <c r="E1704" s="0" t="str">
        <f aca="false">IF(OR(AND($B$9="superior",D1704&gt;$B$10),AND($B$9="inferior",D1704&lt;-$B$10)),"Rechazar H0","No rechazar H0")</f>
        <v>Rechazar H0</v>
      </c>
      <c r="F1704" s="0" t="str">
        <f aca="false">IF(AND(B1704="H0 verdadera",E1704="Rechazar H0"),"Error tipo I",IF(AND(B1704="Ha verdadera",E1704="No rechazar H0"),"Error tipo II","Decisión correcta"))</f>
        <v>Decisión correcta</v>
      </c>
    </row>
    <row r="1705" customFormat="false" ht="15" hidden="false" customHeight="false" outlineLevel="0" collapsed="false">
      <c r="A1705" s="0" t="n">
        <v>1684</v>
      </c>
      <c r="B1705" s="0" t="s">
        <v>85</v>
      </c>
      <c r="C1705" s="17" t="n">
        <v>0.0228137810810687</v>
      </c>
      <c r="D1705" s="17" t="n">
        <f aca="false">(C1705-$B$4)/($B$6/SQRT($B$7))</f>
        <v>0.114068905405344</v>
      </c>
      <c r="E1705" s="0" t="str">
        <f aca="false">IF(OR(AND($B$9="superior",D1705&gt;$B$10),AND($B$9="inferior",D1705&lt;-$B$10)),"Rechazar H0","No rechazar H0")</f>
        <v>No rechazar H0</v>
      </c>
      <c r="F1705" s="0" t="str">
        <f aca="false">IF(AND(B1705="H0 verdadera",E1705="Rechazar H0"),"Error tipo I",IF(AND(B1705="Ha verdadera",E1705="No rechazar H0"),"Error tipo II","Decisión correcta"))</f>
        <v>Decisión correcta</v>
      </c>
    </row>
    <row r="1706" customFormat="false" ht="15" hidden="false" customHeight="false" outlineLevel="0" collapsed="false">
      <c r="A1706" s="0" t="n">
        <v>1685</v>
      </c>
      <c r="B1706" s="0" t="s">
        <v>85</v>
      </c>
      <c r="C1706" s="17" t="n">
        <v>0.259035266340924</v>
      </c>
      <c r="D1706" s="17" t="n">
        <f aca="false">(C1706-$B$4)/($B$6/SQRT($B$7))</f>
        <v>1.29517633170462</v>
      </c>
      <c r="E1706" s="0" t="str">
        <f aca="false">IF(OR(AND($B$9="superior",D1706&gt;$B$10),AND($B$9="inferior",D1706&lt;-$B$10)),"Rechazar H0","No rechazar H0")</f>
        <v>No rechazar H0</v>
      </c>
      <c r="F1706" s="0" t="str">
        <f aca="false">IF(AND(B1706="H0 verdadera",E1706="Rechazar H0"),"Error tipo I",IF(AND(B1706="Ha verdadera",E1706="No rechazar H0"),"Error tipo II","Decisión correcta"))</f>
        <v>Decisión correcta</v>
      </c>
    </row>
    <row r="1707" customFormat="false" ht="15" hidden="false" customHeight="false" outlineLevel="0" collapsed="false">
      <c r="A1707" s="0" t="n">
        <v>1686</v>
      </c>
      <c r="B1707" s="0" t="s">
        <v>86</v>
      </c>
      <c r="C1707" s="17" t="n">
        <v>-0.00980598827609974</v>
      </c>
      <c r="D1707" s="17" t="n">
        <f aca="false">(C1707-$B$4)/($B$6/SQRT($B$7))</f>
        <v>-0.0490299413804987</v>
      </c>
      <c r="E1707" s="0" t="str">
        <f aca="false">IF(OR(AND($B$9="superior",D1707&gt;$B$10),AND($B$9="inferior",D1707&lt;-$B$10)),"Rechazar H0","No rechazar H0")</f>
        <v>No rechazar H0</v>
      </c>
      <c r="F1707" s="0" t="str">
        <f aca="false">IF(AND(B1707="H0 verdadera",E1707="Rechazar H0"),"Error tipo I",IF(AND(B1707="Ha verdadera",E1707="No rechazar H0"),"Error tipo II","Decisión correcta"))</f>
        <v>Error tipo II</v>
      </c>
    </row>
    <row r="1708" customFormat="false" ht="15" hidden="false" customHeight="false" outlineLevel="0" collapsed="false">
      <c r="A1708" s="0" t="n">
        <v>1687</v>
      </c>
      <c r="B1708" s="0" t="s">
        <v>86</v>
      </c>
      <c r="C1708" s="17" t="n">
        <v>-0.684525758215355</v>
      </c>
      <c r="D1708" s="17" t="n">
        <f aca="false">(C1708-$B$4)/($B$6/SQRT($B$7))</f>
        <v>-3.42262879107678</v>
      </c>
      <c r="E1708" s="0" t="str">
        <f aca="false">IF(OR(AND($B$9="superior",D1708&gt;$B$10),AND($B$9="inferior",D1708&lt;-$B$10)),"Rechazar H0","No rechazar H0")</f>
        <v>Rechazar H0</v>
      </c>
      <c r="F1708" s="0" t="str">
        <f aca="false">IF(AND(B1708="H0 verdadera",E1708="Rechazar H0"),"Error tipo I",IF(AND(B1708="Ha verdadera",E1708="No rechazar H0"),"Error tipo II","Decisión correcta"))</f>
        <v>Decisión correcta</v>
      </c>
    </row>
    <row r="1709" customFormat="false" ht="15" hidden="false" customHeight="false" outlineLevel="0" collapsed="false">
      <c r="A1709" s="0" t="n">
        <v>1688</v>
      </c>
      <c r="B1709" s="0" t="s">
        <v>86</v>
      </c>
      <c r="C1709" s="17" t="n">
        <v>-0.613612566640724</v>
      </c>
      <c r="D1709" s="17" t="n">
        <f aca="false">(C1709-$B$4)/($B$6/SQRT($B$7))</f>
        <v>-3.06806283320362</v>
      </c>
      <c r="E1709" s="0" t="str">
        <f aca="false">IF(OR(AND($B$9="superior",D1709&gt;$B$10),AND($B$9="inferior",D1709&lt;-$B$10)),"Rechazar H0","No rechazar H0")</f>
        <v>Rechazar H0</v>
      </c>
      <c r="F1709" s="0" t="str">
        <f aca="false">IF(AND(B1709="H0 verdadera",E1709="Rechazar H0"),"Error tipo I",IF(AND(B1709="Ha verdadera",E1709="No rechazar H0"),"Error tipo II","Decisión correcta"))</f>
        <v>Decisión correcta</v>
      </c>
    </row>
    <row r="1710" customFormat="false" ht="15" hidden="false" customHeight="false" outlineLevel="0" collapsed="false">
      <c r="A1710" s="0" t="n">
        <v>1689</v>
      </c>
      <c r="B1710" s="0" t="s">
        <v>85</v>
      </c>
      <c r="C1710" s="17" t="n">
        <v>-0.311993665291351</v>
      </c>
      <c r="D1710" s="17" t="n">
        <f aca="false">(C1710-$B$4)/($B$6/SQRT($B$7))</f>
        <v>-1.55996832645676</v>
      </c>
      <c r="E1710" s="0" t="str">
        <f aca="false">IF(OR(AND($B$9="superior",D1710&gt;$B$10),AND($B$9="inferior",D1710&lt;-$B$10)),"Rechazar H0","No rechazar H0")</f>
        <v>No rechazar H0</v>
      </c>
      <c r="F1710" s="0" t="str">
        <f aca="false">IF(AND(B1710="H0 verdadera",E1710="Rechazar H0"),"Error tipo I",IF(AND(B1710="Ha verdadera",E1710="No rechazar H0"),"Error tipo II","Decisión correcta"))</f>
        <v>Decisión correcta</v>
      </c>
    </row>
    <row r="1711" customFormat="false" ht="15" hidden="false" customHeight="false" outlineLevel="0" collapsed="false">
      <c r="A1711" s="0" t="n">
        <v>1690</v>
      </c>
      <c r="B1711" s="0" t="s">
        <v>85</v>
      </c>
      <c r="C1711" s="17" t="n">
        <v>0.0540575339109831</v>
      </c>
      <c r="D1711" s="17" t="n">
        <f aca="false">(C1711-$B$4)/($B$6/SQRT($B$7))</f>
        <v>0.270287669554915</v>
      </c>
      <c r="E1711" s="0" t="str">
        <f aca="false">IF(OR(AND($B$9="superior",D1711&gt;$B$10),AND($B$9="inferior",D1711&lt;-$B$10)),"Rechazar H0","No rechazar H0")</f>
        <v>No rechazar H0</v>
      </c>
      <c r="F1711" s="0" t="str">
        <f aca="false">IF(AND(B1711="H0 verdadera",E1711="Rechazar H0"),"Error tipo I",IF(AND(B1711="Ha verdadera",E1711="No rechazar H0"),"Error tipo II","Decisión correcta"))</f>
        <v>Decisión correcta</v>
      </c>
    </row>
    <row r="1712" customFormat="false" ht="15" hidden="false" customHeight="false" outlineLevel="0" collapsed="false">
      <c r="A1712" s="0" t="n">
        <v>1691</v>
      </c>
      <c r="B1712" s="0" t="s">
        <v>85</v>
      </c>
      <c r="C1712" s="17" t="n">
        <v>-0.196886861325614</v>
      </c>
      <c r="D1712" s="17" t="n">
        <f aca="false">(C1712-$B$4)/($B$6/SQRT($B$7))</f>
        <v>-0.984434306628069</v>
      </c>
      <c r="E1712" s="0" t="str">
        <f aca="false">IF(OR(AND($B$9="superior",D1712&gt;$B$10),AND($B$9="inferior",D1712&lt;-$B$10)),"Rechazar H0","No rechazar H0")</f>
        <v>No rechazar H0</v>
      </c>
      <c r="F1712" s="0" t="str">
        <f aca="false">IF(AND(B1712="H0 verdadera",E1712="Rechazar H0"),"Error tipo I",IF(AND(B1712="Ha verdadera",E1712="No rechazar H0"),"Error tipo II","Decisión correcta"))</f>
        <v>Decisión correcta</v>
      </c>
    </row>
    <row r="1713" customFormat="false" ht="15" hidden="false" customHeight="false" outlineLevel="0" collapsed="false">
      <c r="A1713" s="0" t="n">
        <v>1692</v>
      </c>
      <c r="B1713" s="0" t="s">
        <v>85</v>
      </c>
      <c r="C1713" s="17" t="n">
        <v>-0.176019025587775</v>
      </c>
      <c r="D1713" s="17" t="n">
        <f aca="false">(C1713-$B$4)/($B$6/SQRT($B$7))</f>
        <v>-0.880095127938877</v>
      </c>
      <c r="E1713" s="0" t="str">
        <f aca="false">IF(OR(AND($B$9="superior",D1713&gt;$B$10),AND($B$9="inferior",D1713&lt;-$B$10)),"Rechazar H0","No rechazar H0")</f>
        <v>No rechazar H0</v>
      </c>
      <c r="F1713" s="0" t="str">
        <f aca="false">IF(AND(B1713="H0 verdadera",E1713="Rechazar H0"),"Error tipo I",IF(AND(B1713="Ha verdadera",E1713="No rechazar H0"),"Error tipo II","Decisión correcta"))</f>
        <v>Decisión correcta</v>
      </c>
    </row>
    <row r="1714" customFormat="false" ht="15" hidden="false" customHeight="false" outlineLevel="0" collapsed="false">
      <c r="A1714" s="0" t="n">
        <v>1693</v>
      </c>
      <c r="B1714" s="0" t="s">
        <v>85</v>
      </c>
      <c r="C1714" s="17" t="n">
        <v>-0.262176082402354</v>
      </c>
      <c r="D1714" s="17" t="n">
        <f aca="false">(C1714-$B$4)/($B$6/SQRT($B$7))</f>
        <v>-1.31088041201177</v>
      </c>
      <c r="E1714" s="0" t="str">
        <f aca="false">IF(OR(AND($B$9="superior",D1714&gt;$B$10),AND($B$9="inferior",D1714&lt;-$B$10)),"Rechazar H0","No rechazar H0")</f>
        <v>No rechazar H0</v>
      </c>
      <c r="F1714" s="0" t="str">
        <f aca="false">IF(AND(B1714="H0 verdadera",E1714="Rechazar H0"),"Error tipo I",IF(AND(B1714="Ha verdadera",E1714="No rechazar H0"),"Error tipo II","Decisión correcta"))</f>
        <v>Decisión correcta</v>
      </c>
    </row>
    <row r="1715" customFormat="false" ht="15" hidden="false" customHeight="false" outlineLevel="0" collapsed="false">
      <c r="A1715" s="0" t="n">
        <v>1694</v>
      </c>
      <c r="B1715" s="0" t="s">
        <v>85</v>
      </c>
      <c r="C1715" s="17" t="n">
        <v>-0.014619409373626</v>
      </c>
      <c r="D1715" s="17" t="n">
        <f aca="false">(C1715-$B$4)/($B$6/SQRT($B$7))</f>
        <v>-0.0730970468681298</v>
      </c>
      <c r="E1715" s="0" t="str">
        <f aca="false">IF(OR(AND($B$9="superior",D1715&gt;$B$10),AND($B$9="inferior",D1715&lt;-$B$10)),"Rechazar H0","No rechazar H0")</f>
        <v>No rechazar H0</v>
      </c>
      <c r="F1715" s="0" t="str">
        <f aca="false">IF(AND(B1715="H0 verdadera",E1715="Rechazar H0"),"Error tipo I",IF(AND(B1715="Ha verdadera",E1715="No rechazar H0"),"Error tipo II","Decisión correcta"))</f>
        <v>Decisión correcta</v>
      </c>
    </row>
    <row r="1716" customFormat="false" ht="15" hidden="false" customHeight="false" outlineLevel="0" collapsed="false">
      <c r="A1716" s="0" t="n">
        <v>1695</v>
      </c>
      <c r="B1716" s="0" t="s">
        <v>86</v>
      </c>
      <c r="C1716" s="17" t="n">
        <v>-0.516825835404901</v>
      </c>
      <c r="D1716" s="17" t="n">
        <f aca="false">(C1716-$B$4)/($B$6/SQRT($B$7))</f>
        <v>-2.5841291770245</v>
      </c>
      <c r="E1716" s="0" t="str">
        <f aca="false">IF(OR(AND($B$9="superior",D1716&gt;$B$10),AND($B$9="inferior",D1716&lt;-$B$10)),"Rechazar H0","No rechazar H0")</f>
        <v>Rechazar H0</v>
      </c>
      <c r="F1716" s="0" t="str">
        <f aca="false">IF(AND(B1716="H0 verdadera",E1716="Rechazar H0"),"Error tipo I",IF(AND(B1716="Ha verdadera",E1716="No rechazar H0"),"Error tipo II","Decisión correcta"))</f>
        <v>Decisión correcta</v>
      </c>
    </row>
    <row r="1717" customFormat="false" ht="15" hidden="false" customHeight="false" outlineLevel="0" collapsed="false">
      <c r="A1717" s="0" t="n">
        <v>1696</v>
      </c>
      <c r="B1717" s="0" t="s">
        <v>85</v>
      </c>
      <c r="C1717" s="17" t="n">
        <v>0.0965448702221755</v>
      </c>
      <c r="D1717" s="17" t="n">
        <f aca="false">(C1717-$B$4)/($B$6/SQRT($B$7))</f>
        <v>0.482724351110878</v>
      </c>
      <c r="E1717" s="0" t="str">
        <f aca="false">IF(OR(AND($B$9="superior",D1717&gt;$B$10),AND($B$9="inferior",D1717&lt;-$B$10)),"Rechazar H0","No rechazar H0")</f>
        <v>No rechazar H0</v>
      </c>
      <c r="F1717" s="0" t="str">
        <f aca="false">IF(AND(B1717="H0 verdadera",E1717="Rechazar H0"),"Error tipo I",IF(AND(B1717="Ha verdadera",E1717="No rechazar H0"),"Error tipo II","Decisión correcta"))</f>
        <v>Decisión correcta</v>
      </c>
    </row>
    <row r="1718" customFormat="false" ht="15" hidden="false" customHeight="false" outlineLevel="0" collapsed="false">
      <c r="A1718" s="0" t="n">
        <v>1697</v>
      </c>
      <c r="B1718" s="0" t="s">
        <v>86</v>
      </c>
      <c r="C1718" s="17" t="n">
        <v>-0.443083401961939</v>
      </c>
      <c r="D1718" s="17" t="n">
        <f aca="false">(C1718-$B$4)/($B$6/SQRT($B$7))</f>
        <v>-2.2154170098097</v>
      </c>
      <c r="E1718" s="0" t="str">
        <f aca="false">IF(OR(AND($B$9="superior",D1718&gt;$B$10),AND($B$9="inferior",D1718&lt;-$B$10)),"Rechazar H0","No rechazar H0")</f>
        <v>Rechazar H0</v>
      </c>
      <c r="F1718" s="0" t="str">
        <f aca="false">IF(AND(B1718="H0 verdadera",E1718="Rechazar H0"),"Error tipo I",IF(AND(B1718="Ha verdadera",E1718="No rechazar H0"),"Error tipo II","Decisión correcta"))</f>
        <v>Decisión correcta</v>
      </c>
    </row>
    <row r="1719" customFormat="false" ht="15" hidden="false" customHeight="false" outlineLevel="0" collapsed="false">
      <c r="A1719" s="0" t="n">
        <v>1698</v>
      </c>
      <c r="B1719" s="0" t="s">
        <v>86</v>
      </c>
      <c r="C1719" s="17" t="n">
        <v>-0.293265208233201</v>
      </c>
      <c r="D1719" s="17" t="n">
        <f aca="false">(C1719-$B$4)/($B$6/SQRT($B$7))</f>
        <v>-1.466326041166</v>
      </c>
      <c r="E1719" s="0" t="str">
        <f aca="false">IF(OR(AND($B$9="superior",D1719&gt;$B$10),AND($B$9="inferior",D1719&lt;-$B$10)),"Rechazar H0","No rechazar H0")</f>
        <v>No rechazar H0</v>
      </c>
      <c r="F1719" s="0" t="str">
        <f aca="false">IF(AND(B1719="H0 verdadera",E1719="Rechazar H0"),"Error tipo I",IF(AND(B1719="Ha verdadera",E1719="No rechazar H0"),"Error tipo II","Decisión correcta"))</f>
        <v>Error tipo II</v>
      </c>
    </row>
    <row r="1720" customFormat="false" ht="15" hidden="false" customHeight="false" outlineLevel="0" collapsed="false">
      <c r="A1720" s="0" t="n">
        <v>1699</v>
      </c>
      <c r="B1720" s="0" t="s">
        <v>85</v>
      </c>
      <c r="C1720" s="17" t="n">
        <v>-0.0289159347281641</v>
      </c>
      <c r="D1720" s="17" t="n">
        <f aca="false">(C1720-$B$4)/($B$6/SQRT($B$7))</f>
        <v>-0.14457967364082</v>
      </c>
      <c r="E1720" s="0" t="str">
        <f aca="false">IF(OR(AND($B$9="superior",D1720&gt;$B$10),AND($B$9="inferior",D1720&lt;-$B$10)),"Rechazar H0","No rechazar H0")</f>
        <v>No rechazar H0</v>
      </c>
      <c r="F1720" s="0" t="str">
        <f aca="false">IF(AND(B1720="H0 verdadera",E1720="Rechazar H0"),"Error tipo I",IF(AND(B1720="Ha verdadera",E1720="No rechazar H0"),"Error tipo II","Decisión correcta"))</f>
        <v>Decisión correcta</v>
      </c>
    </row>
    <row r="1721" customFormat="false" ht="15" hidden="false" customHeight="false" outlineLevel="0" collapsed="false">
      <c r="A1721" s="0" t="n">
        <v>1700</v>
      </c>
      <c r="B1721" s="0" t="s">
        <v>86</v>
      </c>
      <c r="C1721" s="17" t="n">
        <v>-0.57064535315226</v>
      </c>
      <c r="D1721" s="17" t="n">
        <f aca="false">(C1721-$B$4)/($B$6/SQRT($B$7))</f>
        <v>-2.8532267657613</v>
      </c>
      <c r="E1721" s="0" t="str">
        <f aca="false">IF(OR(AND($B$9="superior",D1721&gt;$B$10),AND($B$9="inferior",D1721&lt;-$B$10)),"Rechazar H0","No rechazar H0")</f>
        <v>Rechazar H0</v>
      </c>
      <c r="F1721" s="0" t="str">
        <f aca="false">IF(AND(B1721="H0 verdadera",E1721="Rechazar H0"),"Error tipo I",IF(AND(B1721="Ha verdadera",E1721="No rechazar H0"),"Error tipo II","Decisión correcta"))</f>
        <v>Decisión correcta</v>
      </c>
    </row>
    <row r="1722" customFormat="false" ht="15" hidden="false" customHeight="false" outlineLevel="0" collapsed="false">
      <c r="A1722" s="0" t="n">
        <v>1701</v>
      </c>
      <c r="B1722" s="0" t="s">
        <v>85</v>
      </c>
      <c r="C1722" s="17" t="n">
        <v>0.382429783340305</v>
      </c>
      <c r="D1722" s="17" t="n">
        <f aca="false">(C1722-$B$4)/($B$6/SQRT($B$7))</f>
        <v>1.91214891670152</v>
      </c>
      <c r="E1722" s="0" t="str">
        <f aca="false">IF(OR(AND($B$9="superior",D1722&gt;$B$10),AND($B$9="inferior",D1722&lt;-$B$10)),"Rechazar H0","No rechazar H0")</f>
        <v>No rechazar H0</v>
      </c>
      <c r="F1722" s="0" t="str">
        <f aca="false">IF(AND(B1722="H0 verdadera",E1722="Rechazar H0"),"Error tipo I",IF(AND(B1722="Ha verdadera",E1722="No rechazar H0"),"Error tipo II","Decisión correcta"))</f>
        <v>Decisión correcta</v>
      </c>
    </row>
    <row r="1723" customFormat="false" ht="15" hidden="false" customHeight="false" outlineLevel="0" collapsed="false">
      <c r="A1723" s="0" t="n">
        <v>1702</v>
      </c>
      <c r="B1723" s="0" t="s">
        <v>85</v>
      </c>
      <c r="C1723" s="17" t="n">
        <v>0.0221883514882455</v>
      </c>
      <c r="D1723" s="17" t="n">
        <f aca="false">(C1723-$B$4)/($B$6/SQRT($B$7))</f>
        <v>0.110941757441228</v>
      </c>
      <c r="E1723" s="0" t="str">
        <f aca="false">IF(OR(AND($B$9="superior",D1723&gt;$B$10),AND($B$9="inferior",D1723&lt;-$B$10)),"Rechazar H0","No rechazar H0")</f>
        <v>No rechazar H0</v>
      </c>
      <c r="F1723" s="0" t="str">
        <f aca="false">IF(AND(B1723="H0 verdadera",E1723="Rechazar H0"),"Error tipo I",IF(AND(B1723="Ha verdadera",E1723="No rechazar H0"),"Error tipo II","Decisión correcta"))</f>
        <v>Decisión correcta</v>
      </c>
    </row>
    <row r="1724" customFormat="false" ht="15" hidden="false" customHeight="false" outlineLevel="0" collapsed="false">
      <c r="A1724" s="0" t="n">
        <v>1703</v>
      </c>
      <c r="B1724" s="0" t="s">
        <v>85</v>
      </c>
      <c r="C1724" s="17" t="n">
        <v>-0.0690148698514133</v>
      </c>
      <c r="D1724" s="17" t="n">
        <f aca="false">(C1724-$B$4)/($B$6/SQRT($B$7))</f>
        <v>-0.345074349257066</v>
      </c>
      <c r="E1724" s="0" t="str">
        <f aca="false">IF(OR(AND($B$9="superior",D1724&gt;$B$10),AND($B$9="inferior",D1724&lt;-$B$10)),"Rechazar H0","No rechazar H0")</f>
        <v>No rechazar H0</v>
      </c>
      <c r="F1724" s="0" t="str">
        <f aca="false">IF(AND(B1724="H0 verdadera",E1724="Rechazar H0"),"Error tipo I",IF(AND(B1724="Ha verdadera",E1724="No rechazar H0"),"Error tipo II","Decisión correcta"))</f>
        <v>Decisión correcta</v>
      </c>
    </row>
    <row r="1725" customFormat="false" ht="15" hidden="false" customHeight="false" outlineLevel="0" collapsed="false">
      <c r="A1725" s="0" t="n">
        <v>1704</v>
      </c>
      <c r="B1725" s="0" t="s">
        <v>85</v>
      </c>
      <c r="C1725" s="17" t="n">
        <v>0.297320094012496</v>
      </c>
      <c r="D1725" s="17" t="n">
        <f aca="false">(C1725-$B$4)/($B$6/SQRT($B$7))</f>
        <v>1.48660047006248</v>
      </c>
      <c r="E1725" s="0" t="str">
        <f aca="false">IF(OR(AND($B$9="superior",D1725&gt;$B$10),AND($B$9="inferior",D1725&lt;-$B$10)),"Rechazar H0","No rechazar H0")</f>
        <v>No rechazar H0</v>
      </c>
      <c r="F1725" s="0" t="str">
        <f aca="false">IF(AND(B1725="H0 verdadera",E1725="Rechazar H0"),"Error tipo I",IF(AND(B1725="Ha verdadera",E1725="No rechazar H0"),"Error tipo II","Decisión correcta"))</f>
        <v>Decisión correcta</v>
      </c>
    </row>
    <row r="1726" customFormat="false" ht="15" hidden="false" customHeight="false" outlineLevel="0" collapsed="false">
      <c r="A1726" s="0" t="n">
        <v>1705</v>
      </c>
      <c r="B1726" s="0" t="s">
        <v>86</v>
      </c>
      <c r="C1726" s="17" t="n">
        <v>-0.278563308497804</v>
      </c>
      <c r="D1726" s="17" t="n">
        <f aca="false">(C1726-$B$4)/($B$6/SQRT($B$7))</f>
        <v>-1.39281654248902</v>
      </c>
      <c r="E1726" s="0" t="str">
        <f aca="false">IF(OR(AND($B$9="superior",D1726&gt;$B$10),AND($B$9="inferior",D1726&lt;-$B$10)),"Rechazar H0","No rechazar H0")</f>
        <v>No rechazar H0</v>
      </c>
      <c r="F1726" s="0" t="str">
        <f aca="false">IF(AND(B1726="H0 verdadera",E1726="Rechazar H0"),"Error tipo I",IF(AND(B1726="Ha verdadera",E1726="No rechazar H0"),"Error tipo II","Decisión correcta"))</f>
        <v>Error tipo II</v>
      </c>
    </row>
    <row r="1727" customFormat="false" ht="15" hidden="false" customHeight="false" outlineLevel="0" collapsed="false">
      <c r="A1727" s="0" t="n">
        <v>1706</v>
      </c>
      <c r="B1727" s="0" t="s">
        <v>85</v>
      </c>
      <c r="C1727" s="17" t="n">
        <v>0.0243507984780643</v>
      </c>
      <c r="D1727" s="17" t="n">
        <f aca="false">(C1727-$B$4)/($B$6/SQRT($B$7))</f>
        <v>0.121753992390322</v>
      </c>
      <c r="E1727" s="0" t="str">
        <f aca="false">IF(OR(AND($B$9="superior",D1727&gt;$B$10),AND($B$9="inferior",D1727&lt;-$B$10)),"Rechazar H0","No rechazar H0")</f>
        <v>No rechazar H0</v>
      </c>
      <c r="F1727" s="0" t="str">
        <f aca="false">IF(AND(B1727="H0 verdadera",E1727="Rechazar H0"),"Error tipo I",IF(AND(B1727="Ha verdadera",E1727="No rechazar H0"),"Error tipo II","Decisión correcta"))</f>
        <v>Decisión correcta</v>
      </c>
    </row>
    <row r="1728" customFormat="false" ht="15" hidden="false" customHeight="false" outlineLevel="0" collapsed="false">
      <c r="A1728" s="0" t="n">
        <v>1707</v>
      </c>
      <c r="B1728" s="0" t="s">
        <v>86</v>
      </c>
      <c r="C1728" s="17" t="n">
        <v>-0.416836589106046</v>
      </c>
      <c r="D1728" s="17" t="n">
        <f aca="false">(C1728-$B$4)/($B$6/SQRT($B$7))</f>
        <v>-2.08418294553023</v>
      </c>
      <c r="E1728" s="0" t="str">
        <f aca="false">IF(OR(AND($B$9="superior",D1728&gt;$B$10),AND($B$9="inferior",D1728&lt;-$B$10)),"Rechazar H0","No rechazar H0")</f>
        <v>Rechazar H0</v>
      </c>
      <c r="F1728" s="0" t="str">
        <f aca="false">IF(AND(B1728="H0 verdadera",E1728="Rechazar H0"),"Error tipo I",IF(AND(B1728="Ha verdadera",E1728="No rechazar H0"),"Error tipo II","Decisión correcta"))</f>
        <v>Decisión correcta</v>
      </c>
    </row>
    <row r="1729" customFormat="false" ht="15" hidden="false" customHeight="false" outlineLevel="0" collapsed="false">
      <c r="A1729" s="0" t="n">
        <v>1708</v>
      </c>
      <c r="B1729" s="0" t="s">
        <v>85</v>
      </c>
      <c r="C1729" s="17" t="n">
        <v>0.144409788699075</v>
      </c>
      <c r="D1729" s="17" t="n">
        <f aca="false">(C1729-$B$4)/($B$6/SQRT($B$7))</f>
        <v>0.722048943495376</v>
      </c>
      <c r="E1729" s="0" t="str">
        <f aca="false">IF(OR(AND($B$9="superior",D1729&gt;$B$10),AND($B$9="inferior",D1729&lt;-$B$10)),"Rechazar H0","No rechazar H0")</f>
        <v>No rechazar H0</v>
      </c>
      <c r="F1729" s="0" t="str">
        <f aca="false">IF(AND(B1729="H0 verdadera",E1729="Rechazar H0"),"Error tipo I",IF(AND(B1729="Ha verdadera",E1729="No rechazar H0"),"Error tipo II","Decisión correcta"))</f>
        <v>Decisión correcta</v>
      </c>
    </row>
    <row r="1730" customFormat="false" ht="15" hidden="false" customHeight="false" outlineLevel="0" collapsed="false">
      <c r="A1730" s="0" t="n">
        <v>1709</v>
      </c>
      <c r="B1730" s="0" t="s">
        <v>86</v>
      </c>
      <c r="C1730" s="17" t="n">
        <v>-0.396655095964201</v>
      </c>
      <c r="D1730" s="17" t="n">
        <f aca="false">(C1730-$B$4)/($B$6/SQRT($B$7))</f>
        <v>-1.98327547982101</v>
      </c>
      <c r="E1730" s="0" t="str">
        <f aca="false">IF(OR(AND($B$9="superior",D1730&gt;$B$10),AND($B$9="inferior",D1730&lt;-$B$10)),"Rechazar H0","No rechazar H0")</f>
        <v>Rechazar H0</v>
      </c>
      <c r="F1730" s="0" t="str">
        <f aca="false">IF(AND(B1730="H0 verdadera",E1730="Rechazar H0"),"Error tipo I",IF(AND(B1730="Ha verdadera",E1730="No rechazar H0"),"Error tipo II","Decisión correcta"))</f>
        <v>Decisión correcta</v>
      </c>
    </row>
    <row r="1731" customFormat="false" ht="15" hidden="false" customHeight="false" outlineLevel="0" collapsed="false">
      <c r="A1731" s="0" t="n">
        <v>1710</v>
      </c>
      <c r="B1731" s="0" t="s">
        <v>86</v>
      </c>
      <c r="C1731" s="17" t="n">
        <v>-0.459864939737488</v>
      </c>
      <c r="D1731" s="17" t="n">
        <f aca="false">(C1731-$B$4)/($B$6/SQRT($B$7))</f>
        <v>-2.29932469868744</v>
      </c>
      <c r="E1731" s="0" t="str">
        <f aca="false">IF(OR(AND($B$9="superior",D1731&gt;$B$10),AND($B$9="inferior",D1731&lt;-$B$10)),"Rechazar H0","No rechazar H0")</f>
        <v>Rechazar H0</v>
      </c>
      <c r="F1731" s="0" t="str">
        <f aca="false">IF(AND(B1731="H0 verdadera",E1731="Rechazar H0"),"Error tipo I",IF(AND(B1731="Ha verdadera",E1731="No rechazar H0"),"Error tipo II","Decisión correcta"))</f>
        <v>Decisión correcta</v>
      </c>
    </row>
    <row r="1732" customFormat="false" ht="15" hidden="false" customHeight="false" outlineLevel="0" collapsed="false">
      <c r="A1732" s="0" t="n">
        <v>1711</v>
      </c>
      <c r="B1732" s="0" t="s">
        <v>85</v>
      </c>
      <c r="C1732" s="17" t="n">
        <v>0.372744465617027</v>
      </c>
      <c r="D1732" s="17" t="n">
        <f aca="false">(C1732-$B$4)/($B$6/SQRT($B$7))</f>
        <v>1.86372232808513</v>
      </c>
      <c r="E1732" s="0" t="str">
        <f aca="false">IF(OR(AND($B$9="superior",D1732&gt;$B$10),AND($B$9="inferior",D1732&lt;-$B$10)),"Rechazar H0","No rechazar H0")</f>
        <v>No rechazar H0</v>
      </c>
      <c r="F1732" s="0" t="str">
        <f aca="false">IF(AND(B1732="H0 verdadera",E1732="Rechazar H0"),"Error tipo I",IF(AND(B1732="Ha verdadera",E1732="No rechazar H0"),"Error tipo II","Decisión correcta"))</f>
        <v>Decisión correcta</v>
      </c>
    </row>
    <row r="1733" customFormat="false" ht="15" hidden="false" customHeight="false" outlineLevel="0" collapsed="false">
      <c r="A1733" s="0" t="n">
        <v>1712</v>
      </c>
      <c r="B1733" s="0" t="s">
        <v>85</v>
      </c>
      <c r="C1733" s="17" t="n">
        <v>-0.332642724718329</v>
      </c>
      <c r="D1733" s="17" t="n">
        <f aca="false">(C1733-$B$4)/($B$6/SQRT($B$7))</f>
        <v>-1.66321362359164</v>
      </c>
      <c r="E1733" s="0" t="str">
        <f aca="false">IF(OR(AND($B$9="superior",D1733&gt;$B$10),AND($B$9="inferior",D1733&lt;-$B$10)),"Rechazar H0","No rechazar H0")</f>
        <v>Rechazar H0</v>
      </c>
      <c r="F1733" s="0" t="str">
        <f aca="false">IF(AND(B1733="H0 verdadera",E1733="Rechazar H0"),"Error tipo I",IF(AND(B1733="Ha verdadera",E1733="No rechazar H0"),"Error tipo II","Decisión correcta"))</f>
        <v>Error tipo I</v>
      </c>
    </row>
    <row r="1734" customFormat="false" ht="15" hidden="false" customHeight="false" outlineLevel="0" collapsed="false">
      <c r="A1734" s="0" t="n">
        <v>1713</v>
      </c>
      <c r="B1734" s="0" t="s">
        <v>86</v>
      </c>
      <c r="C1734" s="17" t="n">
        <v>-0.244707475613143</v>
      </c>
      <c r="D1734" s="17" t="n">
        <f aca="false">(C1734-$B$4)/($B$6/SQRT($B$7))</f>
        <v>-1.22353737806572</v>
      </c>
      <c r="E1734" s="0" t="str">
        <f aca="false">IF(OR(AND($B$9="superior",D1734&gt;$B$10),AND($B$9="inferior",D1734&lt;-$B$10)),"Rechazar H0","No rechazar H0")</f>
        <v>No rechazar H0</v>
      </c>
      <c r="F1734" s="0" t="str">
        <f aca="false">IF(AND(B1734="H0 verdadera",E1734="Rechazar H0"),"Error tipo I",IF(AND(B1734="Ha verdadera",E1734="No rechazar H0"),"Error tipo II","Decisión correcta"))</f>
        <v>Error tipo II</v>
      </c>
    </row>
    <row r="1735" customFormat="false" ht="15" hidden="false" customHeight="false" outlineLevel="0" collapsed="false">
      <c r="A1735" s="0" t="n">
        <v>1714</v>
      </c>
      <c r="B1735" s="0" t="s">
        <v>85</v>
      </c>
      <c r="C1735" s="17" t="n">
        <v>0.175907519851295</v>
      </c>
      <c r="D1735" s="17" t="n">
        <f aca="false">(C1735-$B$4)/($B$6/SQRT($B$7))</f>
        <v>0.879537599256477</v>
      </c>
      <c r="E1735" s="0" t="str">
        <f aca="false">IF(OR(AND($B$9="superior",D1735&gt;$B$10),AND($B$9="inferior",D1735&lt;-$B$10)),"Rechazar H0","No rechazar H0")</f>
        <v>No rechazar H0</v>
      </c>
      <c r="F1735" s="0" t="str">
        <f aca="false">IF(AND(B1735="H0 verdadera",E1735="Rechazar H0"),"Error tipo I",IF(AND(B1735="Ha verdadera",E1735="No rechazar H0"),"Error tipo II","Decisión correcta"))</f>
        <v>Decisión correcta</v>
      </c>
    </row>
    <row r="1736" customFormat="false" ht="15" hidden="false" customHeight="false" outlineLevel="0" collapsed="false">
      <c r="A1736" s="0" t="n">
        <v>1715</v>
      </c>
      <c r="B1736" s="0" t="s">
        <v>86</v>
      </c>
      <c r="C1736" s="17" t="n">
        <v>-0.147861061585512</v>
      </c>
      <c r="D1736" s="17" t="n">
        <f aca="false">(C1736-$B$4)/($B$6/SQRT($B$7))</f>
        <v>-0.739305307927559</v>
      </c>
      <c r="E1736" s="0" t="str">
        <f aca="false">IF(OR(AND($B$9="superior",D1736&gt;$B$10),AND($B$9="inferior",D1736&lt;-$B$10)),"Rechazar H0","No rechazar H0")</f>
        <v>No rechazar H0</v>
      </c>
      <c r="F1736" s="0" t="str">
        <f aca="false">IF(AND(B1736="H0 verdadera",E1736="Rechazar H0"),"Error tipo I",IF(AND(B1736="Ha verdadera",E1736="No rechazar H0"),"Error tipo II","Decisión correcta"))</f>
        <v>Error tipo II</v>
      </c>
    </row>
    <row r="1737" customFormat="false" ht="15" hidden="false" customHeight="false" outlineLevel="0" collapsed="false">
      <c r="A1737" s="0" t="n">
        <v>1716</v>
      </c>
      <c r="B1737" s="0" t="s">
        <v>86</v>
      </c>
      <c r="C1737" s="17" t="n">
        <v>-0.535370522169511</v>
      </c>
      <c r="D1737" s="17" t="n">
        <f aca="false">(C1737-$B$4)/($B$6/SQRT($B$7))</f>
        <v>-2.67685261084755</v>
      </c>
      <c r="E1737" s="0" t="str">
        <f aca="false">IF(OR(AND($B$9="superior",D1737&gt;$B$10),AND($B$9="inferior",D1737&lt;-$B$10)),"Rechazar H0","No rechazar H0")</f>
        <v>Rechazar H0</v>
      </c>
      <c r="F1737" s="0" t="str">
        <f aca="false">IF(AND(B1737="H0 verdadera",E1737="Rechazar H0"),"Error tipo I",IF(AND(B1737="Ha verdadera",E1737="No rechazar H0"),"Error tipo II","Decisión correcta"))</f>
        <v>Decisión correcta</v>
      </c>
    </row>
    <row r="1738" customFormat="false" ht="15" hidden="false" customHeight="false" outlineLevel="0" collapsed="false">
      <c r="A1738" s="0" t="n">
        <v>1717</v>
      </c>
      <c r="B1738" s="0" t="s">
        <v>86</v>
      </c>
      <c r="C1738" s="17" t="n">
        <v>-0.0272962840298735</v>
      </c>
      <c r="D1738" s="17" t="n">
        <f aca="false">(C1738-$B$4)/($B$6/SQRT($B$7))</f>
        <v>-0.136481420149368</v>
      </c>
      <c r="E1738" s="0" t="str">
        <f aca="false">IF(OR(AND($B$9="superior",D1738&gt;$B$10),AND($B$9="inferior",D1738&lt;-$B$10)),"Rechazar H0","No rechazar H0")</f>
        <v>No rechazar H0</v>
      </c>
      <c r="F1738" s="0" t="str">
        <f aca="false">IF(AND(B1738="H0 verdadera",E1738="Rechazar H0"),"Error tipo I",IF(AND(B1738="Ha verdadera",E1738="No rechazar H0"),"Error tipo II","Decisión correcta"))</f>
        <v>Error tipo II</v>
      </c>
    </row>
    <row r="1739" customFormat="false" ht="15" hidden="false" customHeight="false" outlineLevel="0" collapsed="false">
      <c r="A1739" s="0" t="n">
        <v>1718</v>
      </c>
      <c r="B1739" s="0" t="s">
        <v>86</v>
      </c>
      <c r="C1739" s="17" t="n">
        <v>-0.344896056998254</v>
      </c>
      <c r="D1739" s="17" t="n">
        <f aca="false">(C1739-$B$4)/($B$6/SQRT($B$7))</f>
        <v>-1.72448028499127</v>
      </c>
      <c r="E1739" s="0" t="str">
        <f aca="false">IF(OR(AND($B$9="superior",D1739&gt;$B$10),AND($B$9="inferior",D1739&lt;-$B$10)),"Rechazar H0","No rechazar H0")</f>
        <v>Rechazar H0</v>
      </c>
      <c r="F1739" s="0" t="str">
        <f aca="false">IF(AND(B1739="H0 verdadera",E1739="Rechazar H0"),"Error tipo I",IF(AND(B1739="Ha verdadera",E1739="No rechazar H0"),"Error tipo II","Decisión correcta"))</f>
        <v>Decisión correcta</v>
      </c>
    </row>
    <row r="1740" customFormat="false" ht="15" hidden="false" customHeight="false" outlineLevel="0" collapsed="false">
      <c r="A1740" s="0" t="n">
        <v>1719</v>
      </c>
      <c r="B1740" s="0" t="s">
        <v>85</v>
      </c>
      <c r="C1740" s="17" t="n">
        <v>0.191537937422846</v>
      </c>
      <c r="D1740" s="17" t="n">
        <f aca="false">(C1740-$B$4)/($B$6/SQRT($B$7))</f>
        <v>0.957689687114232</v>
      </c>
      <c r="E1740" s="0" t="str">
        <f aca="false">IF(OR(AND($B$9="superior",D1740&gt;$B$10),AND($B$9="inferior",D1740&lt;-$B$10)),"Rechazar H0","No rechazar H0")</f>
        <v>No rechazar H0</v>
      </c>
      <c r="F1740" s="0" t="str">
        <f aca="false">IF(AND(B1740="H0 verdadera",E1740="Rechazar H0"),"Error tipo I",IF(AND(B1740="Ha verdadera",E1740="No rechazar H0"),"Error tipo II","Decisión correcta"))</f>
        <v>Decisión correcta</v>
      </c>
    </row>
    <row r="1741" customFormat="false" ht="15" hidden="false" customHeight="false" outlineLevel="0" collapsed="false">
      <c r="A1741" s="0" t="n">
        <v>1720</v>
      </c>
      <c r="B1741" s="0" t="s">
        <v>85</v>
      </c>
      <c r="C1741" s="17" t="n">
        <v>0.190022897033827</v>
      </c>
      <c r="D1741" s="17" t="n">
        <f aca="false">(C1741-$B$4)/($B$6/SQRT($B$7))</f>
        <v>0.950114485169133</v>
      </c>
      <c r="E1741" s="0" t="str">
        <f aca="false">IF(OR(AND($B$9="superior",D1741&gt;$B$10),AND($B$9="inferior",D1741&lt;-$B$10)),"Rechazar H0","No rechazar H0")</f>
        <v>No rechazar H0</v>
      </c>
      <c r="F1741" s="0" t="str">
        <f aca="false">IF(AND(B1741="H0 verdadera",E1741="Rechazar H0"),"Error tipo I",IF(AND(B1741="Ha verdadera",E1741="No rechazar H0"),"Error tipo II","Decisión correcta"))</f>
        <v>Decisión correcta</v>
      </c>
    </row>
    <row r="1742" customFormat="false" ht="15" hidden="false" customHeight="false" outlineLevel="0" collapsed="false">
      <c r="A1742" s="0" t="n">
        <v>1721</v>
      </c>
      <c r="B1742" s="0" t="s">
        <v>86</v>
      </c>
      <c r="C1742" s="17" t="n">
        <v>-0.337612208899405</v>
      </c>
      <c r="D1742" s="17" t="n">
        <f aca="false">(C1742-$B$4)/($B$6/SQRT($B$7))</f>
        <v>-1.68806104449703</v>
      </c>
      <c r="E1742" s="0" t="str">
        <f aca="false">IF(OR(AND($B$9="superior",D1742&gt;$B$10),AND($B$9="inferior",D1742&lt;-$B$10)),"Rechazar H0","No rechazar H0")</f>
        <v>Rechazar H0</v>
      </c>
      <c r="F1742" s="0" t="str">
        <f aca="false">IF(AND(B1742="H0 verdadera",E1742="Rechazar H0"),"Error tipo I",IF(AND(B1742="Ha verdadera",E1742="No rechazar H0"),"Error tipo II","Decisión correcta"))</f>
        <v>Decisión correcta</v>
      </c>
    </row>
    <row r="1743" customFormat="false" ht="15" hidden="false" customHeight="false" outlineLevel="0" collapsed="false">
      <c r="A1743" s="0" t="n">
        <v>1722</v>
      </c>
      <c r="B1743" s="0" t="s">
        <v>86</v>
      </c>
      <c r="C1743" s="17" t="n">
        <v>-0.51542374846358</v>
      </c>
      <c r="D1743" s="17" t="n">
        <f aca="false">(C1743-$B$4)/($B$6/SQRT($B$7))</f>
        <v>-2.5771187423179</v>
      </c>
      <c r="E1743" s="0" t="str">
        <f aca="false">IF(OR(AND($B$9="superior",D1743&gt;$B$10),AND($B$9="inferior",D1743&lt;-$B$10)),"Rechazar H0","No rechazar H0")</f>
        <v>Rechazar H0</v>
      </c>
      <c r="F1743" s="0" t="str">
        <f aca="false">IF(AND(B1743="H0 verdadera",E1743="Rechazar H0"),"Error tipo I",IF(AND(B1743="Ha verdadera",E1743="No rechazar H0"),"Error tipo II","Decisión correcta"))</f>
        <v>Decisión correcta</v>
      </c>
    </row>
    <row r="1744" customFormat="false" ht="15" hidden="false" customHeight="false" outlineLevel="0" collapsed="false">
      <c r="A1744" s="0" t="n">
        <v>1723</v>
      </c>
      <c r="B1744" s="0" t="s">
        <v>86</v>
      </c>
      <c r="C1744" s="17" t="n">
        <v>-0.390075206837677</v>
      </c>
      <c r="D1744" s="17" t="n">
        <f aca="false">(C1744-$B$4)/($B$6/SQRT($B$7))</f>
        <v>-1.95037603418838</v>
      </c>
      <c r="E1744" s="0" t="str">
        <f aca="false">IF(OR(AND($B$9="superior",D1744&gt;$B$10),AND($B$9="inferior",D1744&lt;-$B$10)),"Rechazar H0","No rechazar H0")</f>
        <v>Rechazar H0</v>
      </c>
      <c r="F1744" s="0" t="str">
        <f aca="false">IF(AND(B1744="H0 verdadera",E1744="Rechazar H0"),"Error tipo I",IF(AND(B1744="Ha verdadera",E1744="No rechazar H0"),"Error tipo II","Decisión correcta"))</f>
        <v>Decisión correcta</v>
      </c>
    </row>
    <row r="1745" customFormat="false" ht="15" hidden="false" customHeight="false" outlineLevel="0" collapsed="false">
      <c r="A1745" s="0" t="n">
        <v>1724</v>
      </c>
      <c r="B1745" s="0" t="s">
        <v>85</v>
      </c>
      <c r="C1745" s="17" t="n">
        <v>-0.0406723463202328</v>
      </c>
      <c r="D1745" s="17" t="n">
        <f aca="false">(C1745-$B$4)/($B$6/SQRT($B$7))</f>
        <v>-0.203361731601164</v>
      </c>
      <c r="E1745" s="0" t="str">
        <f aca="false">IF(OR(AND($B$9="superior",D1745&gt;$B$10),AND($B$9="inferior",D1745&lt;-$B$10)),"Rechazar H0","No rechazar H0")</f>
        <v>No rechazar H0</v>
      </c>
      <c r="F1745" s="0" t="str">
        <f aca="false">IF(AND(B1745="H0 verdadera",E1745="Rechazar H0"),"Error tipo I",IF(AND(B1745="Ha verdadera",E1745="No rechazar H0"),"Error tipo II","Decisión correcta"))</f>
        <v>Decisión correcta</v>
      </c>
    </row>
    <row r="1746" customFormat="false" ht="15" hidden="false" customHeight="false" outlineLevel="0" collapsed="false">
      <c r="A1746" s="0" t="n">
        <v>1725</v>
      </c>
      <c r="B1746" s="0" t="s">
        <v>85</v>
      </c>
      <c r="C1746" s="17" t="n">
        <v>0.154448644508333</v>
      </c>
      <c r="D1746" s="17" t="n">
        <f aca="false">(C1746-$B$4)/($B$6/SQRT($B$7))</f>
        <v>0.772243222541665</v>
      </c>
      <c r="E1746" s="0" t="str">
        <f aca="false">IF(OR(AND($B$9="superior",D1746&gt;$B$10),AND($B$9="inferior",D1746&lt;-$B$10)),"Rechazar H0","No rechazar H0")</f>
        <v>No rechazar H0</v>
      </c>
      <c r="F1746" s="0" t="str">
        <f aca="false">IF(AND(B1746="H0 verdadera",E1746="Rechazar H0"),"Error tipo I",IF(AND(B1746="Ha verdadera",E1746="No rechazar H0"),"Error tipo II","Decisión correcta"))</f>
        <v>Decisión correcta</v>
      </c>
    </row>
    <row r="1747" customFormat="false" ht="15" hidden="false" customHeight="false" outlineLevel="0" collapsed="false">
      <c r="A1747" s="0" t="n">
        <v>1726</v>
      </c>
      <c r="B1747" s="0" t="s">
        <v>86</v>
      </c>
      <c r="C1747" s="17" t="n">
        <v>-0.173204248420564</v>
      </c>
      <c r="D1747" s="17" t="n">
        <f aca="false">(C1747-$B$4)/($B$6/SQRT($B$7))</f>
        <v>-0.86602124210282</v>
      </c>
      <c r="E1747" s="0" t="str">
        <f aca="false">IF(OR(AND($B$9="superior",D1747&gt;$B$10),AND($B$9="inferior",D1747&lt;-$B$10)),"Rechazar H0","No rechazar H0")</f>
        <v>No rechazar H0</v>
      </c>
      <c r="F1747" s="0" t="str">
        <f aca="false">IF(AND(B1747="H0 verdadera",E1747="Rechazar H0"),"Error tipo I",IF(AND(B1747="Ha verdadera",E1747="No rechazar H0"),"Error tipo II","Decisión correcta"))</f>
        <v>Error tipo II</v>
      </c>
    </row>
    <row r="1748" customFormat="false" ht="15" hidden="false" customHeight="false" outlineLevel="0" collapsed="false">
      <c r="A1748" s="0" t="n">
        <v>1727</v>
      </c>
      <c r="B1748" s="0" t="s">
        <v>86</v>
      </c>
      <c r="C1748" s="17" t="n">
        <v>-0.494783815845837</v>
      </c>
      <c r="D1748" s="17" t="n">
        <f aca="false">(C1748-$B$4)/($B$6/SQRT($B$7))</f>
        <v>-2.47391907922919</v>
      </c>
      <c r="E1748" s="0" t="str">
        <f aca="false">IF(OR(AND($B$9="superior",D1748&gt;$B$10),AND($B$9="inferior",D1748&lt;-$B$10)),"Rechazar H0","No rechazar H0")</f>
        <v>Rechazar H0</v>
      </c>
      <c r="F1748" s="0" t="str">
        <f aca="false">IF(AND(B1748="H0 verdadera",E1748="Rechazar H0"),"Error tipo I",IF(AND(B1748="Ha verdadera",E1748="No rechazar H0"),"Error tipo II","Decisión correcta"))</f>
        <v>Decisión correcta</v>
      </c>
    </row>
    <row r="1749" customFormat="false" ht="15" hidden="false" customHeight="false" outlineLevel="0" collapsed="false">
      <c r="A1749" s="0" t="n">
        <v>1728</v>
      </c>
      <c r="B1749" s="0" t="s">
        <v>85</v>
      </c>
      <c r="C1749" s="17" t="n">
        <v>-0.0203177625402271</v>
      </c>
      <c r="D1749" s="17" t="n">
        <f aca="false">(C1749-$B$4)/($B$6/SQRT($B$7))</f>
        <v>-0.101588812701135</v>
      </c>
      <c r="E1749" s="0" t="str">
        <f aca="false">IF(OR(AND($B$9="superior",D1749&gt;$B$10),AND($B$9="inferior",D1749&lt;-$B$10)),"Rechazar H0","No rechazar H0")</f>
        <v>No rechazar H0</v>
      </c>
      <c r="F1749" s="0" t="str">
        <f aca="false">IF(AND(B1749="H0 verdadera",E1749="Rechazar H0"),"Error tipo I",IF(AND(B1749="Ha verdadera",E1749="No rechazar H0"),"Error tipo II","Decisión correcta"))</f>
        <v>Decisión correcta</v>
      </c>
    </row>
    <row r="1750" customFormat="false" ht="15" hidden="false" customHeight="false" outlineLevel="0" collapsed="false">
      <c r="A1750" s="0" t="n">
        <v>1729</v>
      </c>
      <c r="B1750" s="0" t="s">
        <v>85</v>
      </c>
      <c r="C1750" s="17" t="n">
        <v>0.069694261469903</v>
      </c>
      <c r="D1750" s="17" t="n">
        <f aca="false">(C1750-$B$4)/($B$6/SQRT($B$7))</f>
        <v>0.348471307349515</v>
      </c>
      <c r="E1750" s="0" t="str">
        <f aca="false">IF(OR(AND($B$9="superior",D1750&gt;$B$10),AND($B$9="inferior",D1750&lt;-$B$10)),"Rechazar H0","No rechazar H0")</f>
        <v>No rechazar H0</v>
      </c>
      <c r="F1750" s="0" t="str">
        <f aca="false">IF(AND(B1750="H0 verdadera",E1750="Rechazar H0"),"Error tipo I",IF(AND(B1750="Ha verdadera",E1750="No rechazar H0"),"Error tipo II","Decisión correcta"))</f>
        <v>Decisión correcta</v>
      </c>
    </row>
    <row r="1751" customFormat="false" ht="15" hidden="false" customHeight="false" outlineLevel="0" collapsed="false">
      <c r="A1751" s="0" t="n">
        <v>1730</v>
      </c>
      <c r="B1751" s="0" t="s">
        <v>86</v>
      </c>
      <c r="C1751" s="17" t="n">
        <v>-0.489220875317243</v>
      </c>
      <c r="D1751" s="17" t="n">
        <f aca="false">(C1751-$B$4)/($B$6/SQRT($B$7))</f>
        <v>-2.44610437658621</v>
      </c>
      <c r="E1751" s="0" t="str">
        <f aca="false">IF(OR(AND($B$9="superior",D1751&gt;$B$10),AND($B$9="inferior",D1751&lt;-$B$10)),"Rechazar H0","No rechazar H0")</f>
        <v>Rechazar H0</v>
      </c>
      <c r="F1751" s="0" t="str">
        <f aca="false">IF(AND(B1751="H0 verdadera",E1751="Rechazar H0"),"Error tipo I",IF(AND(B1751="Ha verdadera",E1751="No rechazar H0"),"Error tipo II","Decisión correcta"))</f>
        <v>Decisión correcta</v>
      </c>
    </row>
    <row r="1752" customFormat="false" ht="15" hidden="false" customHeight="false" outlineLevel="0" collapsed="false">
      <c r="A1752" s="0" t="n">
        <v>1731</v>
      </c>
      <c r="B1752" s="0" t="s">
        <v>85</v>
      </c>
      <c r="C1752" s="17" t="n">
        <v>0.0304257807125036</v>
      </c>
      <c r="D1752" s="17" t="n">
        <f aca="false">(C1752-$B$4)/($B$6/SQRT($B$7))</f>
        <v>0.152128903562518</v>
      </c>
      <c r="E1752" s="0" t="str">
        <f aca="false">IF(OR(AND($B$9="superior",D1752&gt;$B$10),AND($B$9="inferior",D1752&lt;-$B$10)),"Rechazar H0","No rechazar H0")</f>
        <v>No rechazar H0</v>
      </c>
      <c r="F1752" s="0" t="str">
        <f aca="false">IF(AND(B1752="H0 verdadera",E1752="Rechazar H0"),"Error tipo I",IF(AND(B1752="Ha verdadera",E1752="No rechazar H0"),"Error tipo II","Decisión correcta"))</f>
        <v>Decisión correcta</v>
      </c>
    </row>
    <row r="1753" customFormat="false" ht="15" hidden="false" customHeight="false" outlineLevel="0" collapsed="false">
      <c r="A1753" s="0" t="n">
        <v>1732</v>
      </c>
      <c r="B1753" s="0" t="s">
        <v>85</v>
      </c>
      <c r="C1753" s="17" t="n">
        <v>0.0653972411707487</v>
      </c>
      <c r="D1753" s="17" t="n">
        <f aca="false">(C1753-$B$4)/($B$6/SQRT($B$7))</f>
        <v>0.326986205853743</v>
      </c>
      <c r="E1753" s="0" t="str">
        <f aca="false">IF(OR(AND($B$9="superior",D1753&gt;$B$10),AND($B$9="inferior",D1753&lt;-$B$10)),"Rechazar H0","No rechazar H0")</f>
        <v>No rechazar H0</v>
      </c>
      <c r="F1753" s="0" t="str">
        <f aca="false">IF(AND(B1753="H0 verdadera",E1753="Rechazar H0"),"Error tipo I",IF(AND(B1753="Ha verdadera",E1753="No rechazar H0"),"Error tipo II","Decisión correcta"))</f>
        <v>Decisión correcta</v>
      </c>
    </row>
    <row r="1754" customFormat="false" ht="15" hidden="false" customHeight="false" outlineLevel="0" collapsed="false">
      <c r="A1754" s="0" t="n">
        <v>1733</v>
      </c>
      <c r="B1754" s="0" t="s">
        <v>85</v>
      </c>
      <c r="C1754" s="17" t="n">
        <v>0.0581717111253323</v>
      </c>
      <c r="D1754" s="17" t="n">
        <f aca="false">(C1754-$B$4)/($B$6/SQRT($B$7))</f>
        <v>0.290858555626662</v>
      </c>
      <c r="E1754" s="0" t="str">
        <f aca="false">IF(OR(AND($B$9="superior",D1754&gt;$B$10),AND($B$9="inferior",D1754&lt;-$B$10)),"Rechazar H0","No rechazar H0")</f>
        <v>No rechazar H0</v>
      </c>
      <c r="F1754" s="0" t="str">
        <f aca="false">IF(AND(B1754="H0 verdadera",E1754="Rechazar H0"),"Error tipo I",IF(AND(B1754="Ha verdadera",E1754="No rechazar H0"),"Error tipo II","Decisión correcta"))</f>
        <v>Decisión correcta</v>
      </c>
    </row>
    <row r="1755" customFormat="false" ht="15" hidden="false" customHeight="false" outlineLevel="0" collapsed="false">
      <c r="A1755" s="0" t="n">
        <v>1734</v>
      </c>
      <c r="B1755" s="0" t="s">
        <v>86</v>
      </c>
      <c r="C1755" s="17" t="n">
        <v>-0.298452264980926</v>
      </c>
      <c r="D1755" s="17" t="n">
        <f aca="false">(C1755-$B$4)/($B$6/SQRT($B$7))</f>
        <v>-1.49226132490463</v>
      </c>
      <c r="E1755" s="0" t="str">
        <f aca="false">IF(OR(AND($B$9="superior",D1755&gt;$B$10),AND($B$9="inferior",D1755&lt;-$B$10)),"Rechazar H0","No rechazar H0")</f>
        <v>No rechazar H0</v>
      </c>
      <c r="F1755" s="0" t="str">
        <f aca="false">IF(AND(B1755="H0 verdadera",E1755="Rechazar H0"),"Error tipo I",IF(AND(B1755="Ha verdadera",E1755="No rechazar H0"),"Error tipo II","Decisión correcta"))</f>
        <v>Error tipo II</v>
      </c>
    </row>
    <row r="1756" customFormat="false" ht="15" hidden="false" customHeight="false" outlineLevel="0" collapsed="false">
      <c r="A1756" s="0" t="n">
        <v>1735</v>
      </c>
      <c r="B1756" s="0" t="s">
        <v>85</v>
      </c>
      <c r="C1756" s="17" t="n">
        <v>0.217375951627078</v>
      </c>
      <c r="D1756" s="17" t="n">
        <f aca="false">(C1756-$B$4)/($B$6/SQRT($B$7))</f>
        <v>1.08687975813539</v>
      </c>
      <c r="E1756" s="0" t="str">
        <f aca="false">IF(OR(AND($B$9="superior",D1756&gt;$B$10),AND($B$9="inferior",D1756&lt;-$B$10)),"Rechazar H0","No rechazar H0")</f>
        <v>No rechazar H0</v>
      </c>
      <c r="F1756" s="0" t="str">
        <f aca="false">IF(AND(B1756="H0 verdadera",E1756="Rechazar H0"),"Error tipo I",IF(AND(B1756="Ha verdadera",E1756="No rechazar H0"),"Error tipo II","Decisión correcta"))</f>
        <v>Decisión correcta</v>
      </c>
    </row>
    <row r="1757" customFormat="false" ht="15" hidden="false" customHeight="false" outlineLevel="0" collapsed="false">
      <c r="A1757" s="0" t="n">
        <v>1736</v>
      </c>
      <c r="B1757" s="0" t="s">
        <v>86</v>
      </c>
      <c r="C1757" s="17" t="n">
        <v>-0.0746422979143501</v>
      </c>
      <c r="D1757" s="17" t="n">
        <f aca="false">(C1757-$B$4)/($B$6/SQRT($B$7))</f>
        <v>-0.373211489571751</v>
      </c>
      <c r="E1757" s="0" t="str">
        <f aca="false">IF(OR(AND($B$9="superior",D1757&gt;$B$10),AND($B$9="inferior",D1757&lt;-$B$10)),"Rechazar H0","No rechazar H0")</f>
        <v>No rechazar H0</v>
      </c>
      <c r="F1757" s="0" t="str">
        <f aca="false">IF(AND(B1757="H0 verdadera",E1757="Rechazar H0"),"Error tipo I",IF(AND(B1757="Ha verdadera",E1757="No rechazar H0"),"Error tipo II","Decisión correcta"))</f>
        <v>Error tipo II</v>
      </c>
    </row>
    <row r="1758" customFormat="false" ht="15" hidden="false" customHeight="false" outlineLevel="0" collapsed="false">
      <c r="A1758" s="0" t="n">
        <v>1737</v>
      </c>
      <c r="B1758" s="0" t="s">
        <v>85</v>
      </c>
      <c r="C1758" s="17" t="n">
        <v>-0.0472750573730261</v>
      </c>
      <c r="D1758" s="17" t="n">
        <f aca="false">(C1758-$B$4)/($B$6/SQRT($B$7))</f>
        <v>-0.23637528686513</v>
      </c>
      <c r="E1758" s="0" t="str">
        <f aca="false">IF(OR(AND($B$9="superior",D1758&gt;$B$10),AND($B$9="inferior",D1758&lt;-$B$10)),"Rechazar H0","No rechazar H0")</f>
        <v>No rechazar H0</v>
      </c>
      <c r="F1758" s="0" t="str">
        <f aca="false">IF(AND(B1758="H0 verdadera",E1758="Rechazar H0"),"Error tipo I",IF(AND(B1758="Ha verdadera",E1758="No rechazar H0"),"Error tipo II","Decisión correcta"))</f>
        <v>Decisión correcta</v>
      </c>
    </row>
    <row r="1759" customFormat="false" ht="15" hidden="false" customHeight="false" outlineLevel="0" collapsed="false">
      <c r="A1759" s="0" t="n">
        <v>1738</v>
      </c>
      <c r="B1759" s="0" t="s">
        <v>85</v>
      </c>
      <c r="C1759" s="17" t="n">
        <v>-0.00650587110930959</v>
      </c>
      <c r="D1759" s="17" t="n">
        <f aca="false">(C1759-$B$4)/($B$6/SQRT($B$7))</f>
        <v>-0.032529355546548</v>
      </c>
      <c r="E1759" s="0" t="str">
        <f aca="false">IF(OR(AND($B$9="superior",D1759&gt;$B$10),AND($B$9="inferior",D1759&lt;-$B$10)),"Rechazar H0","No rechazar H0")</f>
        <v>No rechazar H0</v>
      </c>
      <c r="F1759" s="0" t="str">
        <f aca="false">IF(AND(B1759="H0 verdadera",E1759="Rechazar H0"),"Error tipo I",IF(AND(B1759="Ha verdadera",E1759="No rechazar H0"),"Error tipo II","Decisión correcta"))</f>
        <v>Decisión correcta</v>
      </c>
    </row>
    <row r="1760" customFormat="false" ht="15" hidden="false" customHeight="false" outlineLevel="0" collapsed="false">
      <c r="A1760" s="0" t="n">
        <v>1739</v>
      </c>
      <c r="B1760" s="0" t="s">
        <v>85</v>
      </c>
      <c r="C1760" s="17" t="n">
        <v>0.086502422715846</v>
      </c>
      <c r="D1760" s="17" t="n">
        <f aca="false">(C1760-$B$4)/($B$6/SQRT($B$7))</f>
        <v>0.43251211357923</v>
      </c>
      <c r="E1760" s="0" t="str">
        <f aca="false">IF(OR(AND($B$9="superior",D1760&gt;$B$10),AND($B$9="inferior",D1760&lt;-$B$10)),"Rechazar H0","No rechazar H0")</f>
        <v>No rechazar H0</v>
      </c>
      <c r="F1760" s="0" t="str">
        <f aca="false">IF(AND(B1760="H0 verdadera",E1760="Rechazar H0"),"Error tipo I",IF(AND(B1760="Ha verdadera",E1760="No rechazar H0"),"Error tipo II","Decisión correcta"))</f>
        <v>Decisión correcta</v>
      </c>
    </row>
    <row r="1761" customFormat="false" ht="15" hidden="false" customHeight="false" outlineLevel="0" collapsed="false">
      <c r="A1761" s="0" t="n">
        <v>1740</v>
      </c>
      <c r="B1761" s="0" t="s">
        <v>85</v>
      </c>
      <c r="C1761" s="17" t="n">
        <v>-0.0453809098076211</v>
      </c>
      <c r="D1761" s="17" t="n">
        <f aca="false">(C1761-$B$4)/($B$6/SQRT($B$7))</f>
        <v>-0.226904549038105</v>
      </c>
      <c r="E1761" s="0" t="str">
        <f aca="false">IF(OR(AND($B$9="superior",D1761&gt;$B$10),AND($B$9="inferior",D1761&lt;-$B$10)),"Rechazar H0","No rechazar H0")</f>
        <v>No rechazar H0</v>
      </c>
      <c r="F1761" s="0" t="str">
        <f aca="false">IF(AND(B1761="H0 verdadera",E1761="Rechazar H0"),"Error tipo I",IF(AND(B1761="Ha verdadera",E1761="No rechazar H0"),"Error tipo II","Decisión correcta"))</f>
        <v>Decisión correcta</v>
      </c>
    </row>
    <row r="1762" customFormat="false" ht="15" hidden="false" customHeight="false" outlineLevel="0" collapsed="false">
      <c r="A1762" s="0" t="n">
        <v>1741</v>
      </c>
      <c r="B1762" s="0" t="s">
        <v>86</v>
      </c>
      <c r="C1762" s="17" t="n">
        <v>-0.125306408146787</v>
      </c>
      <c r="D1762" s="17" t="n">
        <f aca="false">(C1762-$B$4)/($B$6/SQRT($B$7))</f>
        <v>-0.626532040733933</v>
      </c>
      <c r="E1762" s="0" t="str">
        <f aca="false">IF(OR(AND($B$9="superior",D1762&gt;$B$10),AND($B$9="inferior",D1762&lt;-$B$10)),"Rechazar H0","No rechazar H0")</f>
        <v>No rechazar H0</v>
      </c>
      <c r="F1762" s="0" t="str">
        <f aca="false">IF(AND(B1762="H0 verdadera",E1762="Rechazar H0"),"Error tipo I",IF(AND(B1762="Ha verdadera",E1762="No rechazar H0"),"Error tipo II","Decisión correcta"))</f>
        <v>Error tipo II</v>
      </c>
    </row>
    <row r="1763" customFormat="false" ht="15" hidden="false" customHeight="false" outlineLevel="0" collapsed="false">
      <c r="A1763" s="0" t="n">
        <v>1742</v>
      </c>
      <c r="B1763" s="0" t="s">
        <v>86</v>
      </c>
      <c r="C1763" s="17" t="n">
        <v>-0.511966287885563</v>
      </c>
      <c r="D1763" s="17" t="n">
        <f aca="false">(C1763-$B$4)/($B$6/SQRT($B$7))</f>
        <v>-2.55983143942781</v>
      </c>
      <c r="E1763" s="0" t="str">
        <f aca="false">IF(OR(AND($B$9="superior",D1763&gt;$B$10),AND($B$9="inferior",D1763&lt;-$B$10)),"Rechazar H0","No rechazar H0")</f>
        <v>Rechazar H0</v>
      </c>
      <c r="F1763" s="0" t="str">
        <f aca="false">IF(AND(B1763="H0 verdadera",E1763="Rechazar H0"),"Error tipo I",IF(AND(B1763="Ha verdadera",E1763="No rechazar H0"),"Error tipo II","Decisión correcta"))</f>
        <v>Decisión correcta</v>
      </c>
    </row>
    <row r="1764" customFormat="false" ht="15" hidden="false" customHeight="false" outlineLevel="0" collapsed="false">
      <c r="A1764" s="0" t="n">
        <v>1743</v>
      </c>
      <c r="B1764" s="0" t="s">
        <v>86</v>
      </c>
      <c r="C1764" s="17" t="n">
        <v>-0.48927226670178</v>
      </c>
      <c r="D1764" s="17" t="n">
        <f aca="false">(C1764-$B$4)/($B$6/SQRT($B$7))</f>
        <v>-2.4463613335089</v>
      </c>
      <c r="E1764" s="0" t="str">
        <f aca="false">IF(OR(AND($B$9="superior",D1764&gt;$B$10),AND($B$9="inferior",D1764&lt;-$B$10)),"Rechazar H0","No rechazar H0")</f>
        <v>Rechazar H0</v>
      </c>
      <c r="F1764" s="0" t="str">
        <f aca="false">IF(AND(B1764="H0 verdadera",E1764="Rechazar H0"),"Error tipo I",IF(AND(B1764="Ha verdadera",E1764="No rechazar H0"),"Error tipo II","Decisión correcta"))</f>
        <v>Decisión correcta</v>
      </c>
    </row>
    <row r="1765" customFormat="false" ht="15" hidden="false" customHeight="false" outlineLevel="0" collapsed="false">
      <c r="A1765" s="0" t="n">
        <v>1744</v>
      </c>
      <c r="B1765" s="0" t="s">
        <v>86</v>
      </c>
      <c r="C1765" s="17" t="n">
        <v>-0.467374550174328</v>
      </c>
      <c r="D1765" s="17" t="n">
        <f aca="false">(C1765-$B$4)/($B$6/SQRT($B$7))</f>
        <v>-2.33687275087164</v>
      </c>
      <c r="E1765" s="0" t="str">
        <f aca="false">IF(OR(AND($B$9="superior",D1765&gt;$B$10),AND($B$9="inferior",D1765&lt;-$B$10)),"Rechazar H0","No rechazar H0")</f>
        <v>Rechazar H0</v>
      </c>
      <c r="F1765" s="0" t="str">
        <f aca="false">IF(AND(B1765="H0 verdadera",E1765="Rechazar H0"),"Error tipo I",IF(AND(B1765="Ha verdadera",E1765="No rechazar H0"),"Error tipo II","Decisión correcta"))</f>
        <v>Decisión correcta</v>
      </c>
    </row>
    <row r="1766" customFormat="false" ht="15" hidden="false" customHeight="false" outlineLevel="0" collapsed="false">
      <c r="A1766" s="0" t="n">
        <v>1745</v>
      </c>
      <c r="B1766" s="0" t="s">
        <v>85</v>
      </c>
      <c r="C1766" s="17" t="n">
        <v>-0.430268188627464</v>
      </c>
      <c r="D1766" s="17" t="n">
        <f aca="false">(C1766-$B$4)/($B$6/SQRT($B$7))</f>
        <v>-2.15134094313732</v>
      </c>
      <c r="E1766" s="0" t="str">
        <f aca="false">IF(OR(AND($B$9="superior",D1766&gt;$B$10),AND($B$9="inferior",D1766&lt;-$B$10)),"Rechazar H0","No rechazar H0")</f>
        <v>Rechazar H0</v>
      </c>
      <c r="F1766" s="0" t="str">
        <f aca="false">IF(AND(B1766="H0 verdadera",E1766="Rechazar H0"),"Error tipo I",IF(AND(B1766="Ha verdadera",E1766="No rechazar H0"),"Error tipo II","Decisión correcta"))</f>
        <v>Error tipo I</v>
      </c>
    </row>
    <row r="1767" customFormat="false" ht="15" hidden="false" customHeight="false" outlineLevel="0" collapsed="false">
      <c r="A1767" s="0" t="n">
        <v>1746</v>
      </c>
      <c r="B1767" s="0" t="s">
        <v>86</v>
      </c>
      <c r="C1767" s="17" t="n">
        <v>-0.359620351972393</v>
      </c>
      <c r="D1767" s="17" t="n">
        <f aca="false">(C1767-$B$4)/($B$6/SQRT($B$7))</f>
        <v>-1.79810175986197</v>
      </c>
      <c r="E1767" s="0" t="str">
        <f aca="false">IF(OR(AND($B$9="superior",D1767&gt;$B$10),AND($B$9="inferior",D1767&lt;-$B$10)),"Rechazar H0","No rechazar H0")</f>
        <v>Rechazar H0</v>
      </c>
      <c r="F1767" s="0" t="str">
        <f aca="false">IF(AND(B1767="H0 verdadera",E1767="Rechazar H0"),"Error tipo I",IF(AND(B1767="Ha verdadera",E1767="No rechazar H0"),"Error tipo II","Decisión correcta"))</f>
        <v>Decisión correcta</v>
      </c>
    </row>
    <row r="1768" customFormat="false" ht="15" hidden="false" customHeight="false" outlineLevel="0" collapsed="false">
      <c r="A1768" s="0" t="n">
        <v>1747</v>
      </c>
      <c r="B1768" s="0" t="s">
        <v>86</v>
      </c>
      <c r="C1768" s="17" t="n">
        <v>-0.326019110041537</v>
      </c>
      <c r="D1768" s="17" t="n">
        <f aca="false">(C1768-$B$4)/($B$6/SQRT($B$7))</f>
        <v>-1.63009555020769</v>
      </c>
      <c r="E1768" s="0" t="str">
        <f aca="false">IF(OR(AND($B$9="superior",D1768&gt;$B$10),AND($B$9="inferior",D1768&lt;-$B$10)),"Rechazar H0","No rechazar H0")</f>
        <v>No rechazar H0</v>
      </c>
      <c r="F1768" s="0" t="str">
        <f aca="false">IF(AND(B1768="H0 verdadera",E1768="Rechazar H0"),"Error tipo I",IF(AND(B1768="Ha verdadera",E1768="No rechazar H0"),"Error tipo II","Decisión correcta"))</f>
        <v>Error tipo II</v>
      </c>
    </row>
    <row r="1769" customFormat="false" ht="15" hidden="false" customHeight="false" outlineLevel="0" collapsed="false">
      <c r="A1769" s="0" t="n">
        <v>1748</v>
      </c>
      <c r="B1769" s="0" t="s">
        <v>86</v>
      </c>
      <c r="C1769" s="17" t="n">
        <v>-0.6923436830391</v>
      </c>
      <c r="D1769" s="17" t="n">
        <f aca="false">(C1769-$B$4)/($B$6/SQRT($B$7))</f>
        <v>-3.4617184151955</v>
      </c>
      <c r="E1769" s="0" t="str">
        <f aca="false">IF(OR(AND($B$9="superior",D1769&gt;$B$10),AND($B$9="inferior",D1769&lt;-$B$10)),"Rechazar H0","No rechazar H0")</f>
        <v>Rechazar H0</v>
      </c>
      <c r="F1769" s="0" t="str">
        <f aca="false">IF(AND(B1769="H0 verdadera",E1769="Rechazar H0"),"Error tipo I",IF(AND(B1769="Ha verdadera",E1769="No rechazar H0"),"Error tipo II","Decisión correcta"))</f>
        <v>Decisión correcta</v>
      </c>
    </row>
    <row r="1770" customFormat="false" ht="15" hidden="false" customHeight="false" outlineLevel="0" collapsed="false">
      <c r="A1770" s="0" t="n">
        <v>1749</v>
      </c>
      <c r="B1770" s="0" t="s">
        <v>86</v>
      </c>
      <c r="C1770" s="17" t="n">
        <v>-0.264156122813921</v>
      </c>
      <c r="D1770" s="17" t="n">
        <f aca="false">(C1770-$B$4)/($B$6/SQRT($B$7))</f>
        <v>-1.3207806140696</v>
      </c>
      <c r="E1770" s="0" t="str">
        <f aca="false">IF(OR(AND($B$9="superior",D1770&gt;$B$10),AND($B$9="inferior",D1770&lt;-$B$10)),"Rechazar H0","No rechazar H0")</f>
        <v>No rechazar H0</v>
      </c>
      <c r="F1770" s="0" t="str">
        <f aca="false">IF(AND(B1770="H0 verdadera",E1770="Rechazar H0"),"Error tipo I",IF(AND(B1770="Ha verdadera",E1770="No rechazar H0"),"Error tipo II","Decisión correcta"))</f>
        <v>Error tipo II</v>
      </c>
    </row>
    <row r="1771" customFormat="false" ht="15" hidden="false" customHeight="false" outlineLevel="0" collapsed="false">
      <c r="A1771" s="0" t="n">
        <v>1750</v>
      </c>
      <c r="B1771" s="0" t="s">
        <v>85</v>
      </c>
      <c r="C1771" s="17" t="n">
        <v>0.0556202867706072</v>
      </c>
      <c r="D1771" s="17" t="n">
        <f aca="false">(C1771-$B$4)/($B$6/SQRT($B$7))</f>
        <v>0.278101433853036</v>
      </c>
      <c r="E1771" s="0" t="str">
        <f aca="false">IF(OR(AND($B$9="superior",D1771&gt;$B$10),AND($B$9="inferior",D1771&lt;-$B$10)),"Rechazar H0","No rechazar H0")</f>
        <v>No rechazar H0</v>
      </c>
      <c r="F1771" s="0" t="str">
        <f aca="false">IF(AND(B1771="H0 verdadera",E1771="Rechazar H0"),"Error tipo I",IF(AND(B1771="Ha verdadera",E1771="No rechazar H0"),"Error tipo II","Decisión correcta"))</f>
        <v>Decisión correcta</v>
      </c>
    </row>
    <row r="1772" customFormat="false" ht="15" hidden="false" customHeight="false" outlineLevel="0" collapsed="false">
      <c r="A1772" s="0" t="n">
        <v>1751</v>
      </c>
      <c r="B1772" s="0" t="s">
        <v>85</v>
      </c>
      <c r="C1772" s="17" t="n">
        <v>-0.0644654944195514</v>
      </c>
      <c r="D1772" s="17" t="n">
        <f aca="false">(C1772-$B$4)/($B$6/SQRT($B$7))</f>
        <v>-0.322327472097757</v>
      </c>
      <c r="E1772" s="0" t="str">
        <f aca="false">IF(OR(AND($B$9="superior",D1772&gt;$B$10),AND($B$9="inferior",D1772&lt;-$B$10)),"Rechazar H0","No rechazar H0")</f>
        <v>No rechazar H0</v>
      </c>
      <c r="F1772" s="0" t="str">
        <f aca="false">IF(AND(B1772="H0 verdadera",E1772="Rechazar H0"),"Error tipo I",IF(AND(B1772="Ha verdadera",E1772="No rechazar H0"),"Error tipo II","Decisión correcta"))</f>
        <v>Decisión correcta</v>
      </c>
    </row>
    <row r="1773" customFormat="false" ht="15" hidden="false" customHeight="false" outlineLevel="0" collapsed="false">
      <c r="A1773" s="0" t="n">
        <v>1752</v>
      </c>
      <c r="B1773" s="0" t="s">
        <v>86</v>
      </c>
      <c r="C1773" s="17" t="n">
        <v>-0.297952387699068</v>
      </c>
      <c r="D1773" s="17" t="n">
        <f aca="false">(C1773-$B$4)/($B$6/SQRT($B$7))</f>
        <v>-1.48976193849534</v>
      </c>
      <c r="E1773" s="0" t="str">
        <f aca="false">IF(OR(AND($B$9="superior",D1773&gt;$B$10),AND($B$9="inferior",D1773&lt;-$B$10)),"Rechazar H0","No rechazar H0")</f>
        <v>No rechazar H0</v>
      </c>
      <c r="F1773" s="0" t="str">
        <f aca="false">IF(AND(B1773="H0 verdadera",E1773="Rechazar H0"),"Error tipo I",IF(AND(B1773="Ha verdadera",E1773="No rechazar H0"),"Error tipo II","Decisión correcta"))</f>
        <v>Error tipo II</v>
      </c>
    </row>
    <row r="1774" customFormat="false" ht="15" hidden="false" customHeight="false" outlineLevel="0" collapsed="false">
      <c r="A1774" s="0" t="n">
        <v>1753</v>
      </c>
      <c r="B1774" s="0" t="s">
        <v>85</v>
      </c>
      <c r="C1774" s="17" t="n">
        <v>0.13678438897707</v>
      </c>
      <c r="D1774" s="17" t="n">
        <f aca="false">(C1774-$B$4)/($B$6/SQRT($B$7))</f>
        <v>0.683921944885348</v>
      </c>
      <c r="E1774" s="0" t="str">
        <f aca="false">IF(OR(AND($B$9="superior",D1774&gt;$B$10),AND($B$9="inferior",D1774&lt;-$B$10)),"Rechazar H0","No rechazar H0")</f>
        <v>No rechazar H0</v>
      </c>
      <c r="F1774" s="0" t="str">
        <f aca="false">IF(AND(B1774="H0 verdadera",E1774="Rechazar H0"),"Error tipo I",IF(AND(B1774="Ha verdadera",E1774="No rechazar H0"),"Error tipo II","Decisión correcta"))</f>
        <v>Decisión correcta</v>
      </c>
    </row>
    <row r="1775" customFormat="false" ht="15" hidden="false" customHeight="false" outlineLevel="0" collapsed="false">
      <c r="A1775" s="0" t="n">
        <v>1754</v>
      </c>
      <c r="B1775" s="0" t="s">
        <v>86</v>
      </c>
      <c r="C1775" s="17" t="n">
        <v>-0.352703478409775</v>
      </c>
      <c r="D1775" s="17" t="n">
        <f aca="false">(C1775-$B$4)/($B$6/SQRT($B$7))</f>
        <v>-1.76351739204887</v>
      </c>
      <c r="E1775" s="0" t="str">
        <f aca="false">IF(OR(AND($B$9="superior",D1775&gt;$B$10),AND($B$9="inferior",D1775&lt;-$B$10)),"Rechazar H0","No rechazar H0")</f>
        <v>Rechazar H0</v>
      </c>
      <c r="F1775" s="0" t="str">
        <f aca="false">IF(AND(B1775="H0 verdadera",E1775="Rechazar H0"),"Error tipo I",IF(AND(B1775="Ha verdadera",E1775="No rechazar H0"),"Error tipo II","Decisión correcta"))</f>
        <v>Decisión correcta</v>
      </c>
    </row>
    <row r="1776" customFormat="false" ht="15" hidden="false" customHeight="false" outlineLevel="0" collapsed="false">
      <c r="A1776" s="0" t="n">
        <v>1755</v>
      </c>
      <c r="B1776" s="0" t="s">
        <v>85</v>
      </c>
      <c r="C1776" s="17" t="n">
        <v>0.0397388261011442</v>
      </c>
      <c r="D1776" s="17" t="n">
        <f aca="false">(C1776-$B$4)/($B$6/SQRT($B$7))</f>
        <v>0.198694130505721</v>
      </c>
      <c r="E1776" s="0" t="str">
        <f aca="false">IF(OR(AND($B$9="superior",D1776&gt;$B$10),AND($B$9="inferior",D1776&lt;-$B$10)),"Rechazar H0","No rechazar H0")</f>
        <v>No rechazar H0</v>
      </c>
      <c r="F1776" s="0" t="str">
        <f aca="false">IF(AND(B1776="H0 verdadera",E1776="Rechazar H0"),"Error tipo I",IF(AND(B1776="Ha verdadera",E1776="No rechazar H0"),"Error tipo II","Decisión correcta"))</f>
        <v>Decisión correcta</v>
      </c>
    </row>
    <row r="1777" customFormat="false" ht="15" hidden="false" customHeight="false" outlineLevel="0" collapsed="false">
      <c r="A1777" s="0" t="n">
        <v>1756</v>
      </c>
      <c r="B1777" s="0" t="s">
        <v>85</v>
      </c>
      <c r="C1777" s="17" t="n">
        <v>-0.0893877508971374</v>
      </c>
      <c r="D1777" s="17" t="n">
        <f aca="false">(C1777-$B$4)/($B$6/SQRT($B$7))</f>
        <v>-0.446938754485687</v>
      </c>
      <c r="E1777" s="0" t="str">
        <f aca="false">IF(OR(AND($B$9="superior",D1777&gt;$B$10),AND($B$9="inferior",D1777&lt;-$B$10)),"Rechazar H0","No rechazar H0")</f>
        <v>No rechazar H0</v>
      </c>
      <c r="F1777" s="0" t="str">
        <f aca="false">IF(AND(B1777="H0 verdadera",E1777="Rechazar H0"),"Error tipo I",IF(AND(B1777="Ha verdadera",E1777="No rechazar H0"),"Error tipo II","Decisión correcta"))</f>
        <v>Decisión correcta</v>
      </c>
    </row>
    <row r="1778" customFormat="false" ht="15" hidden="false" customHeight="false" outlineLevel="0" collapsed="false">
      <c r="A1778" s="0" t="n">
        <v>1757</v>
      </c>
      <c r="B1778" s="0" t="s">
        <v>86</v>
      </c>
      <c r="C1778" s="17" t="n">
        <v>-0.489873636841841</v>
      </c>
      <c r="D1778" s="17" t="n">
        <f aca="false">(C1778-$B$4)/($B$6/SQRT($B$7))</f>
        <v>-2.4493681842092</v>
      </c>
      <c r="E1778" s="0" t="str">
        <f aca="false">IF(OR(AND($B$9="superior",D1778&gt;$B$10),AND($B$9="inferior",D1778&lt;-$B$10)),"Rechazar H0","No rechazar H0")</f>
        <v>Rechazar H0</v>
      </c>
      <c r="F1778" s="0" t="str">
        <f aca="false">IF(AND(B1778="H0 verdadera",E1778="Rechazar H0"),"Error tipo I",IF(AND(B1778="Ha verdadera",E1778="No rechazar H0"),"Error tipo II","Decisión correcta"))</f>
        <v>Decisión correcta</v>
      </c>
    </row>
    <row r="1779" customFormat="false" ht="15" hidden="false" customHeight="false" outlineLevel="0" collapsed="false">
      <c r="A1779" s="0" t="n">
        <v>1758</v>
      </c>
      <c r="B1779" s="0" t="s">
        <v>85</v>
      </c>
      <c r="C1779" s="17" t="n">
        <v>-0.197234708638692</v>
      </c>
      <c r="D1779" s="17" t="n">
        <f aca="false">(C1779-$B$4)/($B$6/SQRT($B$7))</f>
        <v>-0.986173543193462</v>
      </c>
      <c r="E1779" s="0" t="str">
        <f aca="false">IF(OR(AND($B$9="superior",D1779&gt;$B$10),AND($B$9="inferior",D1779&lt;-$B$10)),"Rechazar H0","No rechazar H0")</f>
        <v>No rechazar H0</v>
      </c>
      <c r="F1779" s="0" t="str">
        <f aca="false">IF(AND(B1779="H0 verdadera",E1779="Rechazar H0"),"Error tipo I",IF(AND(B1779="Ha verdadera",E1779="No rechazar H0"),"Error tipo II","Decisión correcta"))</f>
        <v>Decisión correcta</v>
      </c>
    </row>
    <row r="1780" customFormat="false" ht="15" hidden="false" customHeight="false" outlineLevel="0" collapsed="false">
      <c r="A1780" s="0" t="n">
        <v>1759</v>
      </c>
      <c r="B1780" s="0" t="s">
        <v>85</v>
      </c>
      <c r="C1780" s="17" t="n">
        <v>-0.0231280746223529</v>
      </c>
      <c r="D1780" s="17" t="n">
        <f aca="false">(C1780-$B$4)/($B$6/SQRT($B$7))</f>
        <v>-0.115640373111764</v>
      </c>
      <c r="E1780" s="0" t="str">
        <f aca="false">IF(OR(AND($B$9="superior",D1780&gt;$B$10),AND($B$9="inferior",D1780&lt;-$B$10)),"Rechazar H0","No rechazar H0")</f>
        <v>No rechazar H0</v>
      </c>
      <c r="F1780" s="0" t="str">
        <f aca="false">IF(AND(B1780="H0 verdadera",E1780="Rechazar H0"),"Error tipo I",IF(AND(B1780="Ha verdadera",E1780="No rechazar H0"),"Error tipo II","Decisión correcta"))</f>
        <v>Decisión correcta</v>
      </c>
    </row>
    <row r="1781" customFormat="false" ht="15" hidden="false" customHeight="false" outlineLevel="0" collapsed="false">
      <c r="A1781" s="0" t="n">
        <v>1760</v>
      </c>
      <c r="B1781" s="0" t="s">
        <v>85</v>
      </c>
      <c r="C1781" s="17" t="n">
        <v>0.261371983534649</v>
      </c>
      <c r="D1781" s="17" t="n">
        <f aca="false">(C1781-$B$4)/($B$6/SQRT($B$7))</f>
        <v>1.30685991767325</v>
      </c>
      <c r="E1781" s="0" t="str">
        <f aca="false">IF(OR(AND($B$9="superior",D1781&gt;$B$10),AND($B$9="inferior",D1781&lt;-$B$10)),"Rechazar H0","No rechazar H0")</f>
        <v>No rechazar H0</v>
      </c>
      <c r="F1781" s="0" t="str">
        <f aca="false">IF(AND(B1781="H0 verdadera",E1781="Rechazar H0"),"Error tipo I",IF(AND(B1781="Ha verdadera",E1781="No rechazar H0"),"Error tipo II","Decisión correcta"))</f>
        <v>Decisión correcta</v>
      </c>
    </row>
    <row r="1782" customFormat="false" ht="15" hidden="false" customHeight="false" outlineLevel="0" collapsed="false">
      <c r="A1782" s="0" t="n">
        <v>1761</v>
      </c>
      <c r="B1782" s="0" t="s">
        <v>85</v>
      </c>
      <c r="C1782" s="17" t="n">
        <v>0.0842039462662474</v>
      </c>
      <c r="D1782" s="17" t="n">
        <f aca="false">(C1782-$B$4)/($B$6/SQRT($B$7))</f>
        <v>0.421019731331237</v>
      </c>
      <c r="E1782" s="0" t="str">
        <f aca="false">IF(OR(AND($B$9="superior",D1782&gt;$B$10),AND($B$9="inferior",D1782&lt;-$B$10)),"Rechazar H0","No rechazar H0")</f>
        <v>No rechazar H0</v>
      </c>
      <c r="F1782" s="0" t="str">
        <f aca="false">IF(AND(B1782="H0 verdadera",E1782="Rechazar H0"),"Error tipo I",IF(AND(B1782="Ha verdadera",E1782="No rechazar H0"),"Error tipo II","Decisión correcta"))</f>
        <v>Decisión correcta</v>
      </c>
    </row>
    <row r="1783" customFormat="false" ht="15" hidden="false" customHeight="false" outlineLevel="0" collapsed="false">
      <c r="A1783" s="0" t="n">
        <v>1762</v>
      </c>
      <c r="B1783" s="0" t="s">
        <v>86</v>
      </c>
      <c r="C1783" s="17" t="n">
        <v>-0.590686990275467</v>
      </c>
      <c r="D1783" s="17" t="n">
        <f aca="false">(C1783-$B$4)/($B$6/SQRT($B$7))</f>
        <v>-2.95343495137733</v>
      </c>
      <c r="E1783" s="0" t="str">
        <f aca="false">IF(OR(AND($B$9="superior",D1783&gt;$B$10),AND($B$9="inferior",D1783&lt;-$B$10)),"Rechazar H0","No rechazar H0")</f>
        <v>Rechazar H0</v>
      </c>
      <c r="F1783" s="0" t="str">
        <f aca="false">IF(AND(B1783="H0 verdadera",E1783="Rechazar H0"),"Error tipo I",IF(AND(B1783="Ha verdadera",E1783="No rechazar H0"),"Error tipo II","Decisión correcta"))</f>
        <v>Decisión correcta</v>
      </c>
    </row>
    <row r="1784" customFormat="false" ht="15" hidden="false" customHeight="false" outlineLevel="0" collapsed="false">
      <c r="A1784" s="0" t="n">
        <v>1763</v>
      </c>
      <c r="B1784" s="0" t="s">
        <v>86</v>
      </c>
      <c r="C1784" s="17" t="n">
        <v>-0.163832816788212</v>
      </c>
      <c r="D1784" s="17" t="n">
        <f aca="false">(C1784-$B$4)/($B$6/SQRT($B$7))</f>
        <v>-0.819164083941058</v>
      </c>
      <c r="E1784" s="0" t="str">
        <f aca="false">IF(OR(AND($B$9="superior",D1784&gt;$B$10),AND($B$9="inferior",D1784&lt;-$B$10)),"Rechazar H0","No rechazar H0")</f>
        <v>No rechazar H0</v>
      </c>
      <c r="F1784" s="0" t="str">
        <f aca="false">IF(AND(B1784="H0 verdadera",E1784="Rechazar H0"),"Error tipo I",IF(AND(B1784="Ha verdadera",E1784="No rechazar H0"),"Error tipo II","Decisión correcta"))</f>
        <v>Error tipo II</v>
      </c>
    </row>
    <row r="1785" customFormat="false" ht="15" hidden="false" customHeight="false" outlineLevel="0" collapsed="false">
      <c r="A1785" s="0" t="n">
        <v>1764</v>
      </c>
      <c r="B1785" s="0" t="s">
        <v>85</v>
      </c>
      <c r="C1785" s="17" t="n">
        <v>-0.0936027786082205</v>
      </c>
      <c r="D1785" s="17" t="n">
        <f aca="false">(C1785-$B$4)/($B$6/SQRT($B$7))</f>
        <v>-0.468013893041102</v>
      </c>
      <c r="E1785" s="0" t="str">
        <f aca="false">IF(OR(AND($B$9="superior",D1785&gt;$B$10),AND($B$9="inferior",D1785&lt;-$B$10)),"Rechazar H0","No rechazar H0")</f>
        <v>No rechazar H0</v>
      </c>
      <c r="F1785" s="0" t="str">
        <f aca="false">IF(AND(B1785="H0 verdadera",E1785="Rechazar H0"),"Error tipo I",IF(AND(B1785="Ha verdadera",E1785="No rechazar H0"),"Error tipo II","Decisión correcta"))</f>
        <v>Decisión correcta</v>
      </c>
    </row>
    <row r="1786" customFormat="false" ht="15" hidden="false" customHeight="false" outlineLevel="0" collapsed="false">
      <c r="A1786" s="0" t="n">
        <v>1765</v>
      </c>
      <c r="B1786" s="0" t="s">
        <v>85</v>
      </c>
      <c r="C1786" s="17" t="n">
        <v>0.219363427086416</v>
      </c>
      <c r="D1786" s="17" t="n">
        <f aca="false">(C1786-$B$4)/($B$6/SQRT($B$7))</f>
        <v>1.09681713543208</v>
      </c>
      <c r="E1786" s="0" t="str">
        <f aca="false">IF(OR(AND($B$9="superior",D1786&gt;$B$10),AND($B$9="inferior",D1786&lt;-$B$10)),"Rechazar H0","No rechazar H0")</f>
        <v>No rechazar H0</v>
      </c>
      <c r="F1786" s="0" t="str">
        <f aca="false">IF(AND(B1786="H0 verdadera",E1786="Rechazar H0"),"Error tipo I",IF(AND(B1786="Ha verdadera",E1786="No rechazar H0"),"Error tipo II","Decisión correcta"))</f>
        <v>Decisión correcta</v>
      </c>
    </row>
    <row r="1787" customFormat="false" ht="15" hidden="false" customHeight="false" outlineLevel="0" collapsed="false">
      <c r="A1787" s="0" t="n">
        <v>1766</v>
      </c>
      <c r="B1787" s="0" t="s">
        <v>86</v>
      </c>
      <c r="C1787" s="17" t="n">
        <v>-0.399023734219777</v>
      </c>
      <c r="D1787" s="17" t="n">
        <f aca="false">(C1787-$B$4)/($B$6/SQRT($B$7))</f>
        <v>-1.99511867109888</v>
      </c>
      <c r="E1787" s="0" t="str">
        <f aca="false">IF(OR(AND($B$9="superior",D1787&gt;$B$10),AND($B$9="inferior",D1787&lt;-$B$10)),"Rechazar H0","No rechazar H0")</f>
        <v>Rechazar H0</v>
      </c>
      <c r="F1787" s="0" t="str">
        <f aca="false">IF(AND(B1787="H0 verdadera",E1787="Rechazar H0"),"Error tipo I",IF(AND(B1787="Ha verdadera",E1787="No rechazar H0"),"Error tipo II","Decisión correcta"))</f>
        <v>Decisión correcta</v>
      </c>
    </row>
    <row r="1788" customFormat="false" ht="15" hidden="false" customHeight="false" outlineLevel="0" collapsed="false">
      <c r="A1788" s="0" t="n">
        <v>1767</v>
      </c>
      <c r="B1788" s="0" t="s">
        <v>85</v>
      </c>
      <c r="C1788" s="17" t="n">
        <v>0.109887721522693</v>
      </c>
      <c r="D1788" s="17" t="n">
        <f aca="false">(C1788-$B$4)/($B$6/SQRT($B$7))</f>
        <v>0.549438607613464</v>
      </c>
      <c r="E1788" s="0" t="str">
        <f aca="false">IF(OR(AND($B$9="superior",D1788&gt;$B$10),AND($B$9="inferior",D1788&lt;-$B$10)),"Rechazar H0","No rechazar H0")</f>
        <v>No rechazar H0</v>
      </c>
      <c r="F1788" s="0" t="str">
        <f aca="false">IF(AND(B1788="H0 verdadera",E1788="Rechazar H0"),"Error tipo I",IF(AND(B1788="Ha verdadera",E1788="No rechazar H0"),"Error tipo II","Decisión correcta"))</f>
        <v>Decisión correcta</v>
      </c>
    </row>
    <row r="1789" customFormat="false" ht="15" hidden="false" customHeight="false" outlineLevel="0" collapsed="false">
      <c r="A1789" s="0" t="n">
        <v>1768</v>
      </c>
      <c r="B1789" s="0" t="s">
        <v>85</v>
      </c>
      <c r="C1789" s="17" t="n">
        <v>0.1558024280181</v>
      </c>
      <c r="D1789" s="17" t="n">
        <f aca="false">(C1789-$B$4)/($B$6/SQRT($B$7))</f>
        <v>0.779012140090498</v>
      </c>
      <c r="E1789" s="0" t="str">
        <f aca="false">IF(OR(AND($B$9="superior",D1789&gt;$B$10),AND($B$9="inferior",D1789&lt;-$B$10)),"Rechazar H0","No rechazar H0")</f>
        <v>No rechazar H0</v>
      </c>
      <c r="F1789" s="0" t="str">
        <f aca="false">IF(AND(B1789="H0 verdadera",E1789="Rechazar H0"),"Error tipo I",IF(AND(B1789="Ha verdadera",E1789="No rechazar H0"),"Error tipo II","Decisión correcta"))</f>
        <v>Decisión correcta</v>
      </c>
    </row>
    <row r="1790" customFormat="false" ht="15" hidden="false" customHeight="false" outlineLevel="0" collapsed="false">
      <c r="A1790" s="0" t="n">
        <v>1769</v>
      </c>
      <c r="B1790" s="0" t="s">
        <v>85</v>
      </c>
      <c r="C1790" s="17" t="n">
        <v>-0.296706906752143</v>
      </c>
      <c r="D1790" s="17" t="n">
        <f aca="false">(C1790-$B$4)/($B$6/SQRT($B$7))</f>
        <v>-1.48353453376071</v>
      </c>
      <c r="E1790" s="0" t="str">
        <f aca="false">IF(OR(AND($B$9="superior",D1790&gt;$B$10),AND($B$9="inferior",D1790&lt;-$B$10)),"Rechazar H0","No rechazar H0")</f>
        <v>No rechazar H0</v>
      </c>
      <c r="F1790" s="0" t="str">
        <f aca="false">IF(AND(B1790="H0 verdadera",E1790="Rechazar H0"),"Error tipo I",IF(AND(B1790="Ha verdadera",E1790="No rechazar H0"),"Error tipo II","Decisión correcta"))</f>
        <v>Decisión correcta</v>
      </c>
    </row>
    <row r="1791" customFormat="false" ht="15" hidden="false" customHeight="false" outlineLevel="0" collapsed="false">
      <c r="A1791" s="0" t="n">
        <v>1770</v>
      </c>
      <c r="B1791" s="0" t="s">
        <v>86</v>
      </c>
      <c r="C1791" s="17" t="n">
        <v>-0.274869288848487</v>
      </c>
      <c r="D1791" s="17" t="n">
        <f aca="false">(C1791-$B$4)/($B$6/SQRT($B$7))</f>
        <v>-1.37434644424243</v>
      </c>
      <c r="E1791" s="0" t="str">
        <f aca="false">IF(OR(AND($B$9="superior",D1791&gt;$B$10),AND($B$9="inferior",D1791&lt;-$B$10)),"Rechazar H0","No rechazar H0")</f>
        <v>No rechazar H0</v>
      </c>
      <c r="F1791" s="0" t="str">
        <f aca="false">IF(AND(B1791="H0 verdadera",E1791="Rechazar H0"),"Error tipo I",IF(AND(B1791="Ha verdadera",E1791="No rechazar H0"),"Error tipo II","Decisión correcta"))</f>
        <v>Error tipo II</v>
      </c>
    </row>
    <row r="1792" customFormat="false" ht="15" hidden="false" customHeight="false" outlineLevel="0" collapsed="false">
      <c r="A1792" s="0" t="n">
        <v>1771</v>
      </c>
      <c r="B1792" s="0" t="s">
        <v>85</v>
      </c>
      <c r="C1792" s="17" t="n">
        <v>0.214296532239522</v>
      </c>
      <c r="D1792" s="17" t="n">
        <f aca="false">(C1792-$B$4)/($B$6/SQRT($B$7))</f>
        <v>1.07148266119761</v>
      </c>
      <c r="E1792" s="0" t="str">
        <f aca="false">IF(OR(AND($B$9="superior",D1792&gt;$B$10),AND($B$9="inferior",D1792&lt;-$B$10)),"Rechazar H0","No rechazar H0")</f>
        <v>No rechazar H0</v>
      </c>
      <c r="F1792" s="0" t="str">
        <f aca="false">IF(AND(B1792="H0 verdadera",E1792="Rechazar H0"),"Error tipo I",IF(AND(B1792="Ha verdadera",E1792="No rechazar H0"),"Error tipo II","Decisión correcta"))</f>
        <v>Decisión correcta</v>
      </c>
    </row>
    <row r="1793" customFormat="false" ht="15" hidden="false" customHeight="false" outlineLevel="0" collapsed="false">
      <c r="A1793" s="0" t="n">
        <v>1772</v>
      </c>
      <c r="B1793" s="0" t="s">
        <v>85</v>
      </c>
      <c r="C1793" s="17" t="n">
        <v>0.306169004987971</v>
      </c>
      <c r="D1793" s="17" t="n">
        <f aca="false">(C1793-$B$4)/($B$6/SQRT($B$7))</f>
        <v>1.53084502493985</v>
      </c>
      <c r="E1793" s="0" t="str">
        <f aca="false">IF(OR(AND($B$9="superior",D1793&gt;$B$10),AND($B$9="inferior",D1793&lt;-$B$10)),"Rechazar H0","No rechazar H0")</f>
        <v>No rechazar H0</v>
      </c>
      <c r="F1793" s="0" t="str">
        <f aca="false">IF(AND(B1793="H0 verdadera",E1793="Rechazar H0"),"Error tipo I",IF(AND(B1793="Ha verdadera",E1793="No rechazar H0"),"Error tipo II","Decisión correcta"))</f>
        <v>Decisión correcta</v>
      </c>
    </row>
    <row r="1794" customFormat="false" ht="15" hidden="false" customHeight="false" outlineLevel="0" collapsed="false">
      <c r="A1794" s="0" t="n">
        <v>1773</v>
      </c>
      <c r="B1794" s="0" t="s">
        <v>85</v>
      </c>
      <c r="C1794" s="17" t="n">
        <v>-0.0667996655860949</v>
      </c>
      <c r="D1794" s="17" t="n">
        <f aca="false">(C1794-$B$4)/($B$6/SQRT($B$7))</f>
        <v>-0.333998327930474</v>
      </c>
      <c r="E1794" s="0" t="str">
        <f aca="false">IF(OR(AND($B$9="superior",D1794&gt;$B$10),AND($B$9="inferior",D1794&lt;-$B$10)),"Rechazar H0","No rechazar H0")</f>
        <v>No rechazar H0</v>
      </c>
      <c r="F1794" s="0" t="str">
        <f aca="false">IF(AND(B1794="H0 verdadera",E1794="Rechazar H0"),"Error tipo I",IF(AND(B1794="Ha verdadera",E1794="No rechazar H0"),"Error tipo II","Decisión correcta"))</f>
        <v>Decisión correcta</v>
      </c>
    </row>
    <row r="1795" customFormat="false" ht="15" hidden="false" customHeight="false" outlineLevel="0" collapsed="false">
      <c r="A1795" s="0" t="n">
        <v>1774</v>
      </c>
      <c r="B1795" s="0" t="s">
        <v>85</v>
      </c>
      <c r="C1795" s="17" t="n">
        <v>-0.0619208580657101</v>
      </c>
      <c r="D1795" s="17" t="n">
        <f aca="false">(C1795-$B$4)/($B$6/SQRT($B$7))</f>
        <v>-0.30960429032855</v>
      </c>
      <c r="E1795" s="0" t="str">
        <f aca="false">IF(OR(AND($B$9="superior",D1795&gt;$B$10),AND($B$9="inferior",D1795&lt;-$B$10)),"Rechazar H0","No rechazar H0")</f>
        <v>No rechazar H0</v>
      </c>
      <c r="F1795" s="0" t="str">
        <f aca="false">IF(AND(B1795="H0 verdadera",E1795="Rechazar H0"),"Error tipo I",IF(AND(B1795="Ha verdadera",E1795="No rechazar H0"),"Error tipo II","Decisión correcta"))</f>
        <v>Decisión correcta</v>
      </c>
    </row>
    <row r="1796" customFormat="false" ht="15" hidden="false" customHeight="false" outlineLevel="0" collapsed="false">
      <c r="A1796" s="0" t="n">
        <v>1775</v>
      </c>
      <c r="B1796" s="0" t="s">
        <v>86</v>
      </c>
      <c r="C1796" s="17" t="n">
        <v>-0.399030144032008</v>
      </c>
      <c r="D1796" s="17" t="n">
        <f aca="false">(C1796-$B$4)/($B$6/SQRT($B$7))</f>
        <v>-1.99515072016004</v>
      </c>
      <c r="E1796" s="0" t="str">
        <f aca="false">IF(OR(AND($B$9="superior",D1796&gt;$B$10),AND($B$9="inferior",D1796&lt;-$B$10)),"Rechazar H0","No rechazar H0")</f>
        <v>Rechazar H0</v>
      </c>
      <c r="F1796" s="0" t="str">
        <f aca="false">IF(AND(B1796="H0 verdadera",E1796="Rechazar H0"),"Error tipo I",IF(AND(B1796="Ha verdadera",E1796="No rechazar H0"),"Error tipo II","Decisión correcta"))</f>
        <v>Decisión correcta</v>
      </c>
    </row>
    <row r="1797" customFormat="false" ht="15" hidden="false" customHeight="false" outlineLevel="0" collapsed="false">
      <c r="A1797" s="0" t="n">
        <v>1776</v>
      </c>
      <c r="B1797" s="0" t="s">
        <v>85</v>
      </c>
      <c r="C1797" s="17" t="n">
        <v>-0.0822370321914941</v>
      </c>
      <c r="D1797" s="17" t="n">
        <f aca="false">(C1797-$B$4)/($B$6/SQRT($B$7))</f>
        <v>-0.41118516095747</v>
      </c>
      <c r="E1797" s="0" t="str">
        <f aca="false">IF(OR(AND($B$9="superior",D1797&gt;$B$10),AND($B$9="inferior",D1797&lt;-$B$10)),"Rechazar H0","No rechazar H0")</f>
        <v>No rechazar H0</v>
      </c>
      <c r="F1797" s="0" t="str">
        <f aca="false">IF(AND(B1797="H0 verdadera",E1797="Rechazar H0"),"Error tipo I",IF(AND(B1797="Ha verdadera",E1797="No rechazar H0"),"Error tipo II","Decisión correcta"))</f>
        <v>Decisión correcta</v>
      </c>
    </row>
    <row r="1798" customFormat="false" ht="15" hidden="false" customHeight="false" outlineLevel="0" collapsed="false">
      <c r="A1798" s="0" t="n">
        <v>1777</v>
      </c>
      <c r="B1798" s="0" t="s">
        <v>86</v>
      </c>
      <c r="C1798" s="17" t="n">
        <v>-0.287720212144195</v>
      </c>
      <c r="D1798" s="17" t="n">
        <f aca="false">(C1798-$B$4)/($B$6/SQRT($B$7))</f>
        <v>-1.43860106072098</v>
      </c>
      <c r="E1798" s="0" t="str">
        <f aca="false">IF(OR(AND($B$9="superior",D1798&gt;$B$10),AND($B$9="inferior",D1798&lt;-$B$10)),"Rechazar H0","No rechazar H0")</f>
        <v>No rechazar H0</v>
      </c>
      <c r="F1798" s="0" t="str">
        <f aca="false">IF(AND(B1798="H0 verdadera",E1798="Rechazar H0"),"Error tipo I",IF(AND(B1798="Ha verdadera",E1798="No rechazar H0"),"Error tipo II","Decisión correcta"))</f>
        <v>Error tipo II</v>
      </c>
    </row>
    <row r="1799" customFormat="false" ht="15" hidden="false" customHeight="false" outlineLevel="0" collapsed="false">
      <c r="A1799" s="0" t="n">
        <v>1778</v>
      </c>
      <c r="B1799" s="0" t="s">
        <v>86</v>
      </c>
      <c r="C1799" s="17" t="n">
        <v>-0.603214909482243</v>
      </c>
      <c r="D1799" s="17" t="n">
        <f aca="false">(C1799-$B$4)/($B$6/SQRT($B$7))</f>
        <v>-3.01607454741121</v>
      </c>
      <c r="E1799" s="0" t="str">
        <f aca="false">IF(OR(AND($B$9="superior",D1799&gt;$B$10),AND($B$9="inferior",D1799&lt;-$B$10)),"Rechazar H0","No rechazar H0")</f>
        <v>Rechazar H0</v>
      </c>
      <c r="F1799" s="0" t="str">
        <f aca="false">IF(AND(B1799="H0 verdadera",E1799="Rechazar H0"),"Error tipo I",IF(AND(B1799="Ha verdadera",E1799="No rechazar H0"),"Error tipo II","Decisión correcta"))</f>
        <v>Decisión correcta</v>
      </c>
    </row>
    <row r="1800" customFormat="false" ht="15" hidden="false" customHeight="false" outlineLevel="0" collapsed="false">
      <c r="A1800" s="0" t="n">
        <v>1779</v>
      </c>
      <c r="B1800" s="0" t="s">
        <v>86</v>
      </c>
      <c r="C1800" s="17" t="n">
        <v>-0.361672981262761</v>
      </c>
      <c r="D1800" s="17" t="n">
        <f aca="false">(C1800-$B$4)/($B$6/SQRT($B$7))</f>
        <v>-1.80836490631381</v>
      </c>
      <c r="E1800" s="0" t="str">
        <f aca="false">IF(OR(AND($B$9="superior",D1800&gt;$B$10),AND($B$9="inferior",D1800&lt;-$B$10)),"Rechazar H0","No rechazar H0")</f>
        <v>Rechazar H0</v>
      </c>
      <c r="F1800" s="0" t="str">
        <f aca="false">IF(AND(B1800="H0 verdadera",E1800="Rechazar H0"),"Error tipo I",IF(AND(B1800="Ha verdadera",E1800="No rechazar H0"),"Error tipo II","Decisión correcta"))</f>
        <v>Decisión correcta</v>
      </c>
    </row>
    <row r="1801" customFormat="false" ht="15" hidden="false" customHeight="false" outlineLevel="0" collapsed="false">
      <c r="A1801" s="0" t="n">
        <v>1780</v>
      </c>
      <c r="B1801" s="0" t="s">
        <v>85</v>
      </c>
      <c r="C1801" s="17" t="n">
        <v>0.158648717037599</v>
      </c>
      <c r="D1801" s="17" t="n">
        <f aca="false">(C1801-$B$4)/($B$6/SQRT($B$7))</f>
        <v>0.793243585187994</v>
      </c>
      <c r="E1801" s="0" t="str">
        <f aca="false">IF(OR(AND($B$9="superior",D1801&gt;$B$10),AND($B$9="inferior",D1801&lt;-$B$10)),"Rechazar H0","No rechazar H0")</f>
        <v>No rechazar H0</v>
      </c>
      <c r="F1801" s="0" t="str">
        <f aca="false">IF(AND(B1801="H0 verdadera",E1801="Rechazar H0"),"Error tipo I",IF(AND(B1801="Ha verdadera",E1801="No rechazar H0"),"Error tipo II","Decisión correcta"))</f>
        <v>Decisión correcta</v>
      </c>
    </row>
    <row r="1802" customFormat="false" ht="15" hidden="false" customHeight="false" outlineLevel="0" collapsed="false">
      <c r="A1802" s="0" t="n">
        <v>1781</v>
      </c>
      <c r="B1802" s="0" t="s">
        <v>85</v>
      </c>
      <c r="C1802" s="17" t="n">
        <v>0.248089654553231</v>
      </c>
      <c r="D1802" s="17" t="n">
        <f aca="false">(C1802-$B$4)/($B$6/SQRT($B$7))</f>
        <v>1.24044827276616</v>
      </c>
      <c r="E1802" s="0" t="str">
        <f aca="false">IF(OR(AND($B$9="superior",D1802&gt;$B$10),AND($B$9="inferior",D1802&lt;-$B$10)),"Rechazar H0","No rechazar H0")</f>
        <v>No rechazar H0</v>
      </c>
      <c r="F1802" s="0" t="str">
        <f aca="false">IF(AND(B1802="H0 verdadera",E1802="Rechazar H0"),"Error tipo I",IF(AND(B1802="Ha verdadera",E1802="No rechazar H0"),"Error tipo II","Decisión correcta"))</f>
        <v>Decisión correcta</v>
      </c>
    </row>
    <row r="1803" customFormat="false" ht="15" hidden="false" customHeight="false" outlineLevel="0" collapsed="false">
      <c r="A1803" s="0" t="n">
        <v>1782</v>
      </c>
      <c r="B1803" s="0" t="s">
        <v>85</v>
      </c>
      <c r="C1803" s="17" t="n">
        <v>-0.037454339213069</v>
      </c>
      <c r="D1803" s="17" t="n">
        <f aca="false">(C1803-$B$4)/($B$6/SQRT($B$7))</f>
        <v>-0.187271696065345</v>
      </c>
      <c r="E1803" s="0" t="str">
        <f aca="false">IF(OR(AND($B$9="superior",D1803&gt;$B$10),AND($B$9="inferior",D1803&lt;-$B$10)),"Rechazar H0","No rechazar H0")</f>
        <v>No rechazar H0</v>
      </c>
      <c r="F1803" s="0" t="str">
        <f aca="false">IF(AND(B1803="H0 verdadera",E1803="Rechazar H0"),"Error tipo I",IF(AND(B1803="Ha verdadera",E1803="No rechazar H0"),"Error tipo II","Decisión correcta"))</f>
        <v>Decisión correcta</v>
      </c>
    </row>
    <row r="1804" customFormat="false" ht="15" hidden="false" customHeight="false" outlineLevel="0" collapsed="false">
      <c r="A1804" s="0" t="n">
        <v>1783</v>
      </c>
      <c r="B1804" s="0" t="s">
        <v>85</v>
      </c>
      <c r="C1804" s="17" t="n">
        <v>0.0146103662373408</v>
      </c>
      <c r="D1804" s="17" t="n">
        <f aca="false">(C1804-$B$4)/($B$6/SQRT($B$7))</f>
        <v>0.073051831186704</v>
      </c>
      <c r="E1804" s="0" t="str">
        <f aca="false">IF(OR(AND($B$9="superior",D1804&gt;$B$10),AND($B$9="inferior",D1804&lt;-$B$10)),"Rechazar H0","No rechazar H0")</f>
        <v>No rechazar H0</v>
      </c>
      <c r="F1804" s="0" t="str">
        <f aca="false">IF(AND(B1804="H0 verdadera",E1804="Rechazar H0"),"Error tipo I",IF(AND(B1804="Ha verdadera",E1804="No rechazar H0"),"Error tipo II","Decisión correcta"))</f>
        <v>Decisión correcta</v>
      </c>
    </row>
    <row r="1805" customFormat="false" ht="15" hidden="false" customHeight="false" outlineLevel="0" collapsed="false">
      <c r="A1805" s="0" t="n">
        <v>1784</v>
      </c>
      <c r="B1805" s="0" t="s">
        <v>85</v>
      </c>
      <c r="C1805" s="17" t="n">
        <v>0.260106903713393</v>
      </c>
      <c r="D1805" s="17" t="n">
        <f aca="false">(C1805-$B$4)/($B$6/SQRT($B$7))</f>
        <v>1.30053451856697</v>
      </c>
      <c r="E1805" s="0" t="str">
        <f aca="false">IF(OR(AND($B$9="superior",D1805&gt;$B$10),AND($B$9="inferior",D1805&lt;-$B$10)),"Rechazar H0","No rechazar H0")</f>
        <v>No rechazar H0</v>
      </c>
      <c r="F1805" s="0" t="str">
        <f aca="false">IF(AND(B1805="H0 verdadera",E1805="Rechazar H0"),"Error tipo I",IF(AND(B1805="Ha verdadera",E1805="No rechazar H0"),"Error tipo II","Decisión correcta"))</f>
        <v>Decisión correcta</v>
      </c>
    </row>
    <row r="1806" customFormat="false" ht="15" hidden="false" customHeight="false" outlineLevel="0" collapsed="false">
      <c r="A1806" s="0" t="n">
        <v>1785</v>
      </c>
      <c r="B1806" s="0" t="s">
        <v>85</v>
      </c>
      <c r="C1806" s="17" t="n">
        <v>-0.409349188520977</v>
      </c>
      <c r="D1806" s="17" t="n">
        <f aca="false">(C1806-$B$4)/($B$6/SQRT($B$7))</f>
        <v>-2.04674594260488</v>
      </c>
      <c r="E1806" s="0" t="str">
        <f aca="false">IF(OR(AND($B$9="superior",D1806&gt;$B$10),AND($B$9="inferior",D1806&lt;-$B$10)),"Rechazar H0","No rechazar H0")</f>
        <v>Rechazar H0</v>
      </c>
      <c r="F1806" s="0" t="str">
        <f aca="false">IF(AND(B1806="H0 verdadera",E1806="Rechazar H0"),"Error tipo I",IF(AND(B1806="Ha verdadera",E1806="No rechazar H0"),"Error tipo II","Decisión correcta"))</f>
        <v>Error tipo I</v>
      </c>
    </row>
    <row r="1807" customFormat="false" ht="15" hidden="false" customHeight="false" outlineLevel="0" collapsed="false">
      <c r="A1807" s="0" t="n">
        <v>1786</v>
      </c>
      <c r="B1807" s="0" t="s">
        <v>86</v>
      </c>
      <c r="C1807" s="17" t="n">
        <v>-0.572363160168744</v>
      </c>
      <c r="D1807" s="17" t="n">
        <f aca="false">(C1807-$B$4)/($B$6/SQRT($B$7))</f>
        <v>-2.86181580084372</v>
      </c>
      <c r="E1807" s="0" t="str">
        <f aca="false">IF(OR(AND($B$9="superior",D1807&gt;$B$10),AND($B$9="inferior",D1807&lt;-$B$10)),"Rechazar H0","No rechazar H0")</f>
        <v>Rechazar H0</v>
      </c>
      <c r="F1807" s="0" t="str">
        <f aca="false">IF(AND(B1807="H0 verdadera",E1807="Rechazar H0"),"Error tipo I",IF(AND(B1807="Ha verdadera",E1807="No rechazar H0"),"Error tipo II","Decisión correcta"))</f>
        <v>Decisión correcta</v>
      </c>
    </row>
    <row r="1808" customFormat="false" ht="15" hidden="false" customHeight="false" outlineLevel="0" collapsed="false">
      <c r="A1808" s="0" t="n">
        <v>1787</v>
      </c>
      <c r="B1808" s="0" t="s">
        <v>86</v>
      </c>
      <c r="C1808" s="17" t="n">
        <v>-0.296578267837154</v>
      </c>
      <c r="D1808" s="17" t="n">
        <f aca="false">(C1808-$B$4)/($B$6/SQRT($B$7))</f>
        <v>-1.48289133918577</v>
      </c>
      <c r="E1808" s="0" t="str">
        <f aca="false">IF(OR(AND($B$9="superior",D1808&gt;$B$10),AND($B$9="inferior",D1808&lt;-$B$10)),"Rechazar H0","No rechazar H0")</f>
        <v>No rechazar H0</v>
      </c>
      <c r="F1808" s="0" t="str">
        <f aca="false">IF(AND(B1808="H0 verdadera",E1808="Rechazar H0"),"Error tipo I",IF(AND(B1808="Ha verdadera",E1808="No rechazar H0"),"Error tipo II","Decisión correcta"))</f>
        <v>Error tipo II</v>
      </c>
    </row>
    <row r="1809" customFormat="false" ht="15" hidden="false" customHeight="false" outlineLevel="0" collapsed="false">
      <c r="A1809" s="0" t="n">
        <v>1788</v>
      </c>
      <c r="B1809" s="0" t="s">
        <v>86</v>
      </c>
      <c r="C1809" s="17" t="n">
        <v>-0.531819759528311</v>
      </c>
      <c r="D1809" s="17" t="n">
        <f aca="false">(C1809-$B$4)/($B$6/SQRT($B$7))</f>
        <v>-2.65909879764156</v>
      </c>
      <c r="E1809" s="0" t="str">
        <f aca="false">IF(OR(AND($B$9="superior",D1809&gt;$B$10),AND($B$9="inferior",D1809&lt;-$B$10)),"Rechazar H0","No rechazar H0")</f>
        <v>Rechazar H0</v>
      </c>
      <c r="F1809" s="0" t="str">
        <f aca="false">IF(AND(B1809="H0 verdadera",E1809="Rechazar H0"),"Error tipo I",IF(AND(B1809="Ha verdadera",E1809="No rechazar H0"),"Error tipo II","Decisión correcta"))</f>
        <v>Decisión correcta</v>
      </c>
    </row>
    <row r="1810" customFormat="false" ht="15" hidden="false" customHeight="false" outlineLevel="0" collapsed="false">
      <c r="A1810" s="0" t="n">
        <v>1789</v>
      </c>
      <c r="B1810" s="0" t="s">
        <v>85</v>
      </c>
      <c r="C1810" s="17" t="n">
        <v>0.0101431490978653</v>
      </c>
      <c r="D1810" s="17" t="n">
        <f aca="false">(C1810-$B$4)/($B$6/SQRT($B$7))</f>
        <v>0.0507157454893267</v>
      </c>
      <c r="E1810" s="0" t="str">
        <f aca="false">IF(OR(AND($B$9="superior",D1810&gt;$B$10),AND($B$9="inferior",D1810&lt;-$B$10)),"Rechazar H0","No rechazar H0")</f>
        <v>No rechazar H0</v>
      </c>
      <c r="F1810" s="0" t="str">
        <f aca="false">IF(AND(B1810="H0 verdadera",E1810="Rechazar H0"),"Error tipo I",IF(AND(B1810="Ha verdadera",E1810="No rechazar H0"),"Error tipo II","Decisión correcta"))</f>
        <v>Decisión correcta</v>
      </c>
    </row>
    <row r="1811" customFormat="false" ht="15" hidden="false" customHeight="false" outlineLevel="0" collapsed="false">
      <c r="A1811" s="0" t="n">
        <v>1790</v>
      </c>
      <c r="B1811" s="0" t="s">
        <v>85</v>
      </c>
      <c r="C1811" s="17" t="n">
        <v>-0.484981001563809</v>
      </c>
      <c r="D1811" s="17" t="n">
        <f aca="false">(C1811-$B$4)/($B$6/SQRT($B$7))</f>
        <v>-2.42490500781905</v>
      </c>
      <c r="E1811" s="0" t="str">
        <f aca="false">IF(OR(AND($B$9="superior",D1811&gt;$B$10),AND($B$9="inferior",D1811&lt;-$B$10)),"Rechazar H0","No rechazar H0")</f>
        <v>Rechazar H0</v>
      </c>
      <c r="F1811" s="0" t="str">
        <f aca="false">IF(AND(B1811="H0 verdadera",E1811="Rechazar H0"),"Error tipo I",IF(AND(B1811="Ha verdadera",E1811="No rechazar H0"),"Error tipo II","Decisión correcta"))</f>
        <v>Error tipo I</v>
      </c>
    </row>
    <row r="1812" customFormat="false" ht="15" hidden="false" customHeight="false" outlineLevel="0" collapsed="false">
      <c r="A1812" s="0" t="n">
        <v>1791</v>
      </c>
      <c r="B1812" s="0" t="s">
        <v>86</v>
      </c>
      <c r="C1812" s="17" t="n">
        <v>-0.524954503953088</v>
      </c>
      <c r="D1812" s="17" t="n">
        <f aca="false">(C1812-$B$4)/($B$6/SQRT($B$7))</f>
        <v>-2.62477251976544</v>
      </c>
      <c r="E1812" s="0" t="str">
        <f aca="false">IF(OR(AND($B$9="superior",D1812&gt;$B$10),AND($B$9="inferior",D1812&lt;-$B$10)),"Rechazar H0","No rechazar H0")</f>
        <v>Rechazar H0</v>
      </c>
      <c r="F1812" s="0" t="str">
        <f aca="false">IF(AND(B1812="H0 verdadera",E1812="Rechazar H0"),"Error tipo I",IF(AND(B1812="Ha verdadera",E1812="No rechazar H0"),"Error tipo II","Decisión correcta"))</f>
        <v>Decisión correcta</v>
      </c>
    </row>
    <row r="1813" customFormat="false" ht="15" hidden="false" customHeight="false" outlineLevel="0" collapsed="false">
      <c r="A1813" s="0" t="n">
        <v>1792</v>
      </c>
      <c r="B1813" s="0" t="s">
        <v>85</v>
      </c>
      <c r="C1813" s="17" t="n">
        <v>0.174901766940092</v>
      </c>
      <c r="D1813" s="17" t="n">
        <f aca="false">(C1813-$B$4)/($B$6/SQRT($B$7))</f>
        <v>0.874508834700458</v>
      </c>
      <c r="E1813" s="0" t="str">
        <f aca="false">IF(OR(AND($B$9="superior",D1813&gt;$B$10),AND($B$9="inferior",D1813&lt;-$B$10)),"Rechazar H0","No rechazar H0")</f>
        <v>No rechazar H0</v>
      </c>
      <c r="F1813" s="0" t="str">
        <f aca="false">IF(AND(B1813="H0 verdadera",E1813="Rechazar H0"),"Error tipo I",IF(AND(B1813="Ha verdadera",E1813="No rechazar H0"),"Error tipo II","Decisión correcta"))</f>
        <v>Decisión correcta</v>
      </c>
    </row>
    <row r="1814" customFormat="false" ht="15" hidden="false" customHeight="false" outlineLevel="0" collapsed="false">
      <c r="A1814" s="0" t="n">
        <v>1793</v>
      </c>
      <c r="B1814" s="0" t="s">
        <v>85</v>
      </c>
      <c r="C1814" s="17" t="n">
        <v>0.027070558607616</v>
      </c>
      <c r="D1814" s="17" t="n">
        <f aca="false">(C1814-$B$4)/($B$6/SQRT($B$7))</f>
        <v>0.13535279303808</v>
      </c>
      <c r="E1814" s="0" t="str">
        <f aca="false">IF(OR(AND($B$9="superior",D1814&gt;$B$10),AND($B$9="inferior",D1814&lt;-$B$10)),"Rechazar H0","No rechazar H0")</f>
        <v>No rechazar H0</v>
      </c>
      <c r="F1814" s="0" t="str">
        <f aca="false">IF(AND(B1814="H0 verdadera",E1814="Rechazar H0"),"Error tipo I",IF(AND(B1814="Ha verdadera",E1814="No rechazar H0"),"Error tipo II","Decisión correcta"))</f>
        <v>Decisión correcta</v>
      </c>
    </row>
    <row r="1815" customFormat="false" ht="15" hidden="false" customHeight="false" outlineLevel="0" collapsed="false">
      <c r="A1815" s="0" t="n">
        <v>1794</v>
      </c>
      <c r="B1815" s="0" t="s">
        <v>86</v>
      </c>
      <c r="C1815" s="17" t="n">
        <v>-0.552417608691327</v>
      </c>
      <c r="D1815" s="17" t="n">
        <f aca="false">(C1815-$B$4)/($B$6/SQRT($B$7))</f>
        <v>-2.76208804345663</v>
      </c>
      <c r="E1815" s="0" t="str">
        <f aca="false">IF(OR(AND($B$9="superior",D1815&gt;$B$10),AND($B$9="inferior",D1815&lt;-$B$10)),"Rechazar H0","No rechazar H0")</f>
        <v>Rechazar H0</v>
      </c>
      <c r="F1815" s="0" t="str">
        <f aca="false">IF(AND(B1815="H0 verdadera",E1815="Rechazar H0"),"Error tipo I",IF(AND(B1815="Ha verdadera",E1815="No rechazar H0"),"Error tipo II","Decisión correcta"))</f>
        <v>Decisión correcta</v>
      </c>
    </row>
    <row r="1816" customFormat="false" ht="15" hidden="false" customHeight="false" outlineLevel="0" collapsed="false">
      <c r="A1816" s="0" t="n">
        <v>1795</v>
      </c>
      <c r="B1816" s="0" t="s">
        <v>86</v>
      </c>
      <c r="C1816" s="17" t="n">
        <v>-0.625448699959371</v>
      </c>
      <c r="D1816" s="17" t="n">
        <f aca="false">(C1816-$B$4)/($B$6/SQRT($B$7))</f>
        <v>-3.12724349979685</v>
      </c>
      <c r="E1816" s="0" t="str">
        <f aca="false">IF(OR(AND($B$9="superior",D1816&gt;$B$10),AND($B$9="inferior",D1816&lt;-$B$10)),"Rechazar H0","No rechazar H0")</f>
        <v>Rechazar H0</v>
      </c>
      <c r="F1816" s="0" t="str">
        <f aca="false">IF(AND(B1816="H0 verdadera",E1816="Rechazar H0"),"Error tipo I",IF(AND(B1816="Ha verdadera",E1816="No rechazar H0"),"Error tipo II","Decisión correcta"))</f>
        <v>Decisión correcta</v>
      </c>
    </row>
    <row r="1817" customFormat="false" ht="15" hidden="false" customHeight="false" outlineLevel="0" collapsed="false">
      <c r="A1817" s="0" t="n">
        <v>1796</v>
      </c>
      <c r="B1817" s="0" t="s">
        <v>86</v>
      </c>
      <c r="C1817" s="17" t="n">
        <v>-0.522788893171683</v>
      </c>
      <c r="D1817" s="17" t="n">
        <f aca="false">(C1817-$B$4)/($B$6/SQRT($B$7))</f>
        <v>-2.61394446585841</v>
      </c>
      <c r="E1817" s="0" t="str">
        <f aca="false">IF(OR(AND($B$9="superior",D1817&gt;$B$10),AND($B$9="inferior",D1817&lt;-$B$10)),"Rechazar H0","No rechazar H0")</f>
        <v>Rechazar H0</v>
      </c>
      <c r="F1817" s="0" t="str">
        <f aca="false">IF(AND(B1817="H0 verdadera",E1817="Rechazar H0"),"Error tipo I",IF(AND(B1817="Ha verdadera",E1817="No rechazar H0"),"Error tipo II","Decisión correcta"))</f>
        <v>Decisión correcta</v>
      </c>
    </row>
    <row r="1818" customFormat="false" ht="15" hidden="false" customHeight="false" outlineLevel="0" collapsed="false">
      <c r="A1818" s="0" t="n">
        <v>1797</v>
      </c>
      <c r="B1818" s="0" t="s">
        <v>86</v>
      </c>
      <c r="C1818" s="17" t="n">
        <v>-0.41989945601798</v>
      </c>
      <c r="D1818" s="17" t="n">
        <f aca="false">(C1818-$B$4)/($B$6/SQRT($B$7))</f>
        <v>-2.0994972800899</v>
      </c>
      <c r="E1818" s="0" t="str">
        <f aca="false">IF(OR(AND($B$9="superior",D1818&gt;$B$10),AND($B$9="inferior",D1818&lt;-$B$10)),"Rechazar H0","No rechazar H0")</f>
        <v>Rechazar H0</v>
      </c>
      <c r="F1818" s="0" t="str">
        <f aca="false">IF(AND(B1818="H0 verdadera",E1818="Rechazar H0"),"Error tipo I",IF(AND(B1818="Ha verdadera",E1818="No rechazar H0"),"Error tipo II","Decisión correcta"))</f>
        <v>Decisión correcta</v>
      </c>
    </row>
    <row r="1819" customFormat="false" ht="15" hidden="false" customHeight="false" outlineLevel="0" collapsed="false">
      <c r="A1819" s="0" t="n">
        <v>1798</v>
      </c>
      <c r="B1819" s="0" t="s">
        <v>86</v>
      </c>
      <c r="C1819" s="17" t="n">
        <v>-0.225442500809039</v>
      </c>
      <c r="D1819" s="17" t="n">
        <f aca="false">(C1819-$B$4)/($B$6/SQRT($B$7))</f>
        <v>-1.12721250404519</v>
      </c>
      <c r="E1819" s="0" t="str">
        <f aca="false">IF(OR(AND($B$9="superior",D1819&gt;$B$10),AND($B$9="inferior",D1819&lt;-$B$10)),"Rechazar H0","No rechazar H0")</f>
        <v>No rechazar H0</v>
      </c>
      <c r="F1819" s="0" t="str">
        <f aca="false">IF(AND(B1819="H0 verdadera",E1819="Rechazar H0"),"Error tipo I",IF(AND(B1819="Ha verdadera",E1819="No rechazar H0"),"Error tipo II","Decisión correcta"))</f>
        <v>Error tipo II</v>
      </c>
    </row>
    <row r="1820" customFormat="false" ht="15" hidden="false" customHeight="false" outlineLevel="0" collapsed="false">
      <c r="A1820" s="0" t="n">
        <v>1799</v>
      </c>
      <c r="B1820" s="0" t="s">
        <v>85</v>
      </c>
      <c r="C1820" s="17" t="n">
        <v>0.354868006683661</v>
      </c>
      <c r="D1820" s="17" t="n">
        <f aca="false">(C1820-$B$4)/($B$6/SQRT($B$7))</f>
        <v>1.7743400334183</v>
      </c>
      <c r="E1820" s="0" t="str">
        <f aca="false">IF(OR(AND($B$9="superior",D1820&gt;$B$10),AND($B$9="inferior",D1820&lt;-$B$10)),"Rechazar H0","No rechazar H0")</f>
        <v>No rechazar H0</v>
      </c>
      <c r="F1820" s="0" t="str">
        <f aca="false">IF(AND(B1820="H0 verdadera",E1820="Rechazar H0"),"Error tipo I",IF(AND(B1820="Ha verdadera",E1820="No rechazar H0"),"Error tipo II","Decisión correcta"))</f>
        <v>Decisión correcta</v>
      </c>
    </row>
    <row r="1821" customFormat="false" ht="15" hidden="false" customHeight="false" outlineLevel="0" collapsed="false">
      <c r="A1821" s="0" t="n">
        <v>1800</v>
      </c>
      <c r="B1821" s="0" t="s">
        <v>86</v>
      </c>
      <c r="C1821" s="17" t="n">
        <v>-0.557092167971419</v>
      </c>
      <c r="D1821" s="17" t="n">
        <f aca="false">(C1821-$B$4)/($B$6/SQRT($B$7))</f>
        <v>-2.7854608398571</v>
      </c>
      <c r="E1821" s="0" t="str">
        <f aca="false">IF(OR(AND($B$9="superior",D1821&gt;$B$10),AND($B$9="inferior",D1821&lt;-$B$10)),"Rechazar H0","No rechazar H0")</f>
        <v>Rechazar H0</v>
      </c>
      <c r="F1821" s="0" t="str">
        <f aca="false">IF(AND(B1821="H0 verdadera",E1821="Rechazar H0"),"Error tipo I",IF(AND(B1821="Ha verdadera",E1821="No rechazar H0"),"Error tipo II","Decisión correcta"))</f>
        <v>Decisión correcta</v>
      </c>
    </row>
    <row r="1822" customFormat="false" ht="15" hidden="false" customHeight="false" outlineLevel="0" collapsed="false">
      <c r="A1822" s="0" t="n">
        <v>1801</v>
      </c>
      <c r="B1822" s="0" t="s">
        <v>86</v>
      </c>
      <c r="C1822" s="17" t="n">
        <v>-0.214953616821936</v>
      </c>
      <c r="D1822" s="17" t="n">
        <f aca="false">(C1822-$B$4)/($B$6/SQRT($B$7))</f>
        <v>-1.07476808410968</v>
      </c>
      <c r="E1822" s="0" t="str">
        <f aca="false">IF(OR(AND($B$9="superior",D1822&gt;$B$10),AND($B$9="inferior",D1822&lt;-$B$10)),"Rechazar H0","No rechazar H0")</f>
        <v>No rechazar H0</v>
      </c>
      <c r="F1822" s="0" t="str">
        <f aca="false">IF(AND(B1822="H0 verdadera",E1822="Rechazar H0"),"Error tipo I",IF(AND(B1822="Ha verdadera",E1822="No rechazar H0"),"Error tipo II","Decisión correcta"))</f>
        <v>Error tipo II</v>
      </c>
    </row>
    <row r="1823" customFormat="false" ht="15" hidden="false" customHeight="false" outlineLevel="0" collapsed="false">
      <c r="A1823" s="0" t="n">
        <v>1802</v>
      </c>
      <c r="B1823" s="0" t="s">
        <v>85</v>
      </c>
      <c r="C1823" s="17" t="n">
        <v>-0.0516587636823331</v>
      </c>
      <c r="D1823" s="17" t="n">
        <f aca="false">(C1823-$B$4)/($B$6/SQRT($B$7))</f>
        <v>-0.258293818411666</v>
      </c>
      <c r="E1823" s="0" t="str">
        <f aca="false">IF(OR(AND($B$9="superior",D1823&gt;$B$10),AND($B$9="inferior",D1823&lt;-$B$10)),"Rechazar H0","No rechazar H0")</f>
        <v>No rechazar H0</v>
      </c>
      <c r="F1823" s="0" t="str">
        <f aca="false">IF(AND(B1823="H0 verdadera",E1823="Rechazar H0"),"Error tipo I",IF(AND(B1823="Ha verdadera",E1823="No rechazar H0"),"Error tipo II","Decisión correcta"))</f>
        <v>Decisión correcta</v>
      </c>
    </row>
    <row r="1824" customFormat="false" ht="15" hidden="false" customHeight="false" outlineLevel="0" collapsed="false">
      <c r="A1824" s="0" t="n">
        <v>1803</v>
      </c>
      <c r="B1824" s="0" t="s">
        <v>86</v>
      </c>
      <c r="C1824" s="17" t="n">
        <v>-0.291930686715722</v>
      </c>
      <c r="D1824" s="17" t="n">
        <f aca="false">(C1824-$B$4)/($B$6/SQRT($B$7))</f>
        <v>-1.45965343357861</v>
      </c>
      <c r="E1824" s="0" t="str">
        <f aca="false">IF(OR(AND($B$9="superior",D1824&gt;$B$10),AND($B$9="inferior",D1824&lt;-$B$10)),"Rechazar H0","No rechazar H0")</f>
        <v>No rechazar H0</v>
      </c>
      <c r="F1824" s="0" t="str">
        <f aca="false">IF(AND(B1824="H0 verdadera",E1824="Rechazar H0"),"Error tipo I",IF(AND(B1824="Ha verdadera",E1824="No rechazar H0"),"Error tipo II","Decisión correcta"))</f>
        <v>Error tipo II</v>
      </c>
    </row>
    <row r="1825" customFormat="false" ht="15" hidden="false" customHeight="false" outlineLevel="0" collapsed="false">
      <c r="A1825" s="0" t="n">
        <v>1804</v>
      </c>
      <c r="B1825" s="0" t="s">
        <v>86</v>
      </c>
      <c r="C1825" s="17" t="n">
        <v>-0.684844562511086</v>
      </c>
      <c r="D1825" s="17" t="n">
        <f aca="false">(C1825-$B$4)/($B$6/SQRT($B$7))</f>
        <v>-3.42422281255543</v>
      </c>
      <c r="E1825" s="0" t="str">
        <f aca="false">IF(OR(AND($B$9="superior",D1825&gt;$B$10),AND($B$9="inferior",D1825&lt;-$B$10)),"Rechazar H0","No rechazar H0")</f>
        <v>Rechazar H0</v>
      </c>
      <c r="F1825" s="0" t="str">
        <f aca="false">IF(AND(B1825="H0 verdadera",E1825="Rechazar H0"),"Error tipo I",IF(AND(B1825="Ha verdadera",E1825="No rechazar H0"),"Error tipo II","Decisión correcta"))</f>
        <v>Decisión correcta</v>
      </c>
    </row>
    <row r="1826" customFormat="false" ht="15" hidden="false" customHeight="false" outlineLevel="0" collapsed="false">
      <c r="A1826" s="0" t="n">
        <v>1805</v>
      </c>
      <c r="B1826" s="0" t="s">
        <v>85</v>
      </c>
      <c r="C1826" s="17" t="n">
        <v>-0.324470291202193</v>
      </c>
      <c r="D1826" s="17" t="n">
        <f aca="false">(C1826-$B$4)/($B$6/SQRT($B$7))</f>
        <v>-1.62235145601097</v>
      </c>
      <c r="E1826" s="0" t="str">
        <f aca="false">IF(OR(AND($B$9="superior",D1826&gt;$B$10),AND($B$9="inferior",D1826&lt;-$B$10)),"Rechazar H0","No rechazar H0")</f>
        <v>No rechazar H0</v>
      </c>
      <c r="F1826" s="0" t="str">
        <f aca="false">IF(AND(B1826="H0 verdadera",E1826="Rechazar H0"),"Error tipo I",IF(AND(B1826="Ha verdadera",E1826="No rechazar H0"),"Error tipo II","Decisión correcta"))</f>
        <v>Decisión correcta</v>
      </c>
    </row>
    <row r="1827" customFormat="false" ht="15" hidden="false" customHeight="false" outlineLevel="0" collapsed="false">
      <c r="A1827" s="0" t="n">
        <v>1806</v>
      </c>
      <c r="B1827" s="0" t="s">
        <v>85</v>
      </c>
      <c r="C1827" s="17" t="n">
        <v>0.0601276844963901</v>
      </c>
      <c r="D1827" s="17" t="n">
        <f aca="false">(C1827-$B$4)/($B$6/SQRT($B$7))</f>
        <v>0.300638422481951</v>
      </c>
      <c r="E1827" s="0" t="str">
        <f aca="false">IF(OR(AND($B$9="superior",D1827&gt;$B$10),AND($B$9="inferior",D1827&lt;-$B$10)),"Rechazar H0","No rechazar H0")</f>
        <v>No rechazar H0</v>
      </c>
      <c r="F1827" s="0" t="str">
        <f aca="false">IF(AND(B1827="H0 verdadera",E1827="Rechazar H0"),"Error tipo I",IF(AND(B1827="Ha verdadera",E1827="No rechazar H0"),"Error tipo II","Decisión correcta"))</f>
        <v>Decisión correcta</v>
      </c>
    </row>
    <row r="1828" customFormat="false" ht="15" hidden="false" customHeight="false" outlineLevel="0" collapsed="false">
      <c r="A1828" s="0" t="n">
        <v>1807</v>
      </c>
      <c r="B1828" s="0" t="s">
        <v>85</v>
      </c>
      <c r="C1828" s="17" t="n">
        <v>0.0795453881418727</v>
      </c>
      <c r="D1828" s="17" t="n">
        <f aca="false">(C1828-$B$4)/($B$6/SQRT($B$7))</f>
        <v>0.397726940709364</v>
      </c>
      <c r="E1828" s="0" t="str">
        <f aca="false">IF(OR(AND($B$9="superior",D1828&gt;$B$10),AND($B$9="inferior",D1828&lt;-$B$10)),"Rechazar H0","No rechazar H0")</f>
        <v>No rechazar H0</v>
      </c>
      <c r="F1828" s="0" t="str">
        <f aca="false">IF(AND(B1828="H0 verdadera",E1828="Rechazar H0"),"Error tipo I",IF(AND(B1828="Ha verdadera",E1828="No rechazar H0"),"Error tipo II","Decisión correcta"))</f>
        <v>Decisión correcta</v>
      </c>
    </row>
    <row r="1829" customFormat="false" ht="15" hidden="false" customHeight="false" outlineLevel="0" collapsed="false">
      <c r="A1829" s="0" t="n">
        <v>1808</v>
      </c>
      <c r="B1829" s="0" t="s">
        <v>86</v>
      </c>
      <c r="C1829" s="17" t="n">
        <v>-0.575186623662024</v>
      </c>
      <c r="D1829" s="17" t="n">
        <f aca="false">(C1829-$B$4)/($B$6/SQRT($B$7))</f>
        <v>-2.87593311831012</v>
      </c>
      <c r="E1829" s="0" t="str">
        <f aca="false">IF(OR(AND($B$9="superior",D1829&gt;$B$10),AND($B$9="inferior",D1829&lt;-$B$10)),"Rechazar H0","No rechazar H0")</f>
        <v>Rechazar H0</v>
      </c>
      <c r="F1829" s="0" t="str">
        <f aca="false">IF(AND(B1829="H0 verdadera",E1829="Rechazar H0"),"Error tipo I",IF(AND(B1829="Ha verdadera",E1829="No rechazar H0"),"Error tipo II","Decisión correcta"))</f>
        <v>Decisión correcta</v>
      </c>
    </row>
    <row r="1830" customFormat="false" ht="15" hidden="false" customHeight="false" outlineLevel="0" collapsed="false">
      <c r="A1830" s="0" t="n">
        <v>1809</v>
      </c>
      <c r="B1830" s="0" t="s">
        <v>85</v>
      </c>
      <c r="C1830" s="17" t="n">
        <v>0.0178736992651372</v>
      </c>
      <c r="D1830" s="17" t="n">
        <f aca="false">(C1830-$B$4)/($B$6/SQRT($B$7))</f>
        <v>0.0893684963256859</v>
      </c>
      <c r="E1830" s="0" t="str">
        <f aca="false">IF(OR(AND($B$9="superior",D1830&gt;$B$10),AND($B$9="inferior",D1830&lt;-$B$10)),"Rechazar H0","No rechazar H0")</f>
        <v>No rechazar H0</v>
      </c>
      <c r="F1830" s="0" t="str">
        <f aca="false">IF(AND(B1830="H0 verdadera",E1830="Rechazar H0"),"Error tipo I",IF(AND(B1830="Ha verdadera",E1830="No rechazar H0"),"Error tipo II","Decisión correcta"))</f>
        <v>Decisión correcta</v>
      </c>
    </row>
    <row r="1831" customFormat="false" ht="15" hidden="false" customHeight="false" outlineLevel="0" collapsed="false">
      <c r="A1831" s="0" t="n">
        <v>1810</v>
      </c>
      <c r="B1831" s="0" t="s">
        <v>85</v>
      </c>
      <c r="C1831" s="17" t="n">
        <v>0.0146492679515254</v>
      </c>
      <c r="D1831" s="17" t="n">
        <f aca="false">(C1831-$B$4)/($B$6/SQRT($B$7))</f>
        <v>0.073246339757627</v>
      </c>
      <c r="E1831" s="0" t="str">
        <f aca="false">IF(OR(AND($B$9="superior",D1831&gt;$B$10),AND($B$9="inferior",D1831&lt;-$B$10)),"Rechazar H0","No rechazar H0")</f>
        <v>No rechazar H0</v>
      </c>
      <c r="F1831" s="0" t="str">
        <f aca="false">IF(AND(B1831="H0 verdadera",E1831="Rechazar H0"),"Error tipo I",IF(AND(B1831="Ha verdadera",E1831="No rechazar H0"),"Error tipo II","Decisión correcta"))</f>
        <v>Decisión correcta</v>
      </c>
    </row>
    <row r="1832" customFormat="false" ht="15" hidden="false" customHeight="false" outlineLevel="0" collapsed="false">
      <c r="A1832" s="0" t="n">
        <v>1811</v>
      </c>
      <c r="B1832" s="0" t="s">
        <v>86</v>
      </c>
      <c r="C1832" s="17" t="n">
        <v>-0.563066317983189</v>
      </c>
      <c r="D1832" s="17" t="n">
        <f aca="false">(C1832-$B$4)/($B$6/SQRT($B$7))</f>
        <v>-2.81533158991594</v>
      </c>
      <c r="E1832" s="0" t="str">
        <f aca="false">IF(OR(AND($B$9="superior",D1832&gt;$B$10),AND($B$9="inferior",D1832&lt;-$B$10)),"Rechazar H0","No rechazar H0")</f>
        <v>Rechazar H0</v>
      </c>
      <c r="F1832" s="0" t="str">
        <f aca="false">IF(AND(B1832="H0 verdadera",E1832="Rechazar H0"),"Error tipo I",IF(AND(B1832="Ha verdadera",E1832="No rechazar H0"),"Error tipo II","Decisión correcta"))</f>
        <v>Decisión correcta</v>
      </c>
    </row>
    <row r="1833" customFormat="false" ht="15" hidden="false" customHeight="false" outlineLevel="0" collapsed="false">
      <c r="A1833" s="0" t="n">
        <v>1812</v>
      </c>
      <c r="B1833" s="0" t="s">
        <v>86</v>
      </c>
      <c r="C1833" s="17" t="n">
        <v>-0.403380408150608</v>
      </c>
      <c r="D1833" s="17" t="n">
        <f aca="false">(C1833-$B$4)/($B$6/SQRT($B$7))</f>
        <v>-2.01690204075304</v>
      </c>
      <c r="E1833" s="0" t="str">
        <f aca="false">IF(OR(AND($B$9="superior",D1833&gt;$B$10),AND($B$9="inferior",D1833&lt;-$B$10)),"Rechazar H0","No rechazar H0")</f>
        <v>Rechazar H0</v>
      </c>
      <c r="F1833" s="0" t="str">
        <f aca="false">IF(AND(B1833="H0 verdadera",E1833="Rechazar H0"),"Error tipo I",IF(AND(B1833="Ha verdadera",E1833="No rechazar H0"),"Error tipo II","Decisión correcta"))</f>
        <v>Decisión correcta</v>
      </c>
    </row>
    <row r="1834" customFormat="false" ht="15" hidden="false" customHeight="false" outlineLevel="0" collapsed="false">
      <c r="A1834" s="0" t="n">
        <v>1813</v>
      </c>
      <c r="B1834" s="0" t="s">
        <v>86</v>
      </c>
      <c r="C1834" s="17" t="n">
        <v>-0.674444276642126</v>
      </c>
      <c r="D1834" s="17" t="n">
        <f aca="false">(C1834-$B$4)/($B$6/SQRT($B$7))</f>
        <v>-3.37222138321063</v>
      </c>
      <c r="E1834" s="0" t="str">
        <f aca="false">IF(OR(AND($B$9="superior",D1834&gt;$B$10),AND($B$9="inferior",D1834&lt;-$B$10)),"Rechazar H0","No rechazar H0")</f>
        <v>Rechazar H0</v>
      </c>
      <c r="F1834" s="0" t="str">
        <f aca="false">IF(AND(B1834="H0 verdadera",E1834="Rechazar H0"),"Error tipo I",IF(AND(B1834="Ha verdadera",E1834="No rechazar H0"),"Error tipo II","Decisión correcta"))</f>
        <v>Decisión correcta</v>
      </c>
    </row>
    <row r="1835" customFormat="false" ht="15" hidden="false" customHeight="false" outlineLevel="0" collapsed="false">
      <c r="A1835" s="0" t="n">
        <v>1814</v>
      </c>
      <c r="B1835" s="0" t="s">
        <v>86</v>
      </c>
      <c r="C1835" s="17" t="n">
        <v>-0.333457795417908</v>
      </c>
      <c r="D1835" s="17" t="n">
        <f aca="false">(C1835-$B$4)/($B$6/SQRT($B$7))</f>
        <v>-1.66728897708954</v>
      </c>
      <c r="E1835" s="0" t="str">
        <f aca="false">IF(OR(AND($B$9="superior",D1835&gt;$B$10),AND($B$9="inferior",D1835&lt;-$B$10)),"Rechazar H0","No rechazar H0")</f>
        <v>Rechazar H0</v>
      </c>
      <c r="F1835" s="0" t="str">
        <f aca="false">IF(AND(B1835="H0 verdadera",E1835="Rechazar H0"),"Error tipo I",IF(AND(B1835="Ha verdadera",E1835="No rechazar H0"),"Error tipo II","Decisión correcta"))</f>
        <v>Decisión correcta</v>
      </c>
    </row>
    <row r="1836" customFormat="false" ht="15" hidden="false" customHeight="false" outlineLevel="0" collapsed="false">
      <c r="A1836" s="0" t="n">
        <v>1815</v>
      </c>
      <c r="B1836" s="0" t="s">
        <v>85</v>
      </c>
      <c r="C1836" s="17" t="n">
        <v>0.0154271895813501</v>
      </c>
      <c r="D1836" s="17" t="n">
        <f aca="false">(C1836-$B$4)/($B$6/SQRT($B$7))</f>
        <v>0.0771359479067503</v>
      </c>
      <c r="E1836" s="0" t="str">
        <f aca="false">IF(OR(AND($B$9="superior",D1836&gt;$B$10),AND($B$9="inferior",D1836&lt;-$B$10)),"Rechazar H0","No rechazar H0")</f>
        <v>No rechazar H0</v>
      </c>
      <c r="F1836" s="0" t="str">
        <f aca="false">IF(AND(B1836="H0 verdadera",E1836="Rechazar H0"),"Error tipo I",IF(AND(B1836="Ha verdadera",E1836="No rechazar H0"),"Error tipo II","Decisión correcta"))</f>
        <v>Decisión correcta</v>
      </c>
    </row>
    <row r="1837" customFormat="false" ht="15" hidden="false" customHeight="false" outlineLevel="0" collapsed="false">
      <c r="A1837" s="0" t="n">
        <v>1816</v>
      </c>
      <c r="B1837" s="0" t="s">
        <v>86</v>
      </c>
      <c r="C1837" s="17" t="n">
        <v>-0.693362238018433</v>
      </c>
      <c r="D1837" s="17" t="n">
        <f aca="false">(C1837-$B$4)/($B$6/SQRT($B$7))</f>
        <v>-3.46681119009216</v>
      </c>
      <c r="E1837" s="0" t="str">
        <f aca="false">IF(OR(AND($B$9="superior",D1837&gt;$B$10),AND($B$9="inferior",D1837&lt;-$B$10)),"Rechazar H0","No rechazar H0")</f>
        <v>Rechazar H0</v>
      </c>
      <c r="F1837" s="0" t="str">
        <f aca="false">IF(AND(B1837="H0 verdadera",E1837="Rechazar H0"),"Error tipo I",IF(AND(B1837="Ha verdadera",E1837="No rechazar H0"),"Error tipo II","Decisión correcta"))</f>
        <v>Decisión correcta</v>
      </c>
    </row>
    <row r="1838" customFormat="false" ht="15" hidden="false" customHeight="false" outlineLevel="0" collapsed="false">
      <c r="A1838" s="0" t="n">
        <v>1817</v>
      </c>
      <c r="B1838" s="0" t="s">
        <v>85</v>
      </c>
      <c r="C1838" s="17" t="n">
        <v>-0.061216265793206</v>
      </c>
      <c r="D1838" s="17" t="n">
        <f aca="false">(C1838-$B$4)/($B$6/SQRT($B$7))</f>
        <v>-0.30608132896603</v>
      </c>
      <c r="E1838" s="0" t="str">
        <f aca="false">IF(OR(AND($B$9="superior",D1838&gt;$B$10),AND($B$9="inferior",D1838&lt;-$B$10)),"Rechazar H0","No rechazar H0")</f>
        <v>No rechazar H0</v>
      </c>
      <c r="F1838" s="0" t="str">
        <f aca="false">IF(AND(B1838="H0 verdadera",E1838="Rechazar H0"),"Error tipo I",IF(AND(B1838="Ha verdadera",E1838="No rechazar H0"),"Error tipo II","Decisión correcta"))</f>
        <v>Decisión correcta</v>
      </c>
    </row>
    <row r="1839" customFormat="false" ht="15" hidden="false" customHeight="false" outlineLevel="0" collapsed="false">
      <c r="A1839" s="0" t="n">
        <v>1818</v>
      </c>
      <c r="B1839" s="0" t="s">
        <v>86</v>
      </c>
      <c r="C1839" s="17" t="n">
        <v>-0.228547431090142</v>
      </c>
      <c r="D1839" s="17" t="n">
        <f aca="false">(C1839-$B$4)/($B$6/SQRT($B$7))</f>
        <v>-1.14273715545071</v>
      </c>
      <c r="E1839" s="0" t="str">
        <f aca="false">IF(OR(AND($B$9="superior",D1839&gt;$B$10),AND($B$9="inferior",D1839&lt;-$B$10)),"Rechazar H0","No rechazar H0")</f>
        <v>No rechazar H0</v>
      </c>
      <c r="F1839" s="0" t="str">
        <f aca="false">IF(AND(B1839="H0 verdadera",E1839="Rechazar H0"),"Error tipo I",IF(AND(B1839="Ha verdadera",E1839="No rechazar H0"),"Error tipo II","Decisión correcta"))</f>
        <v>Error tipo II</v>
      </c>
    </row>
    <row r="1840" customFormat="false" ht="15" hidden="false" customHeight="false" outlineLevel="0" collapsed="false">
      <c r="A1840" s="0" t="n">
        <v>1819</v>
      </c>
      <c r="B1840" s="0" t="s">
        <v>85</v>
      </c>
      <c r="C1840" s="17" t="n">
        <v>0.017160096798844</v>
      </c>
      <c r="D1840" s="17" t="n">
        <f aca="false">(C1840-$B$4)/($B$6/SQRT($B$7))</f>
        <v>0.0858004839942198</v>
      </c>
      <c r="E1840" s="0" t="str">
        <f aca="false">IF(OR(AND($B$9="superior",D1840&gt;$B$10),AND($B$9="inferior",D1840&lt;-$B$10)),"Rechazar H0","No rechazar H0")</f>
        <v>No rechazar H0</v>
      </c>
      <c r="F1840" s="0" t="str">
        <f aca="false">IF(AND(B1840="H0 verdadera",E1840="Rechazar H0"),"Error tipo I",IF(AND(B1840="Ha verdadera",E1840="No rechazar H0"),"Error tipo II","Decisión correcta"))</f>
        <v>Decisión correcta</v>
      </c>
    </row>
    <row r="1841" customFormat="false" ht="15" hidden="false" customHeight="false" outlineLevel="0" collapsed="false">
      <c r="A1841" s="0" t="n">
        <v>1820</v>
      </c>
      <c r="B1841" s="0" t="s">
        <v>85</v>
      </c>
      <c r="C1841" s="17" t="n">
        <v>-0.290302674892608</v>
      </c>
      <c r="D1841" s="17" t="n">
        <f aca="false">(C1841-$B$4)/($B$6/SQRT($B$7))</f>
        <v>-1.45151337446304</v>
      </c>
      <c r="E1841" s="0" t="str">
        <f aca="false">IF(OR(AND($B$9="superior",D1841&gt;$B$10),AND($B$9="inferior",D1841&lt;-$B$10)),"Rechazar H0","No rechazar H0")</f>
        <v>No rechazar H0</v>
      </c>
      <c r="F1841" s="0" t="str">
        <f aca="false">IF(AND(B1841="H0 verdadera",E1841="Rechazar H0"),"Error tipo I",IF(AND(B1841="Ha verdadera",E1841="No rechazar H0"),"Error tipo II","Decisión correcta"))</f>
        <v>Decisión correcta</v>
      </c>
    </row>
    <row r="1842" customFormat="false" ht="15" hidden="false" customHeight="false" outlineLevel="0" collapsed="false">
      <c r="A1842" s="0" t="n">
        <v>1821</v>
      </c>
      <c r="B1842" s="0" t="s">
        <v>86</v>
      </c>
      <c r="C1842" s="17" t="n">
        <v>-0.114647058484943</v>
      </c>
      <c r="D1842" s="17" t="n">
        <f aca="false">(C1842-$B$4)/($B$6/SQRT($B$7))</f>
        <v>-0.573235292424713</v>
      </c>
      <c r="E1842" s="0" t="str">
        <f aca="false">IF(OR(AND($B$9="superior",D1842&gt;$B$10),AND($B$9="inferior",D1842&lt;-$B$10)),"Rechazar H0","No rechazar H0")</f>
        <v>No rechazar H0</v>
      </c>
      <c r="F1842" s="0" t="str">
        <f aca="false">IF(AND(B1842="H0 verdadera",E1842="Rechazar H0"),"Error tipo I",IF(AND(B1842="Ha verdadera",E1842="No rechazar H0"),"Error tipo II","Decisión correcta"))</f>
        <v>Error tipo II</v>
      </c>
    </row>
    <row r="1843" customFormat="false" ht="15" hidden="false" customHeight="false" outlineLevel="0" collapsed="false">
      <c r="A1843" s="0" t="n">
        <v>1822</v>
      </c>
      <c r="B1843" s="0" t="s">
        <v>85</v>
      </c>
      <c r="C1843" s="17" t="n">
        <v>0.0418162016684004</v>
      </c>
      <c r="D1843" s="17" t="n">
        <f aca="false">(C1843-$B$4)/($B$6/SQRT($B$7))</f>
        <v>0.209081008342002</v>
      </c>
      <c r="E1843" s="0" t="str">
        <f aca="false">IF(OR(AND($B$9="superior",D1843&gt;$B$10),AND($B$9="inferior",D1843&lt;-$B$10)),"Rechazar H0","No rechazar H0")</f>
        <v>No rechazar H0</v>
      </c>
      <c r="F1843" s="0" t="str">
        <f aca="false">IF(AND(B1843="H0 verdadera",E1843="Rechazar H0"),"Error tipo I",IF(AND(B1843="Ha verdadera",E1843="No rechazar H0"),"Error tipo II","Decisión correcta"))</f>
        <v>Decisión correcta</v>
      </c>
    </row>
    <row r="1844" customFormat="false" ht="15" hidden="false" customHeight="false" outlineLevel="0" collapsed="false">
      <c r="A1844" s="0" t="n">
        <v>1823</v>
      </c>
      <c r="B1844" s="0" t="s">
        <v>85</v>
      </c>
      <c r="C1844" s="17" t="n">
        <v>-0.0725868672237542</v>
      </c>
      <c r="D1844" s="17" t="n">
        <f aca="false">(C1844-$B$4)/($B$6/SQRT($B$7))</f>
        <v>-0.362934336118771</v>
      </c>
      <c r="E1844" s="0" t="str">
        <f aca="false">IF(OR(AND($B$9="superior",D1844&gt;$B$10),AND($B$9="inferior",D1844&lt;-$B$10)),"Rechazar H0","No rechazar H0")</f>
        <v>No rechazar H0</v>
      </c>
      <c r="F1844" s="0" t="str">
        <f aca="false">IF(AND(B1844="H0 verdadera",E1844="Rechazar H0"),"Error tipo I",IF(AND(B1844="Ha verdadera",E1844="No rechazar H0"),"Error tipo II","Decisión correcta"))</f>
        <v>Decisión correcta</v>
      </c>
    </row>
    <row r="1845" customFormat="false" ht="15" hidden="false" customHeight="false" outlineLevel="0" collapsed="false">
      <c r="A1845" s="0" t="n">
        <v>1824</v>
      </c>
      <c r="B1845" s="0" t="s">
        <v>85</v>
      </c>
      <c r="C1845" s="17" t="n">
        <v>0.0259712224863713</v>
      </c>
      <c r="D1845" s="17" t="n">
        <f aca="false">(C1845-$B$4)/($B$6/SQRT($B$7))</f>
        <v>0.129856112431857</v>
      </c>
      <c r="E1845" s="0" t="str">
        <f aca="false">IF(OR(AND($B$9="superior",D1845&gt;$B$10),AND($B$9="inferior",D1845&lt;-$B$10)),"Rechazar H0","No rechazar H0")</f>
        <v>No rechazar H0</v>
      </c>
      <c r="F1845" s="0" t="str">
        <f aca="false">IF(AND(B1845="H0 verdadera",E1845="Rechazar H0"),"Error tipo I",IF(AND(B1845="Ha verdadera",E1845="No rechazar H0"),"Error tipo II","Decisión correcta"))</f>
        <v>Decisión correcta</v>
      </c>
    </row>
    <row r="1846" customFormat="false" ht="15" hidden="false" customHeight="false" outlineLevel="0" collapsed="false">
      <c r="A1846" s="0" t="n">
        <v>1825</v>
      </c>
      <c r="B1846" s="0" t="s">
        <v>85</v>
      </c>
      <c r="C1846" s="17" t="n">
        <v>-0.144969624522549</v>
      </c>
      <c r="D1846" s="17" t="n">
        <f aca="false">(C1846-$B$4)/($B$6/SQRT($B$7))</f>
        <v>-0.724848122612743</v>
      </c>
      <c r="E1846" s="0" t="str">
        <f aca="false">IF(OR(AND($B$9="superior",D1846&gt;$B$10),AND($B$9="inferior",D1846&lt;-$B$10)),"Rechazar H0","No rechazar H0")</f>
        <v>No rechazar H0</v>
      </c>
      <c r="F1846" s="0" t="str">
        <f aca="false">IF(AND(B1846="H0 verdadera",E1846="Rechazar H0"),"Error tipo I",IF(AND(B1846="Ha verdadera",E1846="No rechazar H0"),"Error tipo II","Decisión correcta"))</f>
        <v>Decisión correcta</v>
      </c>
    </row>
    <row r="1847" customFormat="false" ht="15" hidden="false" customHeight="false" outlineLevel="0" collapsed="false">
      <c r="A1847" s="0" t="n">
        <v>1826</v>
      </c>
      <c r="B1847" s="0" t="s">
        <v>86</v>
      </c>
      <c r="C1847" s="17" t="n">
        <v>-0.402743916980072</v>
      </c>
      <c r="D1847" s="17" t="n">
        <f aca="false">(C1847-$B$4)/($B$6/SQRT($B$7))</f>
        <v>-2.01371958490036</v>
      </c>
      <c r="E1847" s="0" t="str">
        <f aca="false">IF(OR(AND($B$9="superior",D1847&gt;$B$10),AND($B$9="inferior",D1847&lt;-$B$10)),"Rechazar H0","No rechazar H0")</f>
        <v>Rechazar H0</v>
      </c>
      <c r="F1847" s="0" t="str">
        <f aca="false">IF(AND(B1847="H0 verdadera",E1847="Rechazar H0"),"Error tipo I",IF(AND(B1847="Ha verdadera",E1847="No rechazar H0"),"Error tipo II","Decisión correcta"))</f>
        <v>Decisión correcta</v>
      </c>
    </row>
    <row r="1848" customFormat="false" ht="15" hidden="false" customHeight="false" outlineLevel="0" collapsed="false">
      <c r="A1848" s="0" t="n">
        <v>1827</v>
      </c>
      <c r="B1848" s="0" t="s">
        <v>86</v>
      </c>
      <c r="C1848" s="17" t="n">
        <v>-0.437600779909442</v>
      </c>
      <c r="D1848" s="17" t="n">
        <f aca="false">(C1848-$B$4)/($B$6/SQRT($B$7))</f>
        <v>-2.18800389954721</v>
      </c>
      <c r="E1848" s="0" t="str">
        <f aca="false">IF(OR(AND($B$9="superior",D1848&gt;$B$10),AND($B$9="inferior",D1848&lt;-$B$10)),"Rechazar H0","No rechazar H0")</f>
        <v>Rechazar H0</v>
      </c>
      <c r="F1848" s="0" t="str">
        <f aca="false">IF(AND(B1848="H0 verdadera",E1848="Rechazar H0"),"Error tipo I",IF(AND(B1848="Ha verdadera",E1848="No rechazar H0"),"Error tipo II","Decisión correcta"))</f>
        <v>Decisión correcta</v>
      </c>
    </row>
    <row r="1849" customFormat="false" ht="15" hidden="false" customHeight="false" outlineLevel="0" collapsed="false">
      <c r="A1849" s="0" t="n">
        <v>1828</v>
      </c>
      <c r="B1849" s="0" t="s">
        <v>85</v>
      </c>
      <c r="C1849" s="17" t="n">
        <v>-0.00691489721786432</v>
      </c>
      <c r="D1849" s="17" t="n">
        <f aca="false">(C1849-$B$4)/($B$6/SQRT($B$7))</f>
        <v>-0.0345744860893216</v>
      </c>
      <c r="E1849" s="0" t="str">
        <f aca="false">IF(OR(AND($B$9="superior",D1849&gt;$B$10),AND($B$9="inferior",D1849&lt;-$B$10)),"Rechazar H0","No rechazar H0")</f>
        <v>No rechazar H0</v>
      </c>
      <c r="F1849" s="0" t="str">
        <f aca="false">IF(AND(B1849="H0 verdadera",E1849="Rechazar H0"),"Error tipo I",IF(AND(B1849="Ha verdadera",E1849="No rechazar H0"),"Error tipo II","Decisión correcta"))</f>
        <v>Decisión correcta</v>
      </c>
    </row>
    <row r="1850" customFormat="false" ht="15" hidden="false" customHeight="false" outlineLevel="0" collapsed="false">
      <c r="A1850" s="0" t="n">
        <v>1829</v>
      </c>
      <c r="B1850" s="0" t="s">
        <v>85</v>
      </c>
      <c r="C1850" s="17" t="n">
        <v>0.077869399396254</v>
      </c>
      <c r="D1850" s="17" t="n">
        <f aca="false">(C1850-$B$4)/($B$6/SQRT($B$7))</f>
        <v>0.38934699698127</v>
      </c>
      <c r="E1850" s="0" t="str">
        <f aca="false">IF(OR(AND($B$9="superior",D1850&gt;$B$10),AND($B$9="inferior",D1850&lt;-$B$10)),"Rechazar H0","No rechazar H0")</f>
        <v>No rechazar H0</v>
      </c>
      <c r="F1850" s="0" t="str">
        <f aca="false">IF(AND(B1850="H0 verdadera",E1850="Rechazar H0"),"Error tipo I",IF(AND(B1850="Ha verdadera",E1850="No rechazar H0"),"Error tipo II","Decisión correcta"))</f>
        <v>Decisión correcta</v>
      </c>
    </row>
    <row r="1851" customFormat="false" ht="15" hidden="false" customHeight="false" outlineLevel="0" collapsed="false">
      <c r="A1851" s="0" t="n">
        <v>1830</v>
      </c>
      <c r="B1851" s="0" t="s">
        <v>85</v>
      </c>
      <c r="C1851" s="17" t="n">
        <v>0.00881697951214483</v>
      </c>
      <c r="D1851" s="17" t="n">
        <f aca="false">(C1851-$B$4)/($B$6/SQRT($B$7))</f>
        <v>0.0440848975607241</v>
      </c>
      <c r="E1851" s="0" t="str">
        <f aca="false">IF(OR(AND($B$9="superior",D1851&gt;$B$10),AND($B$9="inferior",D1851&lt;-$B$10)),"Rechazar H0","No rechazar H0")</f>
        <v>No rechazar H0</v>
      </c>
      <c r="F1851" s="0" t="str">
        <f aca="false">IF(AND(B1851="H0 verdadera",E1851="Rechazar H0"),"Error tipo I",IF(AND(B1851="Ha verdadera",E1851="No rechazar H0"),"Error tipo II","Decisión correcta"))</f>
        <v>Decisión correcta</v>
      </c>
    </row>
    <row r="1852" customFormat="false" ht="15" hidden="false" customHeight="false" outlineLevel="0" collapsed="false">
      <c r="A1852" s="0" t="n">
        <v>1831</v>
      </c>
      <c r="B1852" s="0" t="s">
        <v>85</v>
      </c>
      <c r="C1852" s="17" t="n">
        <v>0.0691568062205805</v>
      </c>
      <c r="D1852" s="17" t="n">
        <f aca="false">(C1852-$B$4)/($B$6/SQRT($B$7))</f>
        <v>0.345784031102902</v>
      </c>
      <c r="E1852" s="0" t="str">
        <f aca="false">IF(OR(AND($B$9="superior",D1852&gt;$B$10),AND($B$9="inferior",D1852&lt;-$B$10)),"Rechazar H0","No rechazar H0")</f>
        <v>No rechazar H0</v>
      </c>
      <c r="F1852" s="0" t="str">
        <f aca="false">IF(AND(B1852="H0 verdadera",E1852="Rechazar H0"),"Error tipo I",IF(AND(B1852="Ha verdadera",E1852="No rechazar H0"),"Error tipo II","Decisión correcta"))</f>
        <v>Decisión correcta</v>
      </c>
    </row>
    <row r="1853" customFormat="false" ht="15" hidden="false" customHeight="false" outlineLevel="0" collapsed="false">
      <c r="A1853" s="0" t="n">
        <v>1832</v>
      </c>
      <c r="B1853" s="0" t="s">
        <v>86</v>
      </c>
      <c r="C1853" s="17" t="n">
        <v>-0.353047998683404</v>
      </c>
      <c r="D1853" s="17" t="n">
        <f aca="false">(C1853-$B$4)/($B$6/SQRT($B$7))</f>
        <v>-1.76523999341702</v>
      </c>
      <c r="E1853" s="0" t="str">
        <f aca="false">IF(OR(AND($B$9="superior",D1853&gt;$B$10),AND($B$9="inferior",D1853&lt;-$B$10)),"Rechazar H0","No rechazar H0")</f>
        <v>Rechazar H0</v>
      </c>
      <c r="F1853" s="0" t="str">
        <f aca="false">IF(AND(B1853="H0 verdadera",E1853="Rechazar H0"),"Error tipo I",IF(AND(B1853="Ha verdadera",E1853="No rechazar H0"),"Error tipo II","Decisión correcta"))</f>
        <v>Decisión correcta</v>
      </c>
    </row>
    <row r="1854" customFormat="false" ht="15" hidden="false" customHeight="false" outlineLevel="0" collapsed="false">
      <c r="A1854" s="0" t="n">
        <v>1833</v>
      </c>
      <c r="B1854" s="0" t="s">
        <v>85</v>
      </c>
      <c r="C1854" s="17" t="n">
        <v>0.0521711488129151</v>
      </c>
      <c r="D1854" s="17" t="n">
        <f aca="false">(C1854-$B$4)/($B$6/SQRT($B$7))</f>
        <v>0.260855744064576</v>
      </c>
      <c r="E1854" s="0" t="str">
        <f aca="false">IF(OR(AND($B$9="superior",D1854&gt;$B$10),AND($B$9="inferior",D1854&lt;-$B$10)),"Rechazar H0","No rechazar H0")</f>
        <v>No rechazar H0</v>
      </c>
      <c r="F1854" s="0" t="str">
        <f aca="false">IF(AND(B1854="H0 verdadera",E1854="Rechazar H0"),"Error tipo I",IF(AND(B1854="Ha verdadera",E1854="No rechazar H0"),"Error tipo II","Decisión correcta"))</f>
        <v>Decisión correcta</v>
      </c>
    </row>
    <row r="1855" customFormat="false" ht="15" hidden="false" customHeight="false" outlineLevel="0" collapsed="false">
      <c r="A1855" s="0" t="n">
        <v>1834</v>
      </c>
      <c r="B1855" s="0" t="s">
        <v>85</v>
      </c>
      <c r="C1855" s="17" t="n">
        <v>0.0369127440521128</v>
      </c>
      <c r="D1855" s="17" t="n">
        <f aca="false">(C1855-$B$4)/($B$6/SQRT($B$7))</f>
        <v>0.184563720260564</v>
      </c>
      <c r="E1855" s="0" t="str">
        <f aca="false">IF(OR(AND($B$9="superior",D1855&gt;$B$10),AND($B$9="inferior",D1855&lt;-$B$10)),"Rechazar H0","No rechazar H0")</f>
        <v>No rechazar H0</v>
      </c>
      <c r="F1855" s="0" t="str">
        <f aca="false">IF(AND(B1855="H0 verdadera",E1855="Rechazar H0"),"Error tipo I",IF(AND(B1855="Ha verdadera",E1855="No rechazar H0"),"Error tipo II","Decisión correcta"))</f>
        <v>Decisión correcta</v>
      </c>
    </row>
    <row r="1856" customFormat="false" ht="15" hidden="false" customHeight="false" outlineLevel="0" collapsed="false">
      <c r="A1856" s="0" t="n">
        <v>1835</v>
      </c>
      <c r="B1856" s="0" t="s">
        <v>85</v>
      </c>
      <c r="C1856" s="17" t="n">
        <v>-0.148490412781069</v>
      </c>
      <c r="D1856" s="17" t="n">
        <f aca="false">(C1856-$B$4)/($B$6/SQRT($B$7))</f>
        <v>-0.742452063905345</v>
      </c>
      <c r="E1856" s="0" t="str">
        <f aca="false">IF(OR(AND($B$9="superior",D1856&gt;$B$10),AND($B$9="inferior",D1856&lt;-$B$10)),"Rechazar H0","No rechazar H0")</f>
        <v>No rechazar H0</v>
      </c>
      <c r="F1856" s="0" t="str">
        <f aca="false">IF(AND(B1856="H0 verdadera",E1856="Rechazar H0"),"Error tipo I",IF(AND(B1856="Ha verdadera",E1856="No rechazar H0"),"Error tipo II","Decisión correcta"))</f>
        <v>Decisión correcta</v>
      </c>
    </row>
    <row r="1857" customFormat="false" ht="15" hidden="false" customHeight="false" outlineLevel="0" collapsed="false">
      <c r="A1857" s="0" t="n">
        <v>1836</v>
      </c>
      <c r="B1857" s="0" t="s">
        <v>85</v>
      </c>
      <c r="C1857" s="17" t="n">
        <v>-0.185470934996112</v>
      </c>
      <c r="D1857" s="17" t="n">
        <f aca="false">(C1857-$B$4)/($B$6/SQRT($B$7))</f>
        <v>-0.927354674980558</v>
      </c>
      <c r="E1857" s="0" t="str">
        <f aca="false">IF(OR(AND($B$9="superior",D1857&gt;$B$10),AND($B$9="inferior",D1857&lt;-$B$10)),"Rechazar H0","No rechazar H0")</f>
        <v>No rechazar H0</v>
      </c>
      <c r="F1857" s="0" t="str">
        <f aca="false">IF(AND(B1857="H0 verdadera",E1857="Rechazar H0"),"Error tipo I",IF(AND(B1857="Ha verdadera",E1857="No rechazar H0"),"Error tipo II","Decisión correcta"))</f>
        <v>Decisión correcta</v>
      </c>
    </row>
    <row r="1858" customFormat="false" ht="15" hidden="false" customHeight="false" outlineLevel="0" collapsed="false">
      <c r="A1858" s="0" t="n">
        <v>1837</v>
      </c>
      <c r="B1858" s="0" t="s">
        <v>85</v>
      </c>
      <c r="C1858" s="17" t="n">
        <v>-0.121895386881836</v>
      </c>
      <c r="D1858" s="17" t="n">
        <f aca="false">(C1858-$B$4)/($B$6/SQRT($B$7))</f>
        <v>-0.609476934409181</v>
      </c>
      <c r="E1858" s="0" t="str">
        <f aca="false">IF(OR(AND($B$9="superior",D1858&gt;$B$10),AND($B$9="inferior",D1858&lt;-$B$10)),"Rechazar H0","No rechazar H0")</f>
        <v>No rechazar H0</v>
      </c>
      <c r="F1858" s="0" t="str">
        <f aca="false">IF(AND(B1858="H0 verdadera",E1858="Rechazar H0"),"Error tipo I",IF(AND(B1858="Ha verdadera",E1858="No rechazar H0"),"Error tipo II","Decisión correcta"))</f>
        <v>Decisión correcta</v>
      </c>
    </row>
    <row r="1859" customFormat="false" ht="15" hidden="false" customHeight="false" outlineLevel="0" collapsed="false">
      <c r="A1859" s="0" t="n">
        <v>1838</v>
      </c>
      <c r="B1859" s="0" t="s">
        <v>85</v>
      </c>
      <c r="C1859" s="17" t="n">
        <v>6.98017385096428E-005</v>
      </c>
      <c r="D1859" s="17" t="n">
        <f aca="false">(C1859-$B$4)/($B$6/SQRT($B$7))</f>
        <v>0.000349008692548214</v>
      </c>
      <c r="E1859" s="0" t="str">
        <f aca="false">IF(OR(AND($B$9="superior",D1859&gt;$B$10),AND($B$9="inferior",D1859&lt;-$B$10)),"Rechazar H0","No rechazar H0")</f>
        <v>No rechazar H0</v>
      </c>
      <c r="F1859" s="0" t="str">
        <f aca="false">IF(AND(B1859="H0 verdadera",E1859="Rechazar H0"),"Error tipo I",IF(AND(B1859="Ha verdadera",E1859="No rechazar H0"),"Error tipo II","Decisión correcta"))</f>
        <v>Decisión correcta</v>
      </c>
    </row>
    <row r="1860" customFormat="false" ht="15" hidden="false" customHeight="false" outlineLevel="0" collapsed="false">
      <c r="A1860" s="0" t="n">
        <v>1839</v>
      </c>
      <c r="B1860" s="0" t="s">
        <v>86</v>
      </c>
      <c r="C1860" s="17" t="n">
        <v>-0.402547327769403</v>
      </c>
      <c r="D1860" s="17" t="n">
        <f aca="false">(C1860-$B$4)/($B$6/SQRT($B$7))</f>
        <v>-2.01273663884701</v>
      </c>
      <c r="E1860" s="0" t="str">
        <f aca="false">IF(OR(AND($B$9="superior",D1860&gt;$B$10),AND($B$9="inferior",D1860&lt;-$B$10)),"Rechazar H0","No rechazar H0")</f>
        <v>Rechazar H0</v>
      </c>
      <c r="F1860" s="0" t="str">
        <f aca="false">IF(AND(B1860="H0 verdadera",E1860="Rechazar H0"),"Error tipo I",IF(AND(B1860="Ha verdadera",E1860="No rechazar H0"),"Error tipo II","Decisión correcta"))</f>
        <v>Decisión correcta</v>
      </c>
    </row>
    <row r="1861" customFormat="false" ht="15" hidden="false" customHeight="false" outlineLevel="0" collapsed="false">
      <c r="A1861" s="0" t="n">
        <v>1840</v>
      </c>
      <c r="B1861" s="0" t="s">
        <v>85</v>
      </c>
      <c r="C1861" s="17" t="n">
        <v>0.00553117808410827</v>
      </c>
      <c r="D1861" s="17" t="n">
        <f aca="false">(C1861-$B$4)/($B$6/SQRT($B$7))</f>
        <v>0.0276558904205414</v>
      </c>
      <c r="E1861" s="0" t="str">
        <f aca="false">IF(OR(AND($B$9="superior",D1861&gt;$B$10),AND($B$9="inferior",D1861&lt;-$B$10)),"Rechazar H0","No rechazar H0")</f>
        <v>No rechazar H0</v>
      </c>
      <c r="F1861" s="0" t="str">
        <f aca="false">IF(AND(B1861="H0 verdadera",E1861="Rechazar H0"),"Error tipo I",IF(AND(B1861="Ha verdadera",E1861="No rechazar H0"),"Error tipo II","Decisión correcta"))</f>
        <v>Decisión correcta</v>
      </c>
    </row>
    <row r="1862" customFormat="false" ht="15" hidden="false" customHeight="false" outlineLevel="0" collapsed="false">
      <c r="A1862" s="0" t="n">
        <v>1841</v>
      </c>
      <c r="B1862" s="0" t="s">
        <v>85</v>
      </c>
      <c r="C1862" s="17" t="n">
        <v>0.135292297128978</v>
      </c>
      <c r="D1862" s="17" t="n">
        <f aca="false">(C1862-$B$4)/($B$6/SQRT($B$7))</f>
        <v>0.67646148564489</v>
      </c>
      <c r="E1862" s="0" t="str">
        <f aca="false">IF(OR(AND($B$9="superior",D1862&gt;$B$10),AND($B$9="inferior",D1862&lt;-$B$10)),"Rechazar H0","No rechazar H0")</f>
        <v>No rechazar H0</v>
      </c>
      <c r="F1862" s="0" t="str">
        <f aca="false">IF(AND(B1862="H0 verdadera",E1862="Rechazar H0"),"Error tipo I",IF(AND(B1862="Ha verdadera",E1862="No rechazar H0"),"Error tipo II","Decisión correcta"))</f>
        <v>Decisión correcta</v>
      </c>
    </row>
    <row r="1863" customFormat="false" ht="15" hidden="false" customHeight="false" outlineLevel="0" collapsed="false">
      <c r="A1863" s="0" t="n">
        <v>1842</v>
      </c>
      <c r="B1863" s="0" t="s">
        <v>85</v>
      </c>
      <c r="C1863" s="17" t="n">
        <v>-0.0772007311029298</v>
      </c>
      <c r="D1863" s="17" t="n">
        <f aca="false">(C1863-$B$4)/($B$6/SQRT($B$7))</f>
        <v>-0.386003655514649</v>
      </c>
      <c r="E1863" s="0" t="str">
        <f aca="false">IF(OR(AND($B$9="superior",D1863&gt;$B$10),AND($B$9="inferior",D1863&lt;-$B$10)),"Rechazar H0","No rechazar H0")</f>
        <v>No rechazar H0</v>
      </c>
      <c r="F1863" s="0" t="str">
        <f aca="false">IF(AND(B1863="H0 verdadera",E1863="Rechazar H0"),"Error tipo I",IF(AND(B1863="Ha verdadera",E1863="No rechazar H0"),"Error tipo II","Decisión correcta"))</f>
        <v>Decisión correcta</v>
      </c>
    </row>
    <row r="1864" customFormat="false" ht="15" hidden="false" customHeight="false" outlineLevel="0" collapsed="false">
      <c r="A1864" s="0" t="n">
        <v>1843</v>
      </c>
      <c r="B1864" s="0" t="s">
        <v>86</v>
      </c>
      <c r="C1864" s="17" t="n">
        <v>-0.774737095088565</v>
      </c>
      <c r="D1864" s="17" t="n">
        <f aca="false">(C1864-$B$4)/($B$6/SQRT($B$7))</f>
        <v>-3.87368547544283</v>
      </c>
      <c r="E1864" s="0" t="str">
        <f aca="false">IF(OR(AND($B$9="superior",D1864&gt;$B$10),AND($B$9="inferior",D1864&lt;-$B$10)),"Rechazar H0","No rechazar H0")</f>
        <v>Rechazar H0</v>
      </c>
      <c r="F1864" s="0" t="str">
        <f aca="false">IF(AND(B1864="H0 verdadera",E1864="Rechazar H0"),"Error tipo I",IF(AND(B1864="Ha verdadera",E1864="No rechazar H0"),"Error tipo II","Decisión correcta"))</f>
        <v>Decisión correcta</v>
      </c>
    </row>
    <row r="1865" customFormat="false" ht="15" hidden="false" customHeight="false" outlineLevel="0" collapsed="false">
      <c r="A1865" s="0" t="n">
        <v>1844</v>
      </c>
      <c r="B1865" s="0" t="s">
        <v>85</v>
      </c>
      <c r="C1865" s="17" t="n">
        <v>0.125035576535035</v>
      </c>
      <c r="D1865" s="17" t="n">
        <f aca="false">(C1865-$B$4)/($B$6/SQRT($B$7))</f>
        <v>0.625177882675177</v>
      </c>
      <c r="E1865" s="0" t="str">
        <f aca="false">IF(OR(AND($B$9="superior",D1865&gt;$B$10),AND($B$9="inferior",D1865&lt;-$B$10)),"Rechazar H0","No rechazar H0")</f>
        <v>No rechazar H0</v>
      </c>
      <c r="F1865" s="0" t="str">
        <f aca="false">IF(AND(B1865="H0 verdadera",E1865="Rechazar H0"),"Error tipo I",IF(AND(B1865="Ha verdadera",E1865="No rechazar H0"),"Error tipo II","Decisión correcta"))</f>
        <v>Decisión correcta</v>
      </c>
    </row>
    <row r="1866" customFormat="false" ht="15" hidden="false" customHeight="false" outlineLevel="0" collapsed="false">
      <c r="A1866" s="0" t="n">
        <v>1845</v>
      </c>
      <c r="B1866" s="0" t="s">
        <v>86</v>
      </c>
      <c r="C1866" s="17" t="n">
        <v>-0.605590778656297</v>
      </c>
      <c r="D1866" s="17" t="n">
        <f aca="false">(C1866-$B$4)/($B$6/SQRT($B$7))</f>
        <v>-3.02795389328148</v>
      </c>
      <c r="E1866" s="0" t="str">
        <f aca="false">IF(OR(AND($B$9="superior",D1866&gt;$B$10),AND($B$9="inferior",D1866&lt;-$B$10)),"Rechazar H0","No rechazar H0")</f>
        <v>Rechazar H0</v>
      </c>
      <c r="F1866" s="0" t="str">
        <f aca="false">IF(AND(B1866="H0 verdadera",E1866="Rechazar H0"),"Error tipo I",IF(AND(B1866="Ha verdadera",E1866="No rechazar H0"),"Error tipo II","Decisión correcta"))</f>
        <v>Decisión correcta</v>
      </c>
    </row>
    <row r="1867" customFormat="false" ht="15" hidden="false" customHeight="false" outlineLevel="0" collapsed="false">
      <c r="A1867" s="0" t="n">
        <v>1846</v>
      </c>
      <c r="B1867" s="0" t="s">
        <v>86</v>
      </c>
      <c r="C1867" s="17" t="n">
        <v>-0.225810902294873</v>
      </c>
      <c r="D1867" s="17" t="n">
        <f aca="false">(C1867-$B$4)/($B$6/SQRT($B$7))</f>
        <v>-1.12905451147437</v>
      </c>
      <c r="E1867" s="0" t="str">
        <f aca="false">IF(OR(AND($B$9="superior",D1867&gt;$B$10),AND($B$9="inferior",D1867&lt;-$B$10)),"Rechazar H0","No rechazar H0")</f>
        <v>No rechazar H0</v>
      </c>
      <c r="F1867" s="0" t="str">
        <f aca="false">IF(AND(B1867="H0 verdadera",E1867="Rechazar H0"),"Error tipo I",IF(AND(B1867="Ha verdadera",E1867="No rechazar H0"),"Error tipo II","Decisión correcta"))</f>
        <v>Error tipo II</v>
      </c>
    </row>
    <row r="1868" customFormat="false" ht="15" hidden="false" customHeight="false" outlineLevel="0" collapsed="false">
      <c r="A1868" s="0" t="n">
        <v>1847</v>
      </c>
      <c r="B1868" s="0" t="s">
        <v>85</v>
      </c>
      <c r="C1868" s="17" t="n">
        <v>0.130539454172029</v>
      </c>
      <c r="D1868" s="17" t="n">
        <f aca="false">(C1868-$B$4)/($B$6/SQRT($B$7))</f>
        <v>0.652697270860144</v>
      </c>
      <c r="E1868" s="0" t="str">
        <f aca="false">IF(OR(AND($B$9="superior",D1868&gt;$B$10),AND($B$9="inferior",D1868&lt;-$B$10)),"Rechazar H0","No rechazar H0")</f>
        <v>No rechazar H0</v>
      </c>
      <c r="F1868" s="0" t="str">
        <f aca="false">IF(AND(B1868="H0 verdadera",E1868="Rechazar H0"),"Error tipo I",IF(AND(B1868="Ha verdadera",E1868="No rechazar H0"),"Error tipo II","Decisión correcta"))</f>
        <v>Decisión correcta</v>
      </c>
    </row>
    <row r="1869" customFormat="false" ht="15" hidden="false" customHeight="false" outlineLevel="0" collapsed="false">
      <c r="A1869" s="0" t="n">
        <v>1848</v>
      </c>
      <c r="B1869" s="0" t="s">
        <v>85</v>
      </c>
      <c r="C1869" s="17" t="n">
        <v>-0.187301235821497</v>
      </c>
      <c r="D1869" s="17" t="n">
        <f aca="false">(C1869-$B$4)/($B$6/SQRT($B$7))</f>
        <v>-0.936506179107486</v>
      </c>
      <c r="E1869" s="0" t="str">
        <f aca="false">IF(OR(AND($B$9="superior",D1869&gt;$B$10),AND($B$9="inferior",D1869&lt;-$B$10)),"Rechazar H0","No rechazar H0")</f>
        <v>No rechazar H0</v>
      </c>
      <c r="F1869" s="0" t="str">
        <f aca="false">IF(AND(B1869="H0 verdadera",E1869="Rechazar H0"),"Error tipo I",IF(AND(B1869="Ha verdadera",E1869="No rechazar H0"),"Error tipo II","Decisión correcta"))</f>
        <v>Decisión correcta</v>
      </c>
    </row>
    <row r="1870" customFormat="false" ht="15" hidden="false" customHeight="false" outlineLevel="0" collapsed="false">
      <c r="A1870" s="0" t="n">
        <v>1849</v>
      </c>
      <c r="B1870" s="0" t="s">
        <v>86</v>
      </c>
      <c r="C1870" s="17" t="n">
        <v>-0.379912716566623</v>
      </c>
      <c r="D1870" s="17" t="n">
        <f aca="false">(C1870-$B$4)/($B$6/SQRT($B$7))</f>
        <v>-1.89956358283311</v>
      </c>
      <c r="E1870" s="0" t="str">
        <f aca="false">IF(OR(AND($B$9="superior",D1870&gt;$B$10),AND($B$9="inferior",D1870&lt;-$B$10)),"Rechazar H0","No rechazar H0")</f>
        <v>Rechazar H0</v>
      </c>
      <c r="F1870" s="0" t="str">
        <f aca="false">IF(AND(B1870="H0 verdadera",E1870="Rechazar H0"),"Error tipo I",IF(AND(B1870="Ha verdadera",E1870="No rechazar H0"),"Error tipo II","Decisión correcta"))</f>
        <v>Decisión correcta</v>
      </c>
    </row>
    <row r="1871" customFormat="false" ht="15" hidden="false" customHeight="false" outlineLevel="0" collapsed="false">
      <c r="A1871" s="0" t="n">
        <v>1850</v>
      </c>
      <c r="B1871" s="0" t="s">
        <v>86</v>
      </c>
      <c r="C1871" s="17" t="n">
        <v>0.0760700049208424</v>
      </c>
      <c r="D1871" s="17" t="n">
        <f aca="false">(C1871-$B$4)/($B$6/SQRT($B$7))</f>
        <v>0.380350024604212</v>
      </c>
      <c r="E1871" s="0" t="str">
        <f aca="false">IF(OR(AND($B$9="superior",D1871&gt;$B$10),AND($B$9="inferior",D1871&lt;-$B$10)),"Rechazar H0","No rechazar H0")</f>
        <v>No rechazar H0</v>
      </c>
      <c r="F1871" s="0" t="str">
        <f aca="false">IF(AND(B1871="H0 verdadera",E1871="Rechazar H0"),"Error tipo I",IF(AND(B1871="Ha verdadera",E1871="No rechazar H0"),"Error tipo II","Decisión correcta"))</f>
        <v>Error tipo II</v>
      </c>
    </row>
    <row r="1872" customFormat="false" ht="15" hidden="false" customHeight="false" outlineLevel="0" collapsed="false">
      <c r="A1872" s="0" t="n">
        <v>1851</v>
      </c>
      <c r="B1872" s="0" t="s">
        <v>86</v>
      </c>
      <c r="C1872" s="17" t="n">
        <v>-0.625593489713003</v>
      </c>
      <c r="D1872" s="17" t="n">
        <f aca="false">(C1872-$B$4)/($B$6/SQRT($B$7))</f>
        <v>-3.12796744856501</v>
      </c>
      <c r="E1872" s="0" t="str">
        <f aca="false">IF(OR(AND($B$9="superior",D1872&gt;$B$10),AND($B$9="inferior",D1872&lt;-$B$10)),"Rechazar H0","No rechazar H0")</f>
        <v>Rechazar H0</v>
      </c>
      <c r="F1872" s="0" t="str">
        <f aca="false">IF(AND(B1872="H0 verdadera",E1872="Rechazar H0"),"Error tipo I",IF(AND(B1872="Ha verdadera",E1872="No rechazar H0"),"Error tipo II","Decisión correcta"))</f>
        <v>Decisión correcta</v>
      </c>
    </row>
    <row r="1873" customFormat="false" ht="15" hidden="false" customHeight="false" outlineLevel="0" collapsed="false">
      <c r="A1873" s="0" t="n">
        <v>1852</v>
      </c>
      <c r="B1873" s="0" t="s">
        <v>85</v>
      </c>
      <c r="C1873" s="17" t="n">
        <v>0.0304539176372779</v>
      </c>
      <c r="D1873" s="17" t="n">
        <f aca="false">(C1873-$B$4)/($B$6/SQRT($B$7))</f>
        <v>0.152269588186389</v>
      </c>
      <c r="E1873" s="0" t="str">
        <f aca="false">IF(OR(AND($B$9="superior",D1873&gt;$B$10),AND($B$9="inferior",D1873&lt;-$B$10)),"Rechazar H0","No rechazar H0")</f>
        <v>No rechazar H0</v>
      </c>
      <c r="F1873" s="0" t="str">
        <f aca="false">IF(AND(B1873="H0 verdadera",E1873="Rechazar H0"),"Error tipo I",IF(AND(B1873="Ha verdadera",E1873="No rechazar H0"),"Error tipo II","Decisión correcta"))</f>
        <v>Decisión correcta</v>
      </c>
    </row>
    <row r="1874" customFormat="false" ht="15" hidden="false" customHeight="false" outlineLevel="0" collapsed="false">
      <c r="A1874" s="0" t="n">
        <v>1853</v>
      </c>
      <c r="B1874" s="0" t="s">
        <v>86</v>
      </c>
      <c r="C1874" s="17" t="n">
        <v>-0.403972052918461</v>
      </c>
      <c r="D1874" s="17" t="n">
        <f aca="false">(C1874-$B$4)/($B$6/SQRT($B$7))</f>
        <v>-2.01986026459231</v>
      </c>
      <c r="E1874" s="0" t="str">
        <f aca="false">IF(OR(AND($B$9="superior",D1874&gt;$B$10),AND($B$9="inferior",D1874&lt;-$B$10)),"Rechazar H0","No rechazar H0")</f>
        <v>Rechazar H0</v>
      </c>
      <c r="F1874" s="0" t="str">
        <f aca="false">IF(AND(B1874="H0 verdadera",E1874="Rechazar H0"),"Error tipo I",IF(AND(B1874="Ha verdadera",E1874="No rechazar H0"),"Error tipo II","Decisión correcta"))</f>
        <v>Decisión correcta</v>
      </c>
    </row>
    <row r="1875" customFormat="false" ht="15" hidden="false" customHeight="false" outlineLevel="0" collapsed="false">
      <c r="A1875" s="0" t="n">
        <v>1854</v>
      </c>
      <c r="B1875" s="0" t="s">
        <v>85</v>
      </c>
      <c r="C1875" s="17" t="n">
        <v>0.0977591623424768</v>
      </c>
      <c r="D1875" s="17" t="n">
        <f aca="false">(C1875-$B$4)/($B$6/SQRT($B$7))</f>
        <v>0.488795811712384</v>
      </c>
      <c r="E1875" s="0" t="str">
        <f aca="false">IF(OR(AND($B$9="superior",D1875&gt;$B$10),AND($B$9="inferior",D1875&lt;-$B$10)),"Rechazar H0","No rechazar H0")</f>
        <v>No rechazar H0</v>
      </c>
      <c r="F1875" s="0" t="str">
        <f aca="false">IF(AND(B1875="H0 verdadera",E1875="Rechazar H0"),"Error tipo I",IF(AND(B1875="Ha verdadera",E1875="No rechazar H0"),"Error tipo II","Decisión correcta"))</f>
        <v>Decisión correcta</v>
      </c>
    </row>
    <row r="1876" customFormat="false" ht="15" hidden="false" customHeight="false" outlineLevel="0" collapsed="false">
      <c r="A1876" s="0" t="n">
        <v>1855</v>
      </c>
      <c r="B1876" s="0" t="s">
        <v>85</v>
      </c>
      <c r="C1876" s="17" t="n">
        <v>-0.00722594209365828</v>
      </c>
      <c r="D1876" s="17" t="n">
        <f aca="false">(C1876-$B$4)/($B$6/SQRT($B$7))</f>
        <v>-0.0361297104682914</v>
      </c>
      <c r="E1876" s="0" t="str">
        <f aca="false">IF(OR(AND($B$9="superior",D1876&gt;$B$10),AND($B$9="inferior",D1876&lt;-$B$10)),"Rechazar H0","No rechazar H0")</f>
        <v>No rechazar H0</v>
      </c>
      <c r="F1876" s="0" t="str">
        <f aca="false">IF(AND(B1876="H0 verdadera",E1876="Rechazar H0"),"Error tipo I",IF(AND(B1876="Ha verdadera",E1876="No rechazar H0"),"Error tipo II","Decisión correcta"))</f>
        <v>Decisión correcta</v>
      </c>
    </row>
    <row r="1877" customFormat="false" ht="15" hidden="false" customHeight="false" outlineLevel="0" collapsed="false">
      <c r="A1877" s="0" t="n">
        <v>1856</v>
      </c>
      <c r="B1877" s="0" t="s">
        <v>86</v>
      </c>
      <c r="C1877" s="17" t="n">
        <v>-0.369466164168865</v>
      </c>
      <c r="D1877" s="17" t="n">
        <f aca="false">(C1877-$B$4)/($B$6/SQRT($B$7))</f>
        <v>-1.84733082084432</v>
      </c>
      <c r="E1877" s="0" t="str">
        <f aca="false">IF(OR(AND($B$9="superior",D1877&gt;$B$10),AND($B$9="inferior",D1877&lt;-$B$10)),"Rechazar H0","No rechazar H0")</f>
        <v>Rechazar H0</v>
      </c>
      <c r="F1877" s="0" t="str">
        <f aca="false">IF(AND(B1877="H0 verdadera",E1877="Rechazar H0"),"Error tipo I",IF(AND(B1877="Ha verdadera",E1877="No rechazar H0"),"Error tipo II","Decisión correcta"))</f>
        <v>Decisión correcta</v>
      </c>
    </row>
    <row r="1878" customFormat="false" ht="15" hidden="false" customHeight="false" outlineLevel="0" collapsed="false">
      <c r="A1878" s="0" t="n">
        <v>1857</v>
      </c>
      <c r="B1878" s="0" t="s">
        <v>86</v>
      </c>
      <c r="C1878" s="17" t="n">
        <v>-0.310292923546175</v>
      </c>
      <c r="D1878" s="17" t="n">
        <f aca="false">(C1878-$B$4)/($B$6/SQRT($B$7))</f>
        <v>-1.55146461773087</v>
      </c>
      <c r="E1878" s="0" t="str">
        <f aca="false">IF(OR(AND($B$9="superior",D1878&gt;$B$10),AND($B$9="inferior",D1878&lt;-$B$10)),"Rechazar H0","No rechazar H0")</f>
        <v>No rechazar H0</v>
      </c>
      <c r="F1878" s="0" t="str">
        <f aca="false">IF(AND(B1878="H0 verdadera",E1878="Rechazar H0"),"Error tipo I",IF(AND(B1878="Ha verdadera",E1878="No rechazar H0"),"Error tipo II","Decisión correcta"))</f>
        <v>Error tipo II</v>
      </c>
    </row>
    <row r="1879" customFormat="false" ht="15" hidden="false" customHeight="false" outlineLevel="0" collapsed="false">
      <c r="A1879" s="0" t="n">
        <v>1858</v>
      </c>
      <c r="B1879" s="0" t="s">
        <v>86</v>
      </c>
      <c r="C1879" s="17" t="n">
        <v>-0.172130519556343</v>
      </c>
      <c r="D1879" s="17" t="n">
        <f aca="false">(C1879-$B$4)/($B$6/SQRT($B$7))</f>
        <v>-0.860652597781713</v>
      </c>
      <c r="E1879" s="0" t="str">
        <f aca="false">IF(OR(AND($B$9="superior",D1879&gt;$B$10),AND($B$9="inferior",D1879&lt;-$B$10)),"Rechazar H0","No rechazar H0")</f>
        <v>No rechazar H0</v>
      </c>
      <c r="F1879" s="0" t="str">
        <f aca="false">IF(AND(B1879="H0 verdadera",E1879="Rechazar H0"),"Error tipo I",IF(AND(B1879="Ha verdadera",E1879="No rechazar H0"),"Error tipo II","Decisión correcta"))</f>
        <v>Error tipo II</v>
      </c>
    </row>
    <row r="1880" customFormat="false" ht="15" hidden="false" customHeight="false" outlineLevel="0" collapsed="false">
      <c r="A1880" s="0" t="n">
        <v>1859</v>
      </c>
      <c r="B1880" s="0" t="s">
        <v>85</v>
      </c>
      <c r="C1880" s="17" t="n">
        <v>-0.236806900519621</v>
      </c>
      <c r="D1880" s="17" t="n">
        <f aca="false">(C1880-$B$4)/($B$6/SQRT($B$7))</f>
        <v>-1.18403450259811</v>
      </c>
      <c r="E1880" s="0" t="str">
        <f aca="false">IF(OR(AND($B$9="superior",D1880&gt;$B$10),AND($B$9="inferior",D1880&lt;-$B$10)),"Rechazar H0","No rechazar H0")</f>
        <v>No rechazar H0</v>
      </c>
      <c r="F1880" s="0" t="str">
        <f aca="false">IF(AND(B1880="H0 verdadera",E1880="Rechazar H0"),"Error tipo I",IF(AND(B1880="Ha verdadera",E1880="No rechazar H0"),"Error tipo II","Decisión correcta"))</f>
        <v>Decisión correcta</v>
      </c>
    </row>
    <row r="1881" customFormat="false" ht="15" hidden="false" customHeight="false" outlineLevel="0" collapsed="false">
      <c r="A1881" s="0" t="n">
        <v>1860</v>
      </c>
      <c r="B1881" s="0" t="s">
        <v>85</v>
      </c>
      <c r="C1881" s="17" t="n">
        <v>-0.483040339867909</v>
      </c>
      <c r="D1881" s="17" t="n">
        <f aca="false">(C1881-$B$4)/($B$6/SQRT($B$7))</f>
        <v>-2.41520169933955</v>
      </c>
      <c r="E1881" s="0" t="str">
        <f aca="false">IF(OR(AND($B$9="superior",D1881&gt;$B$10),AND($B$9="inferior",D1881&lt;-$B$10)),"Rechazar H0","No rechazar H0")</f>
        <v>Rechazar H0</v>
      </c>
      <c r="F1881" s="0" t="str">
        <f aca="false">IF(AND(B1881="H0 verdadera",E1881="Rechazar H0"),"Error tipo I",IF(AND(B1881="Ha verdadera",E1881="No rechazar H0"),"Error tipo II","Decisión correcta"))</f>
        <v>Error tipo I</v>
      </c>
    </row>
    <row r="1882" customFormat="false" ht="15" hidden="false" customHeight="false" outlineLevel="0" collapsed="false">
      <c r="A1882" s="0" t="n">
        <v>1861</v>
      </c>
      <c r="B1882" s="0" t="s">
        <v>85</v>
      </c>
      <c r="C1882" s="17" t="n">
        <v>-0.0200507466556568</v>
      </c>
      <c r="D1882" s="17" t="n">
        <f aca="false">(C1882-$B$4)/($B$6/SQRT($B$7))</f>
        <v>-0.100253733278284</v>
      </c>
      <c r="E1882" s="0" t="str">
        <f aca="false">IF(OR(AND($B$9="superior",D1882&gt;$B$10),AND($B$9="inferior",D1882&lt;-$B$10)),"Rechazar H0","No rechazar H0")</f>
        <v>No rechazar H0</v>
      </c>
      <c r="F1882" s="0" t="str">
        <f aca="false">IF(AND(B1882="H0 verdadera",E1882="Rechazar H0"),"Error tipo I",IF(AND(B1882="Ha verdadera",E1882="No rechazar H0"),"Error tipo II","Decisión correcta"))</f>
        <v>Decisión correcta</v>
      </c>
    </row>
    <row r="1883" customFormat="false" ht="15" hidden="false" customHeight="false" outlineLevel="0" collapsed="false">
      <c r="A1883" s="0" t="n">
        <v>1862</v>
      </c>
      <c r="B1883" s="0" t="s">
        <v>85</v>
      </c>
      <c r="C1883" s="17" t="n">
        <v>0.099461684578991</v>
      </c>
      <c r="D1883" s="17" t="n">
        <f aca="false">(C1883-$B$4)/($B$6/SQRT($B$7))</f>
        <v>0.497308422894955</v>
      </c>
      <c r="E1883" s="0" t="str">
        <f aca="false">IF(OR(AND($B$9="superior",D1883&gt;$B$10),AND($B$9="inferior",D1883&lt;-$B$10)),"Rechazar H0","No rechazar H0")</f>
        <v>No rechazar H0</v>
      </c>
      <c r="F1883" s="0" t="str">
        <f aca="false">IF(AND(B1883="H0 verdadera",E1883="Rechazar H0"),"Error tipo I",IF(AND(B1883="Ha verdadera",E1883="No rechazar H0"),"Error tipo II","Decisión correcta"))</f>
        <v>Decisión correcta</v>
      </c>
    </row>
    <row r="1884" customFormat="false" ht="15" hidden="false" customHeight="false" outlineLevel="0" collapsed="false">
      <c r="A1884" s="0" t="n">
        <v>1863</v>
      </c>
      <c r="B1884" s="0" t="s">
        <v>85</v>
      </c>
      <c r="C1884" s="17" t="n">
        <v>0.214206675840085</v>
      </c>
      <c r="D1884" s="17" t="n">
        <f aca="false">(C1884-$B$4)/($B$6/SQRT($B$7))</f>
        <v>1.07103337920043</v>
      </c>
      <c r="E1884" s="0" t="str">
        <f aca="false">IF(OR(AND($B$9="superior",D1884&gt;$B$10),AND($B$9="inferior",D1884&lt;-$B$10)),"Rechazar H0","No rechazar H0")</f>
        <v>No rechazar H0</v>
      </c>
      <c r="F1884" s="0" t="str">
        <f aca="false">IF(AND(B1884="H0 verdadera",E1884="Rechazar H0"),"Error tipo I",IF(AND(B1884="Ha verdadera",E1884="No rechazar H0"),"Error tipo II","Decisión correcta"))</f>
        <v>Decisión correcta</v>
      </c>
    </row>
    <row r="1885" customFormat="false" ht="15" hidden="false" customHeight="false" outlineLevel="0" collapsed="false">
      <c r="A1885" s="0" t="n">
        <v>1864</v>
      </c>
      <c r="B1885" s="0" t="s">
        <v>85</v>
      </c>
      <c r="C1885" s="17" t="n">
        <v>-0.0274709003323093</v>
      </c>
      <c r="D1885" s="17" t="n">
        <f aca="false">(C1885-$B$4)/($B$6/SQRT($B$7))</f>
        <v>-0.137354501661547</v>
      </c>
      <c r="E1885" s="0" t="str">
        <f aca="false">IF(OR(AND($B$9="superior",D1885&gt;$B$10),AND($B$9="inferior",D1885&lt;-$B$10)),"Rechazar H0","No rechazar H0")</f>
        <v>No rechazar H0</v>
      </c>
      <c r="F1885" s="0" t="str">
        <f aca="false">IF(AND(B1885="H0 verdadera",E1885="Rechazar H0"),"Error tipo I",IF(AND(B1885="Ha verdadera",E1885="No rechazar H0"),"Error tipo II","Decisión correcta"))</f>
        <v>Decisión correcta</v>
      </c>
    </row>
    <row r="1886" customFormat="false" ht="15" hidden="false" customHeight="false" outlineLevel="0" collapsed="false">
      <c r="A1886" s="0" t="n">
        <v>1865</v>
      </c>
      <c r="B1886" s="0" t="s">
        <v>86</v>
      </c>
      <c r="C1886" s="17" t="n">
        <v>-0.346825110549732</v>
      </c>
      <c r="D1886" s="17" t="n">
        <f aca="false">(C1886-$B$4)/($B$6/SQRT($B$7))</f>
        <v>-1.73412555274866</v>
      </c>
      <c r="E1886" s="0" t="str">
        <f aca="false">IF(OR(AND($B$9="superior",D1886&gt;$B$10),AND($B$9="inferior",D1886&lt;-$B$10)),"Rechazar H0","No rechazar H0")</f>
        <v>Rechazar H0</v>
      </c>
      <c r="F1886" s="0" t="str">
        <f aca="false">IF(AND(B1886="H0 verdadera",E1886="Rechazar H0"),"Error tipo I",IF(AND(B1886="Ha verdadera",E1886="No rechazar H0"),"Error tipo II","Decisión correcta"))</f>
        <v>Decisión correcta</v>
      </c>
    </row>
    <row r="1887" customFormat="false" ht="15" hidden="false" customHeight="false" outlineLevel="0" collapsed="false">
      <c r="A1887" s="0" t="n">
        <v>1866</v>
      </c>
      <c r="B1887" s="0" t="s">
        <v>86</v>
      </c>
      <c r="C1887" s="17" t="n">
        <v>-0.735824910738079</v>
      </c>
      <c r="D1887" s="17" t="n">
        <f aca="false">(C1887-$B$4)/($B$6/SQRT($B$7))</f>
        <v>-3.67912455369039</v>
      </c>
      <c r="E1887" s="0" t="str">
        <f aca="false">IF(OR(AND($B$9="superior",D1887&gt;$B$10),AND($B$9="inferior",D1887&lt;-$B$10)),"Rechazar H0","No rechazar H0")</f>
        <v>Rechazar H0</v>
      </c>
      <c r="F1887" s="0" t="str">
        <f aca="false">IF(AND(B1887="H0 verdadera",E1887="Rechazar H0"),"Error tipo I",IF(AND(B1887="Ha verdadera",E1887="No rechazar H0"),"Error tipo II","Decisión correcta"))</f>
        <v>Decisión correcta</v>
      </c>
    </row>
    <row r="1888" customFormat="false" ht="15" hidden="false" customHeight="false" outlineLevel="0" collapsed="false">
      <c r="A1888" s="0" t="n">
        <v>1867</v>
      </c>
      <c r="B1888" s="0" t="s">
        <v>86</v>
      </c>
      <c r="C1888" s="17" t="n">
        <v>-0.571386909047655</v>
      </c>
      <c r="D1888" s="17" t="n">
        <f aca="false">(C1888-$B$4)/($B$6/SQRT($B$7))</f>
        <v>-2.85693454523828</v>
      </c>
      <c r="E1888" s="0" t="str">
        <f aca="false">IF(OR(AND($B$9="superior",D1888&gt;$B$10),AND($B$9="inferior",D1888&lt;-$B$10)),"Rechazar H0","No rechazar H0")</f>
        <v>Rechazar H0</v>
      </c>
      <c r="F1888" s="0" t="str">
        <f aca="false">IF(AND(B1888="H0 verdadera",E1888="Rechazar H0"),"Error tipo I",IF(AND(B1888="Ha verdadera",E1888="No rechazar H0"),"Error tipo II","Decisión correcta"))</f>
        <v>Decisión correcta</v>
      </c>
    </row>
    <row r="1889" customFormat="false" ht="15" hidden="false" customHeight="false" outlineLevel="0" collapsed="false">
      <c r="A1889" s="0" t="n">
        <v>1868</v>
      </c>
      <c r="B1889" s="0" t="s">
        <v>85</v>
      </c>
      <c r="C1889" s="17" t="n">
        <v>0.103349946933857</v>
      </c>
      <c r="D1889" s="17" t="n">
        <f aca="false">(C1889-$B$4)/($B$6/SQRT($B$7))</f>
        <v>0.516749734669283</v>
      </c>
      <c r="E1889" s="0" t="str">
        <f aca="false">IF(OR(AND($B$9="superior",D1889&gt;$B$10),AND($B$9="inferior",D1889&lt;-$B$10)),"Rechazar H0","No rechazar H0")</f>
        <v>No rechazar H0</v>
      </c>
      <c r="F1889" s="0" t="str">
        <f aca="false">IF(AND(B1889="H0 verdadera",E1889="Rechazar H0"),"Error tipo I",IF(AND(B1889="Ha verdadera",E1889="No rechazar H0"),"Error tipo II","Decisión correcta"))</f>
        <v>Decisión correcta</v>
      </c>
    </row>
    <row r="1890" customFormat="false" ht="15" hidden="false" customHeight="false" outlineLevel="0" collapsed="false">
      <c r="A1890" s="0" t="n">
        <v>1869</v>
      </c>
      <c r="B1890" s="0" t="s">
        <v>85</v>
      </c>
      <c r="C1890" s="17" t="n">
        <v>-0.244792200514901</v>
      </c>
      <c r="D1890" s="17" t="n">
        <f aca="false">(C1890-$B$4)/($B$6/SQRT($B$7))</f>
        <v>-1.22396100257451</v>
      </c>
      <c r="E1890" s="0" t="str">
        <f aca="false">IF(OR(AND($B$9="superior",D1890&gt;$B$10),AND($B$9="inferior",D1890&lt;-$B$10)),"Rechazar H0","No rechazar H0")</f>
        <v>No rechazar H0</v>
      </c>
      <c r="F1890" s="0" t="str">
        <f aca="false">IF(AND(B1890="H0 verdadera",E1890="Rechazar H0"),"Error tipo I",IF(AND(B1890="Ha verdadera",E1890="No rechazar H0"),"Error tipo II","Decisión correcta"))</f>
        <v>Decisión correcta</v>
      </c>
    </row>
    <row r="1891" customFormat="false" ht="15" hidden="false" customHeight="false" outlineLevel="0" collapsed="false">
      <c r="A1891" s="0" t="n">
        <v>1870</v>
      </c>
      <c r="B1891" s="0" t="s">
        <v>86</v>
      </c>
      <c r="C1891" s="17" t="n">
        <v>-0.434817574520935</v>
      </c>
      <c r="D1891" s="17" t="n">
        <f aca="false">(C1891-$B$4)/($B$6/SQRT($B$7))</f>
        <v>-2.17408787260468</v>
      </c>
      <c r="E1891" s="0" t="str">
        <f aca="false">IF(OR(AND($B$9="superior",D1891&gt;$B$10),AND($B$9="inferior",D1891&lt;-$B$10)),"Rechazar H0","No rechazar H0")</f>
        <v>Rechazar H0</v>
      </c>
      <c r="F1891" s="0" t="str">
        <f aca="false">IF(AND(B1891="H0 verdadera",E1891="Rechazar H0"),"Error tipo I",IF(AND(B1891="Ha verdadera",E1891="No rechazar H0"),"Error tipo II","Decisión correcta"))</f>
        <v>Decisión correcta</v>
      </c>
    </row>
    <row r="1892" customFormat="false" ht="15" hidden="false" customHeight="false" outlineLevel="0" collapsed="false">
      <c r="A1892" s="0" t="n">
        <v>1871</v>
      </c>
      <c r="B1892" s="0" t="s">
        <v>86</v>
      </c>
      <c r="C1892" s="17" t="n">
        <v>-0.305735728076086</v>
      </c>
      <c r="D1892" s="17" t="n">
        <f aca="false">(C1892-$B$4)/($B$6/SQRT($B$7))</f>
        <v>-1.52867864038043</v>
      </c>
      <c r="E1892" s="0" t="str">
        <f aca="false">IF(OR(AND($B$9="superior",D1892&gt;$B$10),AND($B$9="inferior",D1892&lt;-$B$10)),"Rechazar H0","No rechazar H0")</f>
        <v>No rechazar H0</v>
      </c>
      <c r="F1892" s="0" t="str">
        <f aca="false">IF(AND(B1892="H0 verdadera",E1892="Rechazar H0"),"Error tipo I",IF(AND(B1892="Ha verdadera",E1892="No rechazar H0"),"Error tipo II","Decisión correcta"))</f>
        <v>Error tipo II</v>
      </c>
    </row>
    <row r="1893" customFormat="false" ht="15" hidden="false" customHeight="false" outlineLevel="0" collapsed="false">
      <c r="A1893" s="0" t="n">
        <v>1872</v>
      </c>
      <c r="B1893" s="0" t="s">
        <v>86</v>
      </c>
      <c r="C1893" s="17" t="n">
        <v>-0.667313167882957</v>
      </c>
      <c r="D1893" s="17" t="n">
        <f aca="false">(C1893-$B$4)/($B$6/SQRT($B$7))</f>
        <v>-3.33656583941478</v>
      </c>
      <c r="E1893" s="0" t="str">
        <f aca="false">IF(OR(AND($B$9="superior",D1893&gt;$B$10),AND($B$9="inferior",D1893&lt;-$B$10)),"Rechazar H0","No rechazar H0")</f>
        <v>Rechazar H0</v>
      </c>
      <c r="F1893" s="0" t="str">
        <f aca="false">IF(AND(B1893="H0 verdadera",E1893="Rechazar H0"),"Error tipo I",IF(AND(B1893="Ha verdadera",E1893="No rechazar H0"),"Error tipo II","Decisión correcta"))</f>
        <v>Decisión correcta</v>
      </c>
    </row>
    <row r="1894" customFormat="false" ht="15" hidden="false" customHeight="false" outlineLevel="0" collapsed="false">
      <c r="A1894" s="0" t="n">
        <v>1873</v>
      </c>
      <c r="B1894" s="0" t="s">
        <v>85</v>
      </c>
      <c r="C1894" s="17" t="n">
        <v>0.373796547705116</v>
      </c>
      <c r="D1894" s="17" t="n">
        <f aca="false">(C1894-$B$4)/($B$6/SQRT($B$7))</f>
        <v>1.86898273852558</v>
      </c>
      <c r="E1894" s="0" t="str">
        <f aca="false">IF(OR(AND($B$9="superior",D1894&gt;$B$10),AND($B$9="inferior",D1894&lt;-$B$10)),"Rechazar H0","No rechazar H0")</f>
        <v>No rechazar H0</v>
      </c>
      <c r="F1894" s="0" t="str">
        <f aca="false">IF(AND(B1894="H0 verdadera",E1894="Rechazar H0"),"Error tipo I",IF(AND(B1894="Ha verdadera",E1894="No rechazar H0"),"Error tipo II","Decisión correcta"))</f>
        <v>Decisión correcta</v>
      </c>
    </row>
    <row r="1895" customFormat="false" ht="15" hidden="false" customHeight="false" outlineLevel="0" collapsed="false">
      <c r="A1895" s="0" t="n">
        <v>1874</v>
      </c>
      <c r="B1895" s="0" t="s">
        <v>86</v>
      </c>
      <c r="C1895" s="17" t="n">
        <v>-0.355982124297617</v>
      </c>
      <c r="D1895" s="17" t="n">
        <f aca="false">(C1895-$B$4)/($B$6/SQRT($B$7))</f>
        <v>-1.77991062148808</v>
      </c>
      <c r="E1895" s="0" t="str">
        <f aca="false">IF(OR(AND($B$9="superior",D1895&gt;$B$10),AND($B$9="inferior",D1895&lt;-$B$10)),"Rechazar H0","No rechazar H0")</f>
        <v>Rechazar H0</v>
      </c>
      <c r="F1895" s="0" t="str">
        <f aca="false">IF(AND(B1895="H0 verdadera",E1895="Rechazar H0"),"Error tipo I",IF(AND(B1895="Ha verdadera",E1895="No rechazar H0"),"Error tipo II","Decisión correcta"))</f>
        <v>Decisión correcta</v>
      </c>
    </row>
    <row r="1896" customFormat="false" ht="15" hidden="false" customHeight="false" outlineLevel="0" collapsed="false">
      <c r="A1896" s="0" t="n">
        <v>1875</v>
      </c>
      <c r="B1896" s="0" t="s">
        <v>85</v>
      </c>
      <c r="C1896" s="17" t="n">
        <v>-0.202122280248789</v>
      </c>
      <c r="D1896" s="17" t="n">
        <f aca="false">(C1896-$B$4)/($B$6/SQRT($B$7))</f>
        <v>-1.01061140124395</v>
      </c>
      <c r="E1896" s="0" t="str">
        <f aca="false">IF(OR(AND($B$9="superior",D1896&gt;$B$10),AND($B$9="inferior",D1896&lt;-$B$10)),"Rechazar H0","No rechazar H0")</f>
        <v>No rechazar H0</v>
      </c>
      <c r="F1896" s="0" t="str">
        <f aca="false">IF(AND(B1896="H0 verdadera",E1896="Rechazar H0"),"Error tipo I",IF(AND(B1896="Ha verdadera",E1896="No rechazar H0"),"Error tipo II","Decisión correcta"))</f>
        <v>Decisión correcta</v>
      </c>
    </row>
    <row r="1897" customFormat="false" ht="15" hidden="false" customHeight="false" outlineLevel="0" collapsed="false">
      <c r="A1897" s="0" t="n">
        <v>1876</v>
      </c>
      <c r="B1897" s="0" t="s">
        <v>85</v>
      </c>
      <c r="C1897" s="17" t="n">
        <v>-0.0669890393402562</v>
      </c>
      <c r="D1897" s="17" t="n">
        <f aca="false">(C1897-$B$4)/($B$6/SQRT($B$7))</f>
        <v>-0.334945196701281</v>
      </c>
      <c r="E1897" s="0" t="str">
        <f aca="false">IF(OR(AND($B$9="superior",D1897&gt;$B$10),AND($B$9="inferior",D1897&lt;-$B$10)),"Rechazar H0","No rechazar H0")</f>
        <v>No rechazar H0</v>
      </c>
      <c r="F1897" s="0" t="str">
        <f aca="false">IF(AND(B1897="H0 verdadera",E1897="Rechazar H0"),"Error tipo I",IF(AND(B1897="Ha verdadera",E1897="No rechazar H0"),"Error tipo II","Decisión correcta"))</f>
        <v>Decisión correcta</v>
      </c>
    </row>
    <row r="1898" customFormat="false" ht="15" hidden="false" customHeight="false" outlineLevel="0" collapsed="false">
      <c r="A1898" s="0" t="n">
        <v>1877</v>
      </c>
      <c r="B1898" s="0" t="s">
        <v>85</v>
      </c>
      <c r="C1898" s="17" t="n">
        <v>0.0149668744055931</v>
      </c>
      <c r="D1898" s="17" t="n">
        <f aca="false">(C1898-$B$4)/($B$6/SQRT($B$7))</f>
        <v>0.0748343720279656</v>
      </c>
      <c r="E1898" s="0" t="str">
        <f aca="false">IF(OR(AND($B$9="superior",D1898&gt;$B$10),AND($B$9="inferior",D1898&lt;-$B$10)),"Rechazar H0","No rechazar H0")</f>
        <v>No rechazar H0</v>
      </c>
      <c r="F1898" s="0" t="str">
        <f aca="false">IF(AND(B1898="H0 verdadera",E1898="Rechazar H0"),"Error tipo I",IF(AND(B1898="Ha verdadera",E1898="No rechazar H0"),"Error tipo II","Decisión correcta"))</f>
        <v>Decisión correcta</v>
      </c>
    </row>
    <row r="1899" customFormat="false" ht="15" hidden="false" customHeight="false" outlineLevel="0" collapsed="false">
      <c r="A1899" s="0" t="n">
        <v>1878</v>
      </c>
      <c r="B1899" s="0" t="s">
        <v>86</v>
      </c>
      <c r="C1899" s="17" t="n">
        <v>-0.426318764162836</v>
      </c>
      <c r="D1899" s="17" t="n">
        <f aca="false">(C1899-$B$4)/($B$6/SQRT($B$7))</f>
        <v>-2.13159382081418</v>
      </c>
      <c r="E1899" s="0" t="str">
        <f aca="false">IF(OR(AND($B$9="superior",D1899&gt;$B$10),AND($B$9="inferior",D1899&lt;-$B$10)),"Rechazar H0","No rechazar H0")</f>
        <v>Rechazar H0</v>
      </c>
      <c r="F1899" s="0" t="str">
        <f aca="false">IF(AND(B1899="H0 verdadera",E1899="Rechazar H0"),"Error tipo I",IF(AND(B1899="Ha verdadera",E1899="No rechazar H0"),"Error tipo II","Decisión correcta"))</f>
        <v>Decisión correcta</v>
      </c>
    </row>
    <row r="1900" customFormat="false" ht="15" hidden="false" customHeight="false" outlineLevel="0" collapsed="false">
      <c r="A1900" s="0" t="n">
        <v>1879</v>
      </c>
      <c r="B1900" s="0" t="s">
        <v>85</v>
      </c>
      <c r="C1900" s="17" t="n">
        <v>0.0188416370879478</v>
      </c>
      <c r="D1900" s="17" t="n">
        <f aca="false">(C1900-$B$4)/($B$6/SQRT($B$7))</f>
        <v>0.0942081854397389</v>
      </c>
      <c r="E1900" s="0" t="str">
        <f aca="false">IF(OR(AND($B$9="superior",D1900&gt;$B$10),AND($B$9="inferior",D1900&lt;-$B$10)),"Rechazar H0","No rechazar H0")</f>
        <v>No rechazar H0</v>
      </c>
      <c r="F1900" s="0" t="str">
        <f aca="false">IF(AND(B1900="H0 verdadera",E1900="Rechazar H0"),"Error tipo I",IF(AND(B1900="Ha verdadera",E1900="No rechazar H0"),"Error tipo II","Decisión correcta"))</f>
        <v>Decisión correcta</v>
      </c>
    </row>
    <row r="1901" customFormat="false" ht="15" hidden="false" customHeight="false" outlineLevel="0" collapsed="false">
      <c r="A1901" s="0" t="n">
        <v>1880</v>
      </c>
      <c r="B1901" s="0" t="s">
        <v>86</v>
      </c>
      <c r="C1901" s="17" t="n">
        <v>-0.454916692242241</v>
      </c>
      <c r="D1901" s="17" t="n">
        <f aca="false">(C1901-$B$4)/($B$6/SQRT($B$7))</f>
        <v>-2.2745834612112</v>
      </c>
      <c r="E1901" s="0" t="str">
        <f aca="false">IF(OR(AND($B$9="superior",D1901&gt;$B$10),AND($B$9="inferior",D1901&lt;-$B$10)),"Rechazar H0","No rechazar H0")</f>
        <v>Rechazar H0</v>
      </c>
      <c r="F1901" s="0" t="str">
        <f aca="false">IF(AND(B1901="H0 verdadera",E1901="Rechazar H0"),"Error tipo I",IF(AND(B1901="Ha verdadera",E1901="No rechazar H0"),"Error tipo II","Decisión correcta"))</f>
        <v>Decisión correcta</v>
      </c>
    </row>
    <row r="1902" customFormat="false" ht="15" hidden="false" customHeight="false" outlineLevel="0" collapsed="false">
      <c r="A1902" s="0" t="n">
        <v>1881</v>
      </c>
      <c r="B1902" s="0" t="s">
        <v>85</v>
      </c>
      <c r="C1902" s="17" t="n">
        <v>-0.104702808389455</v>
      </c>
      <c r="D1902" s="17" t="n">
        <f aca="false">(C1902-$B$4)/($B$6/SQRT($B$7))</f>
        <v>-0.523514041947274</v>
      </c>
      <c r="E1902" s="0" t="str">
        <f aca="false">IF(OR(AND($B$9="superior",D1902&gt;$B$10),AND($B$9="inferior",D1902&lt;-$B$10)),"Rechazar H0","No rechazar H0")</f>
        <v>No rechazar H0</v>
      </c>
      <c r="F1902" s="0" t="str">
        <f aca="false">IF(AND(B1902="H0 verdadera",E1902="Rechazar H0"),"Error tipo I",IF(AND(B1902="Ha verdadera",E1902="No rechazar H0"),"Error tipo II","Decisión correcta"))</f>
        <v>Decisión correcta</v>
      </c>
    </row>
    <row r="1903" customFormat="false" ht="15" hidden="false" customHeight="false" outlineLevel="0" collapsed="false">
      <c r="A1903" s="0" t="n">
        <v>1882</v>
      </c>
      <c r="B1903" s="0" t="s">
        <v>85</v>
      </c>
      <c r="C1903" s="17" t="n">
        <v>-0.144420029762474</v>
      </c>
      <c r="D1903" s="17" t="n">
        <f aca="false">(C1903-$B$4)/($B$6/SQRT($B$7))</f>
        <v>-0.722100148812372</v>
      </c>
      <c r="E1903" s="0" t="str">
        <f aca="false">IF(OR(AND($B$9="superior",D1903&gt;$B$10),AND($B$9="inferior",D1903&lt;-$B$10)),"Rechazar H0","No rechazar H0")</f>
        <v>No rechazar H0</v>
      </c>
      <c r="F1903" s="0" t="str">
        <f aca="false">IF(AND(B1903="H0 verdadera",E1903="Rechazar H0"),"Error tipo I",IF(AND(B1903="Ha verdadera",E1903="No rechazar H0"),"Error tipo II","Decisión correcta"))</f>
        <v>Decisión correcta</v>
      </c>
    </row>
    <row r="1904" customFormat="false" ht="15" hidden="false" customHeight="false" outlineLevel="0" collapsed="false">
      <c r="A1904" s="0" t="n">
        <v>1883</v>
      </c>
      <c r="B1904" s="0" t="s">
        <v>86</v>
      </c>
      <c r="C1904" s="17" t="n">
        <v>-0.3063979802692</v>
      </c>
      <c r="D1904" s="17" t="n">
        <f aca="false">(C1904-$B$4)/($B$6/SQRT($B$7))</f>
        <v>-1.531989901346</v>
      </c>
      <c r="E1904" s="0" t="str">
        <f aca="false">IF(OR(AND($B$9="superior",D1904&gt;$B$10),AND($B$9="inferior",D1904&lt;-$B$10)),"Rechazar H0","No rechazar H0")</f>
        <v>No rechazar H0</v>
      </c>
      <c r="F1904" s="0" t="str">
        <f aca="false">IF(AND(B1904="H0 verdadera",E1904="Rechazar H0"),"Error tipo I",IF(AND(B1904="Ha verdadera",E1904="No rechazar H0"),"Error tipo II","Decisión correcta"))</f>
        <v>Error tipo II</v>
      </c>
    </row>
    <row r="1905" customFormat="false" ht="15" hidden="false" customHeight="false" outlineLevel="0" collapsed="false">
      <c r="A1905" s="0" t="n">
        <v>1884</v>
      </c>
      <c r="B1905" s="0" t="s">
        <v>85</v>
      </c>
      <c r="C1905" s="17" t="n">
        <v>0.28817466677581</v>
      </c>
      <c r="D1905" s="17" t="n">
        <f aca="false">(C1905-$B$4)/($B$6/SQRT($B$7))</f>
        <v>1.44087333387905</v>
      </c>
      <c r="E1905" s="0" t="str">
        <f aca="false">IF(OR(AND($B$9="superior",D1905&gt;$B$10),AND($B$9="inferior",D1905&lt;-$B$10)),"Rechazar H0","No rechazar H0")</f>
        <v>No rechazar H0</v>
      </c>
      <c r="F1905" s="0" t="str">
        <f aca="false">IF(AND(B1905="H0 verdadera",E1905="Rechazar H0"),"Error tipo I",IF(AND(B1905="Ha verdadera",E1905="No rechazar H0"),"Error tipo II","Decisión correcta"))</f>
        <v>Decisión correcta</v>
      </c>
    </row>
    <row r="1906" customFormat="false" ht="15" hidden="false" customHeight="false" outlineLevel="0" collapsed="false">
      <c r="A1906" s="0" t="n">
        <v>1885</v>
      </c>
      <c r="B1906" s="0" t="s">
        <v>85</v>
      </c>
      <c r="C1906" s="17" t="n">
        <v>0.173402684738531</v>
      </c>
      <c r="D1906" s="17" t="n">
        <f aca="false">(C1906-$B$4)/($B$6/SQRT($B$7))</f>
        <v>0.867013423692657</v>
      </c>
      <c r="E1906" s="0" t="str">
        <f aca="false">IF(OR(AND($B$9="superior",D1906&gt;$B$10),AND($B$9="inferior",D1906&lt;-$B$10)),"Rechazar H0","No rechazar H0")</f>
        <v>No rechazar H0</v>
      </c>
      <c r="F1906" s="0" t="str">
        <f aca="false">IF(AND(B1906="H0 verdadera",E1906="Rechazar H0"),"Error tipo I",IF(AND(B1906="Ha verdadera",E1906="No rechazar H0"),"Error tipo II","Decisión correcta"))</f>
        <v>Decisión correcta</v>
      </c>
    </row>
    <row r="1907" customFormat="false" ht="15" hidden="false" customHeight="false" outlineLevel="0" collapsed="false">
      <c r="A1907" s="0" t="n">
        <v>1886</v>
      </c>
      <c r="B1907" s="0" t="s">
        <v>86</v>
      </c>
      <c r="C1907" s="17" t="n">
        <v>-0.666128003897495</v>
      </c>
      <c r="D1907" s="17" t="n">
        <f aca="false">(C1907-$B$4)/($B$6/SQRT($B$7))</f>
        <v>-3.33064001948748</v>
      </c>
      <c r="E1907" s="0" t="str">
        <f aca="false">IF(OR(AND($B$9="superior",D1907&gt;$B$10),AND($B$9="inferior",D1907&lt;-$B$10)),"Rechazar H0","No rechazar H0")</f>
        <v>Rechazar H0</v>
      </c>
      <c r="F1907" s="0" t="str">
        <f aca="false">IF(AND(B1907="H0 verdadera",E1907="Rechazar H0"),"Error tipo I",IF(AND(B1907="Ha verdadera",E1907="No rechazar H0"),"Error tipo II","Decisión correcta"))</f>
        <v>Decisión correcta</v>
      </c>
    </row>
    <row r="1908" customFormat="false" ht="15" hidden="false" customHeight="false" outlineLevel="0" collapsed="false">
      <c r="A1908" s="0" t="n">
        <v>1887</v>
      </c>
      <c r="B1908" s="0" t="s">
        <v>86</v>
      </c>
      <c r="C1908" s="17" t="n">
        <v>-0.309113043606284</v>
      </c>
      <c r="D1908" s="17" t="n">
        <f aca="false">(C1908-$B$4)/($B$6/SQRT($B$7))</f>
        <v>-1.54556521803142</v>
      </c>
      <c r="E1908" s="0" t="str">
        <f aca="false">IF(OR(AND($B$9="superior",D1908&gt;$B$10),AND($B$9="inferior",D1908&lt;-$B$10)),"Rechazar H0","No rechazar H0")</f>
        <v>No rechazar H0</v>
      </c>
      <c r="F1908" s="0" t="str">
        <f aca="false">IF(AND(B1908="H0 verdadera",E1908="Rechazar H0"),"Error tipo I",IF(AND(B1908="Ha verdadera",E1908="No rechazar H0"),"Error tipo II","Decisión correcta"))</f>
        <v>Error tipo II</v>
      </c>
    </row>
    <row r="1909" customFormat="false" ht="15" hidden="false" customHeight="false" outlineLevel="0" collapsed="false">
      <c r="A1909" s="0" t="n">
        <v>1888</v>
      </c>
      <c r="B1909" s="0" t="s">
        <v>85</v>
      </c>
      <c r="C1909" s="17" t="n">
        <v>-0.499073971010858</v>
      </c>
      <c r="D1909" s="17" t="n">
        <f aca="false">(C1909-$B$4)/($B$6/SQRT($B$7))</f>
        <v>-2.49536985505429</v>
      </c>
      <c r="E1909" s="0" t="str">
        <f aca="false">IF(OR(AND($B$9="superior",D1909&gt;$B$10),AND($B$9="inferior",D1909&lt;-$B$10)),"Rechazar H0","No rechazar H0")</f>
        <v>Rechazar H0</v>
      </c>
      <c r="F1909" s="0" t="str">
        <f aca="false">IF(AND(B1909="H0 verdadera",E1909="Rechazar H0"),"Error tipo I",IF(AND(B1909="Ha verdadera",E1909="No rechazar H0"),"Error tipo II","Decisión correcta"))</f>
        <v>Error tipo I</v>
      </c>
    </row>
    <row r="1910" customFormat="false" ht="15" hidden="false" customHeight="false" outlineLevel="0" collapsed="false">
      <c r="A1910" s="0" t="n">
        <v>1889</v>
      </c>
      <c r="B1910" s="0" t="s">
        <v>85</v>
      </c>
      <c r="C1910" s="17" t="n">
        <v>0.0598411595804271</v>
      </c>
      <c r="D1910" s="17" t="n">
        <f aca="false">(C1910-$B$4)/($B$6/SQRT($B$7))</f>
        <v>0.299205797902136</v>
      </c>
      <c r="E1910" s="0" t="str">
        <f aca="false">IF(OR(AND($B$9="superior",D1910&gt;$B$10),AND($B$9="inferior",D1910&lt;-$B$10)),"Rechazar H0","No rechazar H0")</f>
        <v>No rechazar H0</v>
      </c>
      <c r="F1910" s="0" t="str">
        <f aca="false">IF(AND(B1910="H0 verdadera",E1910="Rechazar H0"),"Error tipo I",IF(AND(B1910="Ha verdadera",E1910="No rechazar H0"),"Error tipo II","Decisión correcta"))</f>
        <v>Decisión correcta</v>
      </c>
    </row>
    <row r="1911" customFormat="false" ht="15" hidden="false" customHeight="false" outlineLevel="0" collapsed="false">
      <c r="A1911" s="0" t="n">
        <v>1890</v>
      </c>
      <c r="B1911" s="0" t="s">
        <v>86</v>
      </c>
      <c r="C1911" s="17" t="n">
        <v>-0.164738389155073</v>
      </c>
      <c r="D1911" s="17" t="n">
        <f aca="false">(C1911-$B$4)/($B$6/SQRT($B$7))</f>
        <v>-0.823691945775365</v>
      </c>
      <c r="E1911" s="0" t="str">
        <f aca="false">IF(OR(AND($B$9="superior",D1911&gt;$B$10),AND($B$9="inferior",D1911&lt;-$B$10)),"Rechazar H0","No rechazar H0")</f>
        <v>No rechazar H0</v>
      </c>
      <c r="F1911" s="0" t="str">
        <f aca="false">IF(AND(B1911="H0 verdadera",E1911="Rechazar H0"),"Error tipo I",IF(AND(B1911="Ha verdadera",E1911="No rechazar H0"),"Error tipo II","Decisión correcta"))</f>
        <v>Error tipo II</v>
      </c>
    </row>
    <row r="1912" customFormat="false" ht="15" hidden="false" customHeight="false" outlineLevel="0" collapsed="false">
      <c r="A1912" s="0" t="n">
        <v>1891</v>
      </c>
      <c r="B1912" s="0" t="s">
        <v>86</v>
      </c>
      <c r="C1912" s="17" t="n">
        <v>-0.212171168615055</v>
      </c>
      <c r="D1912" s="17" t="n">
        <f aca="false">(C1912-$B$4)/($B$6/SQRT($B$7))</f>
        <v>-1.06085584307528</v>
      </c>
      <c r="E1912" s="0" t="str">
        <f aca="false">IF(OR(AND($B$9="superior",D1912&gt;$B$10),AND($B$9="inferior",D1912&lt;-$B$10)),"Rechazar H0","No rechazar H0")</f>
        <v>No rechazar H0</v>
      </c>
      <c r="F1912" s="0" t="str">
        <f aca="false">IF(AND(B1912="H0 verdadera",E1912="Rechazar H0"),"Error tipo I",IF(AND(B1912="Ha verdadera",E1912="No rechazar H0"),"Error tipo II","Decisión correcta"))</f>
        <v>Error tipo II</v>
      </c>
    </row>
    <row r="1913" customFormat="false" ht="15" hidden="false" customHeight="false" outlineLevel="0" collapsed="false">
      <c r="A1913" s="0" t="n">
        <v>1892</v>
      </c>
      <c r="B1913" s="0" t="s">
        <v>85</v>
      </c>
      <c r="C1913" s="17" t="n">
        <v>-0.172843555801503</v>
      </c>
      <c r="D1913" s="17" t="n">
        <f aca="false">(C1913-$B$4)/($B$6/SQRT($B$7))</f>
        <v>-0.864217779007516</v>
      </c>
      <c r="E1913" s="0" t="str">
        <f aca="false">IF(OR(AND($B$9="superior",D1913&gt;$B$10),AND($B$9="inferior",D1913&lt;-$B$10)),"Rechazar H0","No rechazar H0")</f>
        <v>No rechazar H0</v>
      </c>
      <c r="F1913" s="0" t="str">
        <f aca="false">IF(AND(B1913="H0 verdadera",E1913="Rechazar H0"),"Error tipo I",IF(AND(B1913="Ha verdadera",E1913="No rechazar H0"),"Error tipo II","Decisión correcta"))</f>
        <v>Decisión correcta</v>
      </c>
    </row>
    <row r="1914" customFormat="false" ht="15" hidden="false" customHeight="false" outlineLevel="0" collapsed="false">
      <c r="A1914" s="0" t="n">
        <v>1893</v>
      </c>
      <c r="B1914" s="0" t="s">
        <v>86</v>
      </c>
      <c r="C1914" s="17" t="n">
        <v>-0.825706650726551</v>
      </c>
      <c r="D1914" s="17" t="n">
        <f aca="false">(C1914-$B$4)/($B$6/SQRT($B$7))</f>
        <v>-4.12853325363276</v>
      </c>
      <c r="E1914" s="0" t="str">
        <f aca="false">IF(OR(AND($B$9="superior",D1914&gt;$B$10),AND($B$9="inferior",D1914&lt;-$B$10)),"Rechazar H0","No rechazar H0")</f>
        <v>Rechazar H0</v>
      </c>
      <c r="F1914" s="0" t="str">
        <f aca="false">IF(AND(B1914="H0 verdadera",E1914="Rechazar H0"),"Error tipo I",IF(AND(B1914="Ha verdadera",E1914="No rechazar H0"),"Error tipo II","Decisión correcta"))</f>
        <v>Decisión correcta</v>
      </c>
    </row>
    <row r="1915" customFormat="false" ht="15" hidden="false" customHeight="false" outlineLevel="0" collapsed="false">
      <c r="A1915" s="0" t="n">
        <v>1894</v>
      </c>
      <c r="B1915" s="0" t="s">
        <v>85</v>
      </c>
      <c r="C1915" s="17" t="n">
        <v>0.0857554476290439</v>
      </c>
      <c r="D1915" s="17" t="n">
        <f aca="false">(C1915-$B$4)/($B$6/SQRT($B$7))</f>
        <v>0.42877723814522</v>
      </c>
      <c r="E1915" s="0" t="str">
        <f aca="false">IF(OR(AND($B$9="superior",D1915&gt;$B$10),AND($B$9="inferior",D1915&lt;-$B$10)),"Rechazar H0","No rechazar H0")</f>
        <v>No rechazar H0</v>
      </c>
      <c r="F1915" s="0" t="str">
        <f aca="false">IF(AND(B1915="H0 verdadera",E1915="Rechazar H0"),"Error tipo I",IF(AND(B1915="Ha verdadera",E1915="No rechazar H0"),"Error tipo II","Decisión correcta"))</f>
        <v>Decisión correcta</v>
      </c>
    </row>
    <row r="1916" customFormat="false" ht="15" hidden="false" customHeight="false" outlineLevel="0" collapsed="false">
      <c r="A1916" s="0" t="n">
        <v>1895</v>
      </c>
      <c r="B1916" s="0" t="s">
        <v>86</v>
      </c>
      <c r="C1916" s="17" t="n">
        <v>-0.15270902139343</v>
      </c>
      <c r="D1916" s="17" t="n">
        <f aca="false">(C1916-$B$4)/($B$6/SQRT($B$7))</f>
        <v>-0.76354510696715</v>
      </c>
      <c r="E1916" s="0" t="str">
        <f aca="false">IF(OR(AND($B$9="superior",D1916&gt;$B$10),AND($B$9="inferior",D1916&lt;-$B$10)),"Rechazar H0","No rechazar H0")</f>
        <v>No rechazar H0</v>
      </c>
      <c r="F1916" s="0" t="str">
        <f aca="false">IF(AND(B1916="H0 verdadera",E1916="Rechazar H0"),"Error tipo I",IF(AND(B1916="Ha verdadera",E1916="No rechazar H0"),"Error tipo II","Decisión correcta"))</f>
        <v>Error tipo II</v>
      </c>
    </row>
    <row r="1917" customFormat="false" ht="15" hidden="false" customHeight="false" outlineLevel="0" collapsed="false">
      <c r="A1917" s="0" t="n">
        <v>1896</v>
      </c>
      <c r="B1917" s="0" t="s">
        <v>86</v>
      </c>
      <c r="C1917" s="17" t="n">
        <v>-0.345701676621667</v>
      </c>
      <c r="D1917" s="17" t="n">
        <f aca="false">(C1917-$B$4)/($B$6/SQRT($B$7))</f>
        <v>-1.72850838310833</v>
      </c>
      <c r="E1917" s="0" t="str">
        <f aca="false">IF(OR(AND($B$9="superior",D1917&gt;$B$10),AND($B$9="inferior",D1917&lt;-$B$10)),"Rechazar H0","No rechazar H0")</f>
        <v>Rechazar H0</v>
      </c>
      <c r="F1917" s="0" t="str">
        <f aca="false">IF(AND(B1917="H0 verdadera",E1917="Rechazar H0"),"Error tipo I",IF(AND(B1917="Ha verdadera",E1917="No rechazar H0"),"Error tipo II","Decisión correcta"))</f>
        <v>Decisión correcta</v>
      </c>
    </row>
    <row r="1918" customFormat="false" ht="15" hidden="false" customHeight="false" outlineLevel="0" collapsed="false">
      <c r="A1918" s="0" t="n">
        <v>1897</v>
      </c>
      <c r="B1918" s="0" t="s">
        <v>85</v>
      </c>
      <c r="C1918" s="17" t="n">
        <v>0.185994655004855</v>
      </c>
      <c r="D1918" s="17" t="n">
        <f aca="false">(C1918-$B$4)/($B$6/SQRT($B$7))</f>
        <v>0.929973275024275</v>
      </c>
      <c r="E1918" s="0" t="str">
        <f aca="false">IF(OR(AND($B$9="superior",D1918&gt;$B$10),AND($B$9="inferior",D1918&lt;-$B$10)),"Rechazar H0","No rechazar H0")</f>
        <v>No rechazar H0</v>
      </c>
      <c r="F1918" s="0" t="str">
        <f aca="false">IF(AND(B1918="H0 verdadera",E1918="Rechazar H0"),"Error tipo I",IF(AND(B1918="Ha verdadera",E1918="No rechazar H0"),"Error tipo II","Decisión correcta"))</f>
        <v>Decisión correcta</v>
      </c>
    </row>
    <row r="1919" customFormat="false" ht="15" hidden="false" customHeight="false" outlineLevel="0" collapsed="false">
      <c r="A1919" s="0" t="n">
        <v>1898</v>
      </c>
      <c r="B1919" s="0" t="s">
        <v>85</v>
      </c>
      <c r="C1919" s="17" t="n">
        <v>-0.116733238948707</v>
      </c>
      <c r="D1919" s="17" t="n">
        <f aca="false">(C1919-$B$4)/($B$6/SQRT($B$7))</f>
        <v>-0.583666194743535</v>
      </c>
      <c r="E1919" s="0" t="str">
        <f aca="false">IF(OR(AND($B$9="superior",D1919&gt;$B$10),AND($B$9="inferior",D1919&lt;-$B$10)),"Rechazar H0","No rechazar H0")</f>
        <v>No rechazar H0</v>
      </c>
      <c r="F1919" s="0" t="str">
        <f aca="false">IF(AND(B1919="H0 verdadera",E1919="Rechazar H0"),"Error tipo I",IF(AND(B1919="Ha verdadera",E1919="No rechazar H0"),"Error tipo II","Decisión correcta"))</f>
        <v>Decisión correcta</v>
      </c>
    </row>
    <row r="1920" customFormat="false" ht="15" hidden="false" customHeight="false" outlineLevel="0" collapsed="false">
      <c r="A1920" s="0" t="n">
        <v>1899</v>
      </c>
      <c r="B1920" s="0" t="s">
        <v>86</v>
      </c>
      <c r="C1920" s="17" t="n">
        <v>-0.198118690202368</v>
      </c>
      <c r="D1920" s="17" t="n">
        <f aca="false">(C1920-$B$4)/($B$6/SQRT($B$7))</f>
        <v>-0.990593451011841</v>
      </c>
      <c r="E1920" s="0" t="str">
        <f aca="false">IF(OR(AND($B$9="superior",D1920&gt;$B$10),AND($B$9="inferior",D1920&lt;-$B$10)),"Rechazar H0","No rechazar H0")</f>
        <v>No rechazar H0</v>
      </c>
      <c r="F1920" s="0" t="str">
        <f aca="false">IF(AND(B1920="H0 verdadera",E1920="Rechazar H0"),"Error tipo I",IF(AND(B1920="Ha verdadera",E1920="No rechazar H0"),"Error tipo II","Decisión correcta"))</f>
        <v>Error tipo II</v>
      </c>
    </row>
    <row r="1921" customFormat="false" ht="15" hidden="false" customHeight="false" outlineLevel="0" collapsed="false">
      <c r="A1921" s="0" t="n">
        <v>1900</v>
      </c>
      <c r="B1921" s="0" t="s">
        <v>86</v>
      </c>
      <c r="C1921" s="17" t="n">
        <v>-0.141599816699862</v>
      </c>
      <c r="D1921" s="17" t="n">
        <f aca="false">(C1921-$B$4)/($B$6/SQRT($B$7))</f>
        <v>-0.707999083499309</v>
      </c>
      <c r="E1921" s="0" t="str">
        <f aca="false">IF(OR(AND($B$9="superior",D1921&gt;$B$10),AND($B$9="inferior",D1921&lt;-$B$10)),"Rechazar H0","No rechazar H0")</f>
        <v>No rechazar H0</v>
      </c>
      <c r="F1921" s="0" t="str">
        <f aca="false">IF(AND(B1921="H0 verdadera",E1921="Rechazar H0"),"Error tipo I",IF(AND(B1921="Ha verdadera",E1921="No rechazar H0"),"Error tipo II","Decisión correcta"))</f>
        <v>Error tipo II</v>
      </c>
    </row>
    <row r="1922" customFormat="false" ht="15" hidden="false" customHeight="false" outlineLevel="0" collapsed="false">
      <c r="A1922" s="0" t="n">
        <v>1901</v>
      </c>
      <c r="B1922" s="0" t="s">
        <v>86</v>
      </c>
      <c r="C1922" s="17" t="n">
        <v>-0.488908264276897</v>
      </c>
      <c r="D1922" s="17" t="n">
        <f aca="false">(C1922-$B$4)/($B$6/SQRT($B$7))</f>
        <v>-2.44454132138448</v>
      </c>
      <c r="E1922" s="0" t="str">
        <f aca="false">IF(OR(AND($B$9="superior",D1922&gt;$B$10),AND($B$9="inferior",D1922&lt;-$B$10)),"Rechazar H0","No rechazar H0")</f>
        <v>Rechazar H0</v>
      </c>
      <c r="F1922" s="0" t="str">
        <f aca="false">IF(AND(B1922="H0 verdadera",E1922="Rechazar H0"),"Error tipo I",IF(AND(B1922="Ha verdadera",E1922="No rechazar H0"),"Error tipo II","Decisión correcta"))</f>
        <v>Decisión correcta</v>
      </c>
    </row>
    <row r="1923" customFormat="false" ht="15" hidden="false" customHeight="false" outlineLevel="0" collapsed="false">
      <c r="A1923" s="0" t="n">
        <v>1902</v>
      </c>
      <c r="B1923" s="0" t="s">
        <v>86</v>
      </c>
      <c r="C1923" s="17" t="n">
        <v>-0.295015931794677</v>
      </c>
      <c r="D1923" s="17" t="n">
        <f aca="false">(C1923-$B$4)/($B$6/SQRT($B$7))</f>
        <v>-1.47507965897338</v>
      </c>
      <c r="E1923" s="0" t="str">
        <f aca="false">IF(OR(AND($B$9="superior",D1923&gt;$B$10),AND($B$9="inferior",D1923&lt;-$B$10)),"Rechazar H0","No rechazar H0")</f>
        <v>No rechazar H0</v>
      </c>
      <c r="F1923" s="0" t="str">
        <f aca="false">IF(AND(B1923="H0 verdadera",E1923="Rechazar H0"),"Error tipo I",IF(AND(B1923="Ha verdadera",E1923="No rechazar H0"),"Error tipo II","Decisión correcta"))</f>
        <v>Error tipo II</v>
      </c>
    </row>
    <row r="1924" customFormat="false" ht="15" hidden="false" customHeight="false" outlineLevel="0" collapsed="false">
      <c r="A1924" s="0" t="n">
        <v>1903</v>
      </c>
      <c r="B1924" s="0" t="s">
        <v>86</v>
      </c>
      <c r="C1924" s="17" t="n">
        <v>-0.485567949832982</v>
      </c>
      <c r="D1924" s="17" t="n">
        <f aca="false">(C1924-$B$4)/($B$6/SQRT($B$7))</f>
        <v>-2.42783974916491</v>
      </c>
      <c r="E1924" s="0" t="str">
        <f aca="false">IF(OR(AND($B$9="superior",D1924&gt;$B$10),AND($B$9="inferior",D1924&lt;-$B$10)),"Rechazar H0","No rechazar H0")</f>
        <v>Rechazar H0</v>
      </c>
      <c r="F1924" s="0" t="str">
        <f aca="false">IF(AND(B1924="H0 verdadera",E1924="Rechazar H0"),"Error tipo I",IF(AND(B1924="Ha verdadera",E1924="No rechazar H0"),"Error tipo II","Decisión correcta"))</f>
        <v>Decisión correcta</v>
      </c>
    </row>
    <row r="1925" customFormat="false" ht="15" hidden="false" customHeight="false" outlineLevel="0" collapsed="false">
      <c r="A1925" s="0" t="n">
        <v>1904</v>
      </c>
      <c r="B1925" s="0" t="s">
        <v>85</v>
      </c>
      <c r="C1925" s="17" t="n">
        <v>-0.256340422782666</v>
      </c>
      <c r="D1925" s="17" t="n">
        <f aca="false">(C1925-$B$4)/($B$6/SQRT($B$7))</f>
        <v>-1.28170211391333</v>
      </c>
      <c r="E1925" s="0" t="str">
        <f aca="false">IF(OR(AND($B$9="superior",D1925&gt;$B$10),AND($B$9="inferior",D1925&lt;-$B$10)),"Rechazar H0","No rechazar H0")</f>
        <v>No rechazar H0</v>
      </c>
      <c r="F1925" s="0" t="str">
        <f aca="false">IF(AND(B1925="H0 verdadera",E1925="Rechazar H0"),"Error tipo I",IF(AND(B1925="Ha verdadera",E1925="No rechazar H0"),"Error tipo II","Decisión correcta"))</f>
        <v>Decisión correcta</v>
      </c>
    </row>
    <row r="1926" customFormat="false" ht="15" hidden="false" customHeight="false" outlineLevel="0" collapsed="false">
      <c r="A1926" s="0" t="n">
        <v>1905</v>
      </c>
      <c r="B1926" s="0" t="s">
        <v>86</v>
      </c>
      <c r="C1926" s="17" t="n">
        <v>-0.14579171762221</v>
      </c>
      <c r="D1926" s="17" t="n">
        <f aca="false">(C1926-$B$4)/($B$6/SQRT($B$7))</f>
        <v>-0.72895858811105</v>
      </c>
      <c r="E1926" s="0" t="str">
        <f aca="false">IF(OR(AND($B$9="superior",D1926&gt;$B$10),AND($B$9="inferior",D1926&lt;-$B$10)),"Rechazar H0","No rechazar H0")</f>
        <v>No rechazar H0</v>
      </c>
      <c r="F1926" s="0" t="str">
        <f aca="false">IF(AND(B1926="H0 verdadera",E1926="Rechazar H0"),"Error tipo I",IF(AND(B1926="Ha verdadera",E1926="No rechazar H0"),"Error tipo II","Decisión correcta"))</f>
        <v>Error tipo II</v>
      </c>
    </row>
    <row r="1927" customFormat="false" ht="15" hidden="false" customHeight="false" outlineLevel="0" collapsed="false">
      <c r="A1927" s="0" t="n">
        <v>1906</v>
      </c>
      <c r="B1927" s="0" t="s">
        <v>86</v>
      </c>
      <c r="C1927" s="17" t="n">
        <v>-0.52152673899764</v>
      </c>
      <c r="D1927" s="17" t="n">
        <f aca="false">(C1927-$B$4)/($B$6/SQRT($B$7))</f>
        <v>-2.6076336949882</v>
      </c>
      <c r="E1927" s="0" t="str">
        <f aca="false">IF(OR(AND($B$9="superior",D1927&gt;$B$10),AND($B$9="inferior",D1927&lt;-$B$10)),"Rechazar H0","No rechazar H0")</f>
        <v>Rechazar H0</v>
      </c>
      <c r="F1927" s="0" t="str">
        <f aca="false">IF(AND(B1927="H0 verdadera",E1927="Rechazar H0"),"Error tipo I",IF(AND(B1927="Ha verdadera",E1927="No rechazar H0"),"Error tipo II","Decisión correcta"))</f>
        <v>Decisión correcta</v>
      </c>
    </row>
    <row r="1928" customFormat="false" ht="15" hidden="false" customHeight="false" outlineLevel="0" collapsed="false">
      <c r="A1928" s="0" t="n">
        <v>1907</v>
      </c>
      <c r="B1928" s="0" t="s">
        <v>85</v>
      </c>
      <c r="C1928" s="17" t="n">
        <v>-0.0900845399964946</v>
      </c>
      <c r="D1928" s="17" t="n">
        <f aca="false">(C1928-$B$4)/($B$6/SQRT($B$7))</f>
        <v>-0.450422699982473</v>
      </c>
      <c r="E1928" s="0" t="str">
        <f aca="false">IF(OR(AND($B$9="superior",D1928&gt;$B$10),AND($B$9="inferior",D1928&lt;-$B$10)),"Rechazar H0","No rechazar H0")</f>
        <v>No rechazar H0</v>
      </c>
      <c r="F1928" s="0" t="str">
        <f aca="false">IF(AND(B1928="H0 verdadera",E1928="Rechazar H0"),"Error tipo I",IF(AND(B1928="Ha verdadera",E1928="No rechazar H0"),"Error tipo II","Decisión correcta"))</f>
        <v>Decisión correcta</v>
      </c>
    </row>
    <row r="1929" customFormat="false" ht="15" hidden="false" customHeight="false" outlineLevel="0" collapsed="false">
      <c r="A1929" s="0" t="n">
        <v>1908</v>
      </c>
      <c r="B1929" s="0" t="s">
        <v>86</v>
      </c>
      <c r="C1929" s="17" t="n">
        <v>-0.757446543880897</v>
      </c>
      <c r="D1929" s="17" t="n">
        <f aca="false">(C1929-$B$4)/($B$6/SQRT($B$7))</f>
        <v>-3.78723271940449</v>
      </c>
      <c r="E1929" s="0" t="str">
        <f aca="false">IF(OR(AND($B$9="superior",D1929&gt;$B$10),AND($B$9="inferior",D1929&lt;-$B$10)),"Rechazar H0","No rechazar H0")</f>
        <v>Rechazar H0</v>
      </c>
      <c r="F1929" s="0" t="str">
        <f aca="false">IF(AND(B1929="H0 verdadera",E1929="Rechazar H0"),"Error tipo I",IF(AND(B1929="Ha verdadera",E1929="No rechazar H0"),"Error tipo II","Decisión correcta"))</f>
        <v>Decisión correcta</v>
      </c>
    </row>
    <row r="1930" customFormat="false" ht="15" hidden="false" customHeight="false" outlineLevel="0" collapsed="false">
      <c r="A1930" s="0" t="n">
        <v>1909</v>
      </c>
      <c r="B1930" s="0" t="s">
        <v>85</v>
      </c>
      <c r="C1930" s="17" t="n">
        <v>-0.117278754216494</v>
      </c>
      <c r="D1930" s="17" t="n">
        <f aca="false">(C1930-$B$4)/($B$6/SQRT($B$7))</f>
        <v>-0.586393771082471</v>
      </c>
      <c r="E1930" s="0" t="str">
        <f aca="false">IF(OR(AND($B$9="superior",D1930&gt;$B$10),AND($B$9="inferior",D1930&lt;-$B$10)),"Rechazar H0","No rechazar H0")</f>
        <v>No rechazar H0</v>
      </c>
      <c r="F1930" s="0" t="str">
        <f aca="false">IF(AND(B1930="H0 verdadera",E1930="Rechazar H0"),"Error tipo I",IF(AND(B1930="Ha verdadera",E1930="No rechazar H0"),"Error tipo II","Decisión correcta"))</f>
        <v>Decisión correcta</v>
      </c>
    </row>
    <row r="1931" customFormat="false" ht="15" hidden="false" customHeight="false" outlineLevel="0" collapsed="false">
      <c r="A1931" s="0" t="n">
        <v>1910</v>
      </c>
      <c r="B1931" s="0" t="s">
        <v>85</v>
      </c>
      <c r="C1931" s="17" t="n">
        <v>-0.160148207269321</v>
      </c>
      <c r="D1931" s="17" t="n">
        <f aca="false">(C1931-$B$4)/($B$6/SQRT($B$7))</f>
        <v>-0.800741036346603</v>
      </c>
      <c r="E1931" s="0" t="str">
        <f aca="false">IF(OR(AND($B$9="superior",D1931&gt;$B$10),AND($B$9="inferior",D1931&lt;-$B$10)),"Rechazar H0","No rechazar H0")</f>
        <v>No rechazar H0</v>
      </c>
      <c r="F1931" s="0" t="str">
        <f aca="false">IF(AND(B1931="H0 verdadera",E1931="Rechazar H0"),"Error tipo I",IF(AND(B1931="Ha verdadera",E1931="No rechazar H0"),"Error tipo II","Decisión correcta"))</f>
        <v>Decisión correcta</v>
      </c>
    </row>
    <row r="1932" customFormat="false" ht="15" hidden="false" customHeight="false" outlineLevel="0" collapsed="false">
      <c r="A1932" s="0" t="n">
        <v>1911</v>
      </c>
      <c r="B1932" s="0" t="s">
        <v>85</v>
      </c>
      <c r="C1932" s="17" t="n">
        <v>-0.280710158696826</v>
      </c>
      <c r="D1932" s="17" t="n">
        <f aca="false">(C1932-$B$4)/($B$6/SQRT($B$7))</f>
        <v>-1.40355079348413</v>
      </c>
      <c r="E1932" s="0" t="str">
        <f aca="false">IF(OR(AND($B$9="superior",D1932&gt;$B$10),AND($B$9="inferior",D1932&lt;-$B$10)),"Rechazar H0","No rechazar H0")</f>
        <v>No rechazar H0</v>
      </c>
      <c r="F1932" s="0" t="str">
        <f aca="false">IF(AND(B1932="H0 verdadera",E1932="Rechazar H0"),"Error tipo I",IF(AND(B1932="Ha verdadera",E1932="No rechazar H0"),"Error tipo II","Decisión correcta"))</f>
        <v>Decisión correcta</v>
      </c>
    </row>
    <row r="1933" customFormat="false" ht="15" hidden="false" customHeight="false" outlineLevel="0" collapsed="false">
      <c r="A1933" s="0" t="n">
        <v>1912</v>
      </c>
      <c r="B1933" s="0" t="s">
        <v>85</v>
      </c>
      <c r="C1933" s="17" t="n">
        <v>0.0703766653233833</v>
      </c>
      <c r="D1933" s="17" t="n">
        <f aca="false">(C1933-$B$4)/($B$6/SQRT($B$7))</f>
        <v>0.351883326616916</v>
      </c>
      <c r="E1933" s="0" t="str">
        <f aca="false">IF(OR(AND($B$9="superior",D1933&gt;$B$10),AND($B$9="inferior",D1933&lt;-$B$10)),"Rechazar H0","No rechazar H0")</f>
        <v>No rechazar H0</v>
      </c>
      <c r="F1933" s="0" t="str">
        <f aca="false">IF(AND(B1933="H0 verdadera",E1933="Rechazar H0"),"Error tipo I",IF(AND(B1933="Ha verdadera",E1933="No rechazar H0"),"Error tipo II","Decisión correcta"))</f>
        <v>Decisión correcta</v>
      </c>
    </row>
    <row r="1934" customFormat="false" ht="15" hidden="false" customHeight="false" outlineLevel="0" collapsed="false">
      <c r="A1934" s="0" t="n">
        <v>1913</v>
      </c>
      <c r="B1934" s="0" t="s">
        <v>86</v>
      </c>
      <c r="C1934" s="17" t="n">
        <v>-0.474954771486331</v>
      </c>
      <c r="D1934" s="17" t="n">
        <f aca="false">(C1934-$B$4)/($B$6/SQRT($B$7))</f>
        <v>-2.37477385743165</v>
      </c>
      <c r="E1934" s="0" t="str">
        <f aca="false">IF(OR(AND($B$9="superior",D1934&gt;$B$10),AND($B$9="inferior",D1934&lt;-$B$10)),"Rechazar H0","No rechazar H0")</f>
        <v>Rechazar H0</v>
      </c>
      <c r="F1934" s="0" t="str">
        <f aca="false">IF(AND(B1934="H0 verdadera",E1934="Rechazar H0"),"Error tipo I",IF(AND(B1934="Ha verdadera",E1934="No rechazar H0"),"Error tipo II","Decisión correcta"))</f>
        <v>Decisión correcta</v>
      </c>
    </row>
    <row r="1935" customFormat="false" ht="15" hidden="false" customHeight="false" outlineLevel="0" collapsed="false">
      <c r="A1935" s="0" t="n">
        <v>1914</v>
      </c>
      <c r="B1935" s="0" t="s">
        <v>86</v>
      </c>
      <c r="C1935" s="17" t="n">
        <v>-0.319722414044395</v>
      </c>
      <c r="D1935" s="17" t="n">
        <f aca="false">(C1935-$B$4)/($B$6/SQRT($B$7))</f>
        <v>-1.59861207022197</v>
      </c>
      <c r="E1935" s="0" t="str">
        <f aca="false">IF(OR(AND($B$9="superior",D1935&gt;$B$10),AND($B$9="inferior",D1935&lt;-$B$10)),"Rechazar H0","No rechazar H0")</f>
        <v>No rechazar H0</v>
      </c>
      <c r="F1935" s="0" t="str">
        <f aca="false">IF(AND(B1935="H0 verdadera",E1935="Rechazar H0"),"Error tipo I",IF(AND(B1935="Ha verdadera",E1935="No rechazar H0"),"Error tipo II","Decisión correcta"))</f>
        <v>Error tipo II</v>
      </c>
    </row>
    <row r="1936" customFormat="false" ht="15" hidden="false" customHeight="false" outlineLevel="0" collapsed="false">
      <c r="A1936" s="0" t="n">
        <v>1915</v>
      </c>
      <c r="B1936" s="0" t="s">
        <v>85</v>
      </c>
      <c r="C1936" s="17" t="n">
        <v>0.101393561261421</v>
      </c>
      <c r="D1936" s="17" t="n">
        <f aca="false">(C1936-$B$4)/($B$6/SQRT($B$7))</f>
        <v>0.506967806307103</v>
      </c>
      <c r="E1936" s="0" t="str">
        <f aca="false">IF(OR(AND($B$9="superior",D1936&gt;$B$10),AND($B$9="inferior",D1936&lt;-$B$10)),"Rechazar H0","No rechazar H0")</f>
        <v>No rechazar H0</v>
      </c>
      <c r="F1936" s="0" t="str">
        <f aca="false">IF(AND(B1936="H0 verdadera",E1936="Rechazar H0"),"Error tipo I",IF(AND(B1936="Ha verdadera",E1936="No rechazar H0"),"Error tipo II","Decisión correcta"))</f>
        <v>Decisión correcta</v>
      </c>
    </row>
    <row r="1937" customFormat="false" ht="15" hidden="false" customHeight="false" outlineLevel="0" collapsed="false">
      <c r="A1937" s="0" t="n">
        <v>1916</v>
      </c>
      <c r="B1937" s="0" t="s">
        <v>86</v>
      </c>
      <c r="C1937" s="17" t="n">
        <v>-0.269315402953731</v>
      </c>
      <c r="D1937" s="17" t="n">
        <f aca="false">(C1937-$B$4)/($B$6/SQRT($B$7))</f>
        <v>-1.34657701476866</v>
      </c>
      <c r="E1937" s="0" t="str">
        <f aca="false">IF(OR(AND($B$9="superior",D1937&gt;$B$10),AND($B$9="inferior",D1937&lt;-$B$10)),"Rechazar H0","No rechazar H0")</f>
        <v>No rechazar H0</v>
      </c>
      <c r="F1937" s="0" t="str">
        <f aca="false">IF(AND(B1937="H0 verdadera",E1937="Rechazar H0"),"Error tipo I",IF(AND(B1937="Ha verdadera",E1937="No rechazar H0"),"Error tipo II","Decisión correcta"))</f>
        <v>Error tipo II</v>
      </c>
    </row>
    <row r="1938" customFormat="false" ht="15" hidden="false" customHeight="false" outlineLevel="0" collapsed="false">
      <c r="A1938" s="0" t="n">
        <v>1917</v>
      </c>
      <c r="B1938" s="0" t="s">
        <v>85</v>
      </c>
      <c r="C1938" s="17" t="n">
        <v>0.108290162881803</v>
      </c>
      <c r="D1938" s="17" t="n">
        <f aca="false">(C1938-$B$4)/($B$6/SQRT($B$7))</f>
        <v>0.541450814409017</v>
      </c>
      <c r="E1938" s="0" t="str">
        <f aca="false">IF(OR(AND($B$9="superior",D1938&gt;$B$10),AND($B$9="inferior",D1938&lt;-$B$10)),"Rechazar H0","No rechazar H0")</f>
        <v>No rechazar H0</v>
      </c>
      <c r="F1938" s="0" t="str">
        <f aca="false">IF(AND(B1938="H0 verdadera",E1938="Rechazar H0"),"Error tipo I",IF(AND(B1938="Ha verdadera",E1938="No rechazar H0"),"Error tipo II","Decisión correcta"))</f>
        <v>Decisión correcta</v>
      </c>
    </row>
    <row r="1939" customFormat="false" ht="15" hidden="false" customHeight="false" outlineLevel="0" collapsed="false">
      <c r="A1939" s="0" t="n">
        <v>1918</v>
      </c>
      <c r="B1939" s="0" t="s">
        <v>85</v>
      </c>
      <c r="C1939" s="17" t="n">
        <v>0.208616333329967</v>
      </c>
      <c r="D1939" s="17" t="n">
        <f aca="false">(C1939-$B$4)/($B$6/SQRT($B$7))</f>
        <v>1.04308166664983</v>
      </c>
      <c r="E1939" s="0" t="str">
        <f aca="false">IF(OR(AND($B$9="superior",D1939&gt;$B$10),AND($B$9="inferior",D1939&lt;-$B$10)),"Rechazar H0","No rechazar H0")</f>
        <v>No rechazar H0</v>
      </c>
      <c r="F1939" s="0" t="str">
        <f aca="false">IF(AND(B1939="H0 verdadera",E1939="Rechazar H0"),"Error tipo I",IF(AND(B1939="Ha verdadera",E1939="No rechazar H0"),"Error tipo II","Decisión correcta"))</f>
        <v>Decisión correcta</v>
      </c>
    </row>
    <row r="1940" customFormat="false" ht="15" hidden="false" customHeight="false" outlineLevel="0" collapsed="false">
      <c r="A1940" s="0" t="n">
        <v>1919</v>
      </c>
      <c r="B1940" s="0" t="s">
        <v>85</v>
      </c>
      <c r="C1940" s="17" t="n">
        <v>-0.127762361280053</v>
      </c>
      <c r="D1940" s="17" t="n">
        <f aca="false">(C1940-$B$4)/($B$6/SQRT($B$7))</f>
        <v>-0.638811806400263</v>
      </c>
      <c r="E1940" s="0" t="str">
        <f aca="false">IF(OR(AND($B$9="superior",D1940&gt;$B$10),AND($B$9="inferior",D1940&lt;-$B$10)),"Rechazar H0","No rechazar H0")</f>
        <v>No rechazar H0</v>
      </c>
      <c r="F1940" s="0" t="str">
        <f aca="false">IF(AND(B1940="H0 verdadera",E1940="Rechazar H0"),"Error tipo I",IF(AND(B1940="Ha verdadera",E1940="No rechazar H0"),"Error tipo II","Decisión correcta"))</f>
        <v>Decisión correcta</v>
      </c>
    </row>
    <row r="1941" customFormat="false" ht="15" hidden="false" customHeight="false" outlineLevel="0" collapsed="false">
      <c r="A1941" s="0" t="n">
        <v>1920</v>
      </c>
      <c r="B1941" s="0" t="s">
        <v>85</v>
      </c>
      <c r="C1941" s="17" t="n">
        <v>0.0139956246944546</v>
      </c>
      <c r="D1941" s="17" t="n">
        <f aca="false">(C1941-$B$4)/($B$6/SQRT($B$7))</f>
        <v>0.0699781234722732</v>
      </c>
      <c r="E1941" s="0" t="str">
        <f aca="false">IF(OR(AND($B$9="superior",D1941&gt;$B$10),AND($B$9="inferior",D1941&lt;-$B$10)),"Rechazar H0","No rechazar H0")</f>
        <v>No rechazar H0</v>
      </c>
      <c r="F1941" s="0" t="str">
        <f aca="false">IF(AND(B1941="H0 verdadera",E1941="Rechazar H0"),"Error tipo I",IF(AND(B1941="Ha verdadera",E1941="No rechazar H0"),"Error tipo II","Decisión correcta"))</f>
        <v>Decisión correcta</v>
      </c>
    </row>
    <row r="1942" customFormat="false" ht="15" hidden="false" customHeight="false" outlineLevel="0" collapsed="false">
      <c r="A1942" s="0" t="n">
        <v>1921</v>
      </c>
      <c r="B1942" s="0" t="s">
        <v>86</v>
      </c>
      <c r="C1942" s="17" t="n">
        <v>-0.186117923913077</v>
      </c>
      <c r="D1942" s="17" t="n">
        <f aca="false">(C1942-$B$4)/($B$6/SQRT($B$7))</f>
        <v>-0.930589619565385</v>
      </c>
      <c r="E1942" s="0" t="str">
        <f aca="false">IF(OR(AND($B$9="superior",D1942&gt;$B$10),AND($B$9="inferior",D1942&lt;-$B$10)),"Rechazar H0","No rechazar H0")</f>
        <v>No rechazar H0</v>
      </c>
      <c r="F1942" s="0" t="str">
        <f aca="false">IF(AND(B1942="H0 verdadera",E1942="Rechazar H0"),"Error tipo I",IF(AND(B1942="Ha verdadera",E1942="No rechazar H0"),"Error tipo II","Decisión correcta"))</f>
        <v>Error tipo II</v>
      </c>
    </row>
    <row r="1943" customFormat="false" ht="15" hidden="false" customHeight="false" outlineLevel="0" collapsed="false">
      <c r="A1943" s="0" t="n">
        <v>1922</v>
      </c>
      <c r="B1943" s="0" t="s">
        <v>86</v>
      </c>
      <c r="C1943" s="17" t="n">
        <v>-0.498821331262948</v>
      </c>
      <c r="D1943" s="17" t="n">
        <f aca="false">(C1943-$B$4)/($B$6/SQRT($B$7))</f>
        <v>-2.49410665631474</v>
      </c>
      <c r="E1943" s="0" t="str">
        <f aca="false">IF(OR(AND($B$9="superior",D1943&gt;$B$10),AND($B$9="inferior",D1943&lt;-$B$10)),"Rechazar H0","No rechazar H0")</f>
        <v>Rechazar H0</v>
      </c>
      <c r="F1943" s="0" t="str">
        <f aca="false">IF(AND(B1943="H0 verdadera",E1943="Rechazar H0"),"Error tipo I",IF(AND(B1943="Ha verdadera",E1943="No rechazar H0"),"Error tipo II","Decisión correcta"))</f>
        <v>Decisión correcta</v>
      </c>
    </row>
    <row r="1944" customFormat="false" ht="15" hidden="false" customHeight="false" outlineLevel="0" collapsed="false">
      <c r="A1944" s="0" t="n">
        <v>1923</v>
      </c>
      <c r="B1944" s="0" t="s">
        <v>85</v>
      </c>
      <c r="C1944" s="17" t="n">
        <v>0.146378653083317</v>
      </c>
      <c r="D1944" s="17" t="n">
        <f aca="false">(C1944-$B$4)/($B$6/SQRT($B$7))</f>
        <v>0.731893265416585</v>
      </c>
      <c r="E1944" s="0" t="str">
        <f aca="false">IF(OR(AND($B$9="superior",D1944&gt;$B$10),AND($B$9="inferior",D1944&lt;-$B$10)),"Rechazar H0","No rechazar H0")</f>
        <v>No rechazar H0</v>
      </c>
      <c r="F1944" s="0" t="str">
        <f aca="false">IF(AND(B1944="H0 verdadera",E1944="Rechazar H0"),"Error tipo I",IF(AND(B1944="Ha verdadera",E1944="No rechazar H0"),"Error tipo II","Decisión correcta"))</f>
        <v>Decisión correcta</v>
      </c>
    </row>
    <row r="1945" customFormat="false" ht="15" hidden="false" customHeight="false" outlineLevel="0" collapsed="false">
      <c r="A1945" s="0" t="n">
        <v>1924</v>
      </c>
      <c r="B1945" s="0" t="s">
        <v>85</v>
      </c>
      <c r="C1945" s="17" t="n">
        <v>0.245942276559047</v>
      </c>
      <c r="D1945" s="17" t="n">
        <f aca="false">(C1945-$B$4)/($B$6/SQRT($B$7))</f>
        <v>1.22971138279523</v>
      </c>
      <c r="E1945" s="0" t="str">
        <f aca="false">IF(OR(AND($B$9="superior",D1945&gt;$B$10),AND($B$9="inferior",D1945&lt;-$B$10)),"Rechazar H0","No rechazar H0")</f>
        <v>No rechazar H0</v>
      </c>
      <c r="F1945" s="0" t="str">
        <f aca="false">IF(AND(B1945="H0 verdadera",E1945="Rechazar H0"),"Error tipo I",IF(AND(B1945="Ha verdadera",E1945="No rechazar H0"),"Error tipo II","Decisión correcta"))</f>
        <v>Decisión correcta</v>
      </c>
    </row>
    <row r="1946" customFormat="false" ht="15" hidden="false" customHeight="false" outlineLevel="0" collapsed="false">
      <c r="A1946" s="0" t="n">
        <v>1925</v>
      </c>
      <c r="B1946" s="0" t="s">
        <v>86</v>
      </c>
      <c r="C1946" s="17" t="n">
        <v>-0.433837922324062</v>
      </c>
      <c r="D1946" s="17" t="n">
        <f aca="false">(C1946-$B$4)/($B$6/SQRT($B$7))</f>
        <v>-2.16918961162031</v>
      </c>
      <c r="E1946" s="0" t="str">
        <f aca="false">IF(OR(AND($B$9="superior",D1946&gt;$B$10),AND($B$9="inferior",D1946&lt;-$B$10)),"Rechazar H0","No rechazar H0")</f>
        <v>Rechazar H0</v>
      </c>
      <c r="F1946" s="0" t="str">
        <f aca="false">IF(AND(B1946="H0 verdadera",E1946="Rechazar H0"),"Error tipo I",IF(AND(B1946="Ha verdadera",E1946="No rechazar H0"),"Error tipo II","Decisión correcta"))</f>
        <v>Decisión correcta</v>
      </c>
    </row>
    <row r="1947" customFormat="false" ht="15" hidden="false" customHeight="false" outlineLevel="0" collapsed="false">
      <c r="A1947" s="0" t="n">
        <v>1926</v>
      </c>
      <c r="B1947" s="0" t="s">
        <v>85</v>
      </c>
      <c r="C1947" s="17" t="n">
        <v>0.0934096503285772</v>
      </c>
      <c r="D1947" s="17" t="n">
        <f aca="false">(C1947-$B$4)/($B$6/SQRT($B$7))</f>
        <v>0.467048251642886</v>
      </c>
      <c r="E1947" s="0" t="str">
        <f aca="false">IF(OR(AND($B$9="superior",D1947&gt;$B$10),AND($B$9="inferior",D1947&lt;-$B$10)),"Rechazar H0","No rechazar H0")</f>
        <v>No rechazar H0</v>
      </c>
      <c r="F1947" s="0" t="str">
        <f aca="false">IF(AND(B1947="H0 verdadera",E1947="Rechazar H0"),"Error tipo I",IF(AND(B1947="Ha verdadera",E1947="No rechazar H0"),"Error tipo II","Decisión correcta"))</f>
        <v>Decisión correcta</v>
      </c>
    </row>
    <row r="1948" customFormat="false" ht="15" hidden="false" customHeight="false" outlineLevel="0" collapsed="false">
      <c r="A1948" s="0" t="n">
        <v>1927</v>
      </c>
      <c r="B1948" s="0" t="s">
        <v>86</v>
      </c>
      <c r="C1948" s="17" t="n">
        <v>-0.549912700122097</v>
      </c>
      <c r="D1948" s="17" t="n">
        <f aca="false">(C1948-$B$4)/($B$6/SQRT($B$7))</f>
        <v>-2.74956350061048</v>
      </c>
      <c r="E1948" s="0" t="str">
        <f aca="false">IF(OR(AND($B$9="superior",D1948&gt;$B$10),AND($B$9="inferior",D1948&lt;-$B$10)),"Rechazar H0","No rechazar H0")</f>
        <v>Rechazar H0</v>
      </c>
      <c r="F1948" s="0" t="str">
        <f aca="false">IF(AND(B1948="H0 verdadera",E1948="Rechazar H0"),"Error tipo I",IF(AND(B1948="Ha verdadera",E1948="No rechazar H0"),"Error tipo II","Decisión correcta"))</f>
        <v>Decisión correcta</v>
      </c>
    </row>
    <row r="1949" customFormat="false" ht="15" hidden="false" customHeight="false" outlineLevel="0" collapsed="false">
      <c r="A1949" s="0" t="n">
        <v>1928</v>
      </c>
      <c r="B1949" s="0" t="s">
        <v>85</v>
      </c>
      <c r="C1949" s="17" t="n">
        <v>-0.0895253273449151</v>
      </c>
      <c r="D1949" s="17" t="n">
        <f aca="false">(C1949-$B$4)/($B$6/SQRT($B$7))</f>
        <v>-0.447626636724575</v>
      </c>
      <c r="E1949" s="0" t="str">
        <f aca="false">IF(OR(AND($B$9="superior",D1949&gt;$B$10),AND($B$9="inferior",D1949&lt;-$B$10)),"Rechazar H0","No rechazar H0")</f>
        <v>No rechazar H0</v>
      </c>
      <c r="F1949" s="0" t="str">
        <f aca="false">IF(AND(B1949="H0 verdadera",E1949="Rechazar H0"),"Error tipo I",IF(AND(B1949="Ha verdadera",E1949="No rechazar H0"),"Error tipo II","Decisión correcta"))</f>
        <v>Decisión correcta</v>
      </c>
    </row>
    <row r="1950" customFormat="false" ht="15" hidden="false" customHeight="false" outlineLevel="0" collapsed="false">
      <c r="A1950" s="0" t="n">
        <v>1929</v>
      </c>
      <c r="B1950" s="0" t="s">
        <v>86</v>
      </c>
      <c r="C1950" s="17" t="n">
        <v>-0.579769406374672</v>
      </c>
      <c r="D1950" s="17" t="n">
        <f aca="false">(C1950-$B$4)/($B$6/SQRT($B$7))</f>
        <v>-2.89884703187336</v>
      </c>
      <c r="E1950" s="0" t="str">
        <f aca="false">IF(OR(AND($B$9="superior",D1950&gt;$B$10),AND($B$9="inferior",D1950&lt;-$B$10)),"Rechazar H0","No rechazar H0")</f>
        <v>Rechazar H0</v>
      </c>
      <c r="F1950" s="0" t="str">
        <f aca="false">IF(AND(B1950="H0 verdadera",E1950="Rechazar H0"),"Error tipo I",IF(AND(B1950="Ha verdadera",E1950="No rechazar H0"),"Error tipo II","Decisión correcta"))</f>
        <v>Decisión correcta</v>
      </c>
    </row>
    <row r="1951" customFormat="false" ht="15" hidden="false" customHeight="false" outlineLevel="0" collapsed="false">
      <c r="A1951" s="0" t="n">
        <v>1930</v>
      </c>
      <c r="B1951" s="0" t="s">
        <v>85</v>
      </c>
      <c r="C1951" s="17" t="n">
        <v>-0.0217009643091102</v>
      </c>
      <c r="D1951" s="17" t="n">
        <f aca="false">(C1951-$B$4)/($B$6/SQRT($B$7))</f>
        <v>-0.108504821545551</v>
      </c>
      <c r="E1951" s="0" t="str">
        <f aca="false">IF(OR(AND($B$9="superior",D1951&gt;$B$10),AND($B$9="inferior",D1951&lt;-$B$10)),"Rechazar H0","No rechazar H0")</f>
        <v>No rechazar H0</v>
      </c>
      <c r="F1951" s="0" t="str">
        <f aca="false">IF(AND(B1951="H0 verdadera",E1951="Rechazar H0"),"Error tipo I",IF(AND(B1951="Ha verdadera",E1951="No rechazar H0"),"Error tipo II","Decisión correcta"))</f>
        <v>Decisión correcta</v>
      </c>
    </row>
    <row r="1952" customFormat="false" ht="15" hidden="false" customHeight="false" outlineLevel="0" collapsed="false">
      <c r="A1952" s="0" t="n">
        <v>1931</v>
      </c>
      <c r="B1952" s="0" t="s">
        <v>85</v>
      </c>
      <c r="C1952" s="17" t="n">
        <v>0.138959174775486</v>
      </c>
      <c r="D1952" s="17" t="n">
        <f aca="false">(C1952-$B$4)/($B$6/SQRT($B$7))</f>
        <v>0.694795873877428</v>
      </c>
      <c r="E1952" s="0" t="str">
        <f aca="false">IF(OR(AND($B$9="superior",D1952&gt;$B$10),AND($B$9="inferior",D1952&lt;-$B$10)),"Rechazar H0","No rechazar H0")</f>
        <v>No rechazar H0</v>
      </c>
      <c r="F1952" s="0" t="str">
        <f aca="false">IF(AND(B1952="H0 verdadera",E1952="Rechazar H0"),"Error tipo I",IF(AND(B1952="Ha verdadera",E1952="No rechazar H0"),"Error tipo II","Decisión correcta"))</f>
        <v>Decisión correcta</v>
      </c>
    </row>
    <row r="1953" customFormat="false" ht="15" hidden="false" customHeight="false" outlineLevel="0" collapsed="false">
      <c r="A1953" s="0" t="n">
        <v>1932</v>
      </c>
      <c r="B1953" s="0" t="s">
        <v>85</v>
      </c>
      <c r="C1953" s="17" t="n">
        <v>0.151169652172378</v>
      </c>
      <c r="D1953" s="17" t="n">
        <f aca="false">(C1953-$B$4)/($B$6/SQRT($B$7))</f>
        <v>0.755848260861889</v>
      </c>
      <c r="E1953" s="0" t="str">
        <f aca="false">IF(OR(AND($B$9="superior",D1953&gt;$B$10),AND($B$9="inferior",D1953&lt;-$B$10)),"Rechazar H0","No rechazar H0")</f>
        <v>No rechazar H0</v>
      </c>
      <c r="F1953" s="0" t="str">
        <f aca="false">IF(AND(B1953="H0 verdadera",E1953="Rechazar H0"),"Error tipo I",IF(AND(B1953="Ha verdadera",E1953="No rechazar H0"),"Error tipo II","Decisión correcta"))</f>
        <v>Decisión correcta</v>
      </c>
    </row>
    <row r="1954" customFormat="false" ht="15" hidden="false" customHeight="false" outlineLevel="0" collapsed="false">
      <c r="A1954" s="0" t="n">
        <v>1933</v>
      </c>
      <c r="B1954" s="0" t="s">
        <v>86</v>
      </c>
      <c r="C1954" s="17" t="n">
        <v>-0.522902036585375</v>
      </c>
      <c r="D1954" s="17" t="n">
        <f aca="false">(C1954-$B$4)/($B$6/SQRT($B$7))</f>
        <v>-2.61451018292688</v>
      </c>
      <c r="E1954" s="0" t="str">
        <f aca="false">IF(OR(AND($B$9="superior",D1954&gt;$B$10),AND($B$9="inferior",D1954&lt;-$B$10)),"Rechazar H0","No rechazar H0")</f>
        <v>Rechazar H0</v>
      </c>
      <c r="F1954" s="0" t="str">
        <f aca="false">IF(AND(B1954="H0 verdadera",E1954="Rechazar H0"),"Error tipo I",IF(AND(B1954="Ha verdadera",E1954="No rechazar H0"),"Error tipo II","Decisión correcta"))</f>
        <v>Decisión correcta</v>
      </c>
    </row>
    <row r="1955" customFormat="false" ht="15" hidden="false" customHeight="false" outlineLevel="0" collapsed="false">
      <c r="A1955" s="0" t="n">
        <v>1934</v>
      </c>
      <c r="B1955" s="0" t="s">
        <v>86</v>
      </c>
      <c r="C1955" s="17" t="n">
        <v>-0.0174417759082013</v>
      </c>
      <c r="D1955" s="17" t="n">
        <f aca="false">(C1955-$B$4)/($B$6/SQRT($B$7))</f>
        <v>-0.0872088795410067</v>
      </c>
      <c r="E1955" s="0" t="str">
        <f aca="false">IF(OR(AND($B$9="superior",D1955&gt;$B$10),AND($B$9="inferior",D1955&lt;-$B$10)),"Rechazar H0","No rechazar H0")</f>
        <v>No rechazar H0</v>
      </c>
      <c r="F1955" s="0" t="str">
        <f aca="false">IF(AND(B1955="H0 verdadera",E1955="Rechazar H0"),"Error tipo I",IF(AND(B1955="Ha verdadera",E1955="No rechazar H0"),"Error tipo II","Decisión correcta"))</f>
        <v>Error tipo II</v>
      </c>
    </row>
    <row r="1956" customFormat="false" ht="15" hidden="false" customHeight="false" outlineLevel="0" collapsed="false">
      <c r="A1956" s="0" t="n">
        <v>1935</v>
      </c>
      <c r="B1956" s="0" t="s">
        <v>85</v>
      </c>
      <c r="C1956" s="17" t="n">
        <v>0.0631082894070177</v>
      </c>
      <c r="D1956" s="17" t="n">
        <f aca="false">(C1956-$B$4)/($B$6/SQRT($B$7))</f>
        <v>0.315541447035089</v>
      </c>
      <c r="E1956" s="0" t="str">
        <f aca="false">IF(OR(AND($B$9="superior",D1956&gt;$B$10),AND($B$9="inferior",D1956&lt;-$B$10)),"Rechazar H0","No rechazar H0")</f>
        <v>No rechazar H0</v>
      </c>
      <c r="F1956" s="0" t="str">
        <f aca="false">IF(AND(B1956="H0 verdadera",E1956="Rechazar H0"),"Error tipo I",IF(AND(B1956="Ha verdadera",E1956="No rechazar H0"),"Error tipo II","Decisión correcta"))</f>
        <v>Decisión correcta</v>
      </c>
    </row>
    <row r="1957" customFormat="false" ht="15" hidden="false" customHeight="false" outlineLevel="0" collapsed="false">
      <c r="A1957" s="0" t="n">
        <v>1936</v>
      </c>
      <c r="B1957" s="0" t="s">
        <v>85</v>
      </c>
      <c r="C1957" s="17" t="n">
        <v>0.0670810451928242</v>
      </c>
      <c r="D1957" s="17" t="n">
        <f aca="false">(C1957-$B$4)/($B$6/SQRT($B$7))</f>
        <v>0.335405225964121</v>
      </c>
      <c r="E1957" s="0" t="str">
        <f aca="false">IF(OR(AND($B$9="superior",D1957&gt;$B$10),AND($B$9="inferior",D1957&lt;-$B$10)),"Rechazar H0","No rechazar H0")</f>
        <v>No rechazar H0</v>
      </c>
      <c r="F1957" s="0" t="str">
        <f aca="false">IF(AND(B1957="H0 verdadera",E1957="Rechazar H0"),"Error tipo I",IF(AND(B1957="Ha verdadera",E1957="No rechazar H0"),"Error tipo II","Decisión correcta"))</f>
        <v>Decisión correcta</v>
      </c>
    </row>
    <row r="1958" customFormat="false" ht="15" hidden="false" customHeight="false" outlineLevel="0" collapsed="false">
      <c r="A1958" s="0" t="n">
        <v>1937</v>
      </c>
      <c r="B1958" s="0" t="s">
        <v>85</v>
      </c>
      <c r="C1958" s="17" t="n">
        <v>0.0547249662977048</v>
      </c>
      <c r="D1958" s="17" t="n">
        <f aca="false">(C1958-$B$4)/($B$6/SQRT($B$7))</f>
        <v>0.273624831488524</v>
      </c>
      <c r="E1958" s="0" t="str">
        <f aca="false">IF(OR(AND($B$9="superior",D1958&gt;$B$10),AND($B$9="inferior",D1958&lt;-$B$10)),"Rechazar H0","No rechazar H0")</f>
        <v>No rechazar H0</v>
      </c>
      <c r="F1958" s="0" t="str">
        <f aca="false">IF(AND(B1958="H0 verdadera",E1958="Rechazar H0"),"Error tipo I",IF(AND(B1958="Ha verdadera",E1958="No rechazar H0"),"Error tipo II","Decisión correcta"))</f>
        <v>Decisión correcta</v>
      </c>
    </row>
    <row r="1959" customFormat="false" ht="15" hidden="false" customHeight="false" outlineLevel="0" collapsed="false">
      <c r="A1959" s="0" t="n">
        <v>1938</v>
      </c>
      <c r="B1959" s="0" t="s">
        <v>85</v>
      </c>
      <c r="C1959" s="17" t="n">
        <v>-0.262637536721765</v>
      </c>
      <c r="D1959" s="17" t="n">
        <f aca="false">(C1959-$B$4)/($B$6/SQRT($B$7))</f>
        <v>-1.31318768360883</v>
      </c>
      <c r="E1959" s="0" t="str">
        <f aca="false">IF(OR(AND($B$9="superior",D1959&gt;$B$10),AND($B$9="inferior",D1959&lt;-$B$10)),"Rechazar H0","No rechazar H0")</f>
        <v>No rechazar H0</v>
      </c>
      <c r="F1959" s="0" t="str">
        <f aca="false">IF(AND(B1959="H0 verdadera",E1959="Rechazar H0"),"Error tipo I",IF(AND(B1959="Ha verdadera",E1959="No rechazar H0"),"Error tipo II","Decisión correcta"))</f>
        <v>Decisión correcta</v>
      </c>
    </row>
    <row r="1960" customFormat="false" ht="15" hidden="false" customHeight="false" outlineLevel="0" collapsed="false">
      <c r="A1960" s="0" t="n">
        <v>1939</v>
      </c>
      <c r="B1960" s="0" t="s">
        <v>86</v>
      </c>
      <c r="C1960" s="17" t="n">
        <v>-0.409739978999217</v>
      </c>
      <c r="D1960" s="17" t="n">
        <f aca="false">(C1960-$B$4)/($B$6/SQRT($B$7))</f>
        <v>-2.04869989499608</v>
      </c>
      <c r="E1960" s="0" t="str">
        <f aca="false">IF(OR(AND($B$9="superior",D1960&gt;$B$10),AND($B$9="inferior",D1960&lt;-$B$10)),"Rechazar H0","No rechazar H0")</f>
        <v>Rechazar H0</v>
      </c>
      <c r="F1960" s="0" t="str">
        <f aca="false">IF(AND(B1960="H0 verdadera",E1960="Rechazar H0"),"Error tipo I",IF(AND(B1960="Ha verdadera",E1960="No rechazar H0"),"Error tipo II","Decisión correcta"))</f>
        <v>Decisión correcta</v>
      </c>
    </row>
    <row r="1961" customFormat="false" ht="15" hidden="false" customHeight="false" outlineLevel="0" collapsed="false">
      <c r="A1961" s="0" t="n">
        <v>1940</v>
      </c>
      <c r="B1961" s="0" t="s">
        <v>86</v>
      </c>
      <c r="C1961" s="17" t="n">
        <v>-0.562782638015141</v>
      </c>
      <c r="D1961" s="17" t="n">
        <f aca="false">(C1961-$B$4)/($B$6/SQRT($B$7))</f>
        <v>-2.8139131900757</v>
      </c>
      <c r="E1961" s="0" t="str">
        <f aca="false">IF(OR(AND($B$9="superior",D1961&gt;$B$10),AND($B$9="inferior",D1961&lt;-$B$10)),"Rechazar H0","No rechazar H0")</f>
        <v>Rechazar H0</v>
      </c>
      <c r="F1961" s="0" t="str">
        <f aca="false">IF(AND(B1961="H0 verdadera",E1961="Rechazar H0"),"Error tipo I",IF(AND(B1961="Ha verdadera",E1961="No rechazar H0"),"Error tipo II","Decisión correcta"))</f>
        <v>Decisión correcta</v>
      </c>
    </row>
    <row r="1962" customFormat="false" ht="15" hidden="false" customHeight="false" outlineLevel="0" collapsed="false">
      <c r="A1962" s="0" t="n">
        <v>1941</v>
      </c>
      <c r="B1962" s="0" t="s">
        <v>85</v>
      </c>
      <c r="C1962" s="17" t="n">
        <v>0.267751835929496</v>
      </c>
      <c r="D1962" s="17" t="n">
        <f aca="false">(C1962-$B$4)/($B$6/SQRT($B$7))</f>
        <v>1.33875917964748</v>
      </c>
      <c r="E1962" s="0" t="str">
        <f aca="false">IF(OR(AND($B$9="superior",D1962&gt;$B$10),AND($B$9="inferior",D1962&lt;-$B$10)),"Rechazar H0","No rechazar H0")</f>
        <v>No rechazar H0</v>
      </c>
      <c r="F1962" s="0" t="str">
        <f aca="false">IF(AND(B1962="H0 verdadera",E1962="Rechazar H0"),"Error tipo I",IF(AND(B1962="Ha verdadera",E1962="No rechazar H0"),"Error tipo II","Decisión correcta"))</f>
        <v>Decisión correcta</v>
      </c>
    </row>
    <row r="1963" customFormat="false" ht="15" hidden="false" customHeight="false" outlineLevel="0" collapsed="false">
      <c r="A1963" s="0" t="n">
        <v>1942</v>
      </c>
      <c r="B1963" s="0" t="s">
        <v>85</v>
      </c>
      <c r="C1963" s="17" t="n">
        <v>-0.21094723729174</v>
      </c>
      <c r="D1963" s="17" t="n">
        <f aca="false">(C1963-$B$4)/($B$6/SQRT($B$7))</f>
        <v>-1.0547361864587</v>
      </c>
      <c r="E1963" s="0" t="str">
        <f aca="false">IF(OR(AND($B$9="superior",D1963&gt;$B$10),AND($B$9="inferior",D1963&lt;-$B$10)),"Rechazar H0","No rechazar H0")</f>
        <v>No rechazar H0</v>
      </c>
      <c r="F1963" s="0" t="str">
        <f aca="false">IF(AND(B1963="H0 verdadera",E1963="Rechazar H0"),"Error tipo I",IF(AND(B1963="Ha verdadera",E1963="No rechazar H0"),"Error tipo II","Decisión correcta"))</f>
        <v>Decisión correcta</v>
      </c>
    </row>
    <row r="1964" customFormat="false" ht="15" hidden="false" customHeight="false" outlineLevel="0" collapsed="false">
      <c r="A1964" s="0" t="n">
        <v>1943</v>
      </c>
      <c r="B1964" s="0" t="s">
        <v>85</v>
      </c>
      <c r="C1964" s="17" t="n">
        <v>0.1531201673396</v>
      </c>
      <c r="D1964" s="17" t="n">
        <f aca="false">(C1964-$B$4)/($B$6/SQRT($B$7))</f>
        <v>0.765600836698001</v>
      </c>
      <c r="E1964" s="0" t="str">
        <f aca="false">IF(OR(AND($B$9="superior",D1964&gt;$B$10),AND($B$9="inferior",D1964&lt;-$B$10)),"Rechazar H0","No rechazar H0")</f>
        <v>No rechazar H0</v>
      </c>
      <c r="F1964" s="0" t="str">
        <f aca="false">IF(AND(B1964="H0 verdadera",E1964="Rechazar H0"),"Error tipo I",IF(AND(B1964="Ha verdadera",E1964="No rechazar H0"),"Error tipo II","Decisión correcta"))</f>
        <v>Decisión correcta</v>
      </c>
    </row>
    <row r="1965" customFormat="false" ht="15" hidden="false" customHeight="false" outlineLevel="0" collapsed="false">
      <c r="A1965" s="0" t="n">
        <v>1944</v>
      </c>
      <c r="B1965" s="0" t="s">
        <v>86</v>
      </c>
      <c r="C1965" s="17" t="n">
        <v>-0.329192383146519</v>
      </c>
      <c r="D1965" s="17" t="n">
        <f aca="false">(C1965-$B$4)/($B$6/SQRT($B$7))</f>
        <v>-1.6459619157326</v>
      </c>
      <c r="E1965" s="0" t="str">
        <f aca="false">IF(OR(AND($B$9="superior",D1965&gt;$B$10),AND($B$9="inferior",D1965&lt;-$B$10)),"Rechazar H0","No rechazar H0")</f>
        <v>Rechazar H0</v>
      </c>
      <c r="F1965" s="0" t="str">
        <f aca="false">IF(AND(B1965="H0 verdadera",E1965="Rechazar H0"),"Error tipo I",IF(AND(B1965="Ha verdadera",E1965="No rechazar H0"),"Error tipo II","Decisión correcta"))</f>
        <v>Decisión correcta</v>
      </c>
    </row>
    <row r="1966" customFormat="false" ht="15" hidden="false" customHeight="false" outlineLevel="0" collapsed="false">
      <c r="A1966" s="0" t="n">
        <v>1945</v>
      </c>
      <c r="B1966" s="0" t="s">
        <v>85</v>
      </c>
      <c r="C1966" s="17" t="n">
        <v>-0.0455542625554142</v>
      </c>
      <c r="D1966" s="17" t="n">
        <f aca="false">(C1966-$B$4)/($B$6/SQRT($B$7))</f>
        <v>-0.227771312777071</v>
      </c>
      <c r="E1966" s="0" t="str">
        <f aca="false">IF(OR(AND($B$9="superior",D1966&gt;$B$10),AND($B$9="inferior",D1966&lt;-$B$10)),"Rechazar H0","No rechazar H0")</f>
        <v>No rechazar H0</v>
      </c>
      <c r="F1966" s="0" t="str">
        <f aca="false">IF(AND(B1966="H0 verdadera",E1966="Rechazar H0"),"Error tipo I",IF(AND(B1966="Ha verdadera",E1966="No rechazar H0"),"Error tipo II","Decisión correcta"))</f>
        <v>Decisión correcta</v>
      </c>
    </row>
    <row r="1967" customFormat="false" ht="15" hidden="false" customHeight="false" outlineLevel="0" collapsed="false">
      <c r="A1967" s="0" t="n">
        <v>1946</v>
      </c>
      <c r="B1967" s="0" t="s">
        <v>86</v>
      </c>
      <c r="C1967" s="17" t="n">
        <v>-0.073600233964591</v>
      </c>
      <c r="D1967" s="17" t="n">
        <f aca="false">(C1967-$B$4)/($B$6/SQRT($B$7))</f>
        <v>-0.368001169822955</v>
      </c>
      <c r="E1967" s="0" t="str">
        <f aca="false">IF(OR(AND($B$9="superior",D1967&gt;$B$10),AND($B$9="inferior",D1967&lt;-$B$10)),"Rechazar H0","No rechazar H0")</f>
        <v>No rechazar H0</v>
      </c>
      <c r="F1967" s="0" t="str">
        <f aca="false">IF(AND(B1967="H0 verdadera",E1967="Rechazar H0"),"Error tipo I",IF(AND(B1967="Ha verdadera",E1967="No rechazar H0"),"Error tipo II","Decisión correcta"))</f>
        <v>Error tipo II</v>
      </c>
    </row>
    <row r="1968" customFormat="false" ht="15" hidden="false" customHeight="false" outlineLevel="0" collapsed="false">
      <c r="A1968" s="0" t="n">
        <v>1947</v>
      </c>
      <c r="B1968" s="0" t="s">
        <v>85</v>
      </c>
      <c r="C1968" s="17" t="n">
        <v>0.0432297170293802</v>
      </c>
      <c r="D1968" s="17" t="n">
        <f aca="false">(C1968-$B$4)/($B$6/SQRT($B$7))</f>
        <v>0.216148585146901</v>
      </c>
      <c r="E1968" s="0" t="str">
        <f aca="false">IF(OR(AND($B$9="superior",D1968&gt;$B$10),AND($B$9="inferior",D1968&lt;-$B$10)),"Rechazar H0","No rechazar H0")</f>
        <v>No rechazar H0</v>
      </c>
      <c r="F1968" s="0" t="str">
        <f aca="false">IF(AND(B1968="H0 verdadera",E1968="Rechazar H0"),"Error tipo I",IF(AND(B1968="Ha verdadera",E1968="No rechazar H0"),"Error tipo II","Decisión correcta"))</f>
        <v>Decisión correcta</v>
      </c>
    </row>
    <row r="1969" customFormat="false" ht="15" hidden="false" customHeight="false" outlineLevel="0" collapsed="false">
      <c r="A1969" s="0" t="n">
        <v>1948</v>
      </c>
      <c r="B1969" s="0" t="s">
        <v>85</v>
      </c>
      <c r="C1969" s="17" t="n">
        <v>-0.250810431890607</v>
      </c>
      <c r="D1969" s="17" t="n">
        <f aca="false">(C1969-$B$4)/($B$6/SQRT($B$7))</f>
        <v>-1.25405215945303</v>
      </c>
      <c r="E1969" s="0" t="str">
        <f aca="false">IF(OR(AND($B$9="superior",D1969&gt;$B$10),AND($B$9="inferior",D1969&lt;-$B$10)),"Rechazar H0","No rechazar H0")</f>
        <v>No rechazar H0</v>
      </c>
      <c r="F1969" s="0" t="str">
        <f aca="false">IF(AND(B1969="H0 verdadera",E1969="Rechazar H0"),"Error tipo I",IF(AND(B1969="Ha verdadera",E1969="No rechazar H0"),"Error tipo II","Decisión correcta"))</f>
        <v>Decisión correcta</v>
      </c>
    </row>
    <row r="1970" customFormat="false" ht="15" hidden="false" customHeight="false" outlineLevel="0" collapsed="false">
      <c r="A1970" s="0" t="n">
        <v>1949</v>
      </c>
      <c r="B1970" s="0" t="s">
        <v>86</v>
      </c>
      <c r="C1970" s="17" t="n">
        <v>-0.569114741682737</v>
      </c>
      <c r="D1970" s="17" t="n">
        <f aca="false">(C1970-$B$4)/($B$6/SQRT($B$7))</f>
        <v>-2.84557370841369</v>
      </c>
      <c r="E1970" s="0" t="str">
        <f aca="false">IF(OR(AND($B$9="superior",D1970&gt;$B$10),AND($B$9="inferior",D1970&lt;-$B$10)),"Rechazar H0","No rechazar H0")</f>
        <v>Rechazar H0</v>
      </c>
      <c r="F1970" s="0" t="str">
        <f aca="false">IF(AND(B1970="H0 verdadera",E1970="Rechazar H0"),"Error tipo I",IF(AND(B1970="Ha verdadera",E1970="No rechazar H0"),"Error tipo II","Decisión correcta"))</f>
        <v>Decisión correcta</v>
      </c>
    </row>
    <row r="1971" customFormat="false" ht="15" hidden="false" customHeight="false" outlineLevel="0" collapsed="false">
      <c r="A1971" s="0" t="n">
        <v>1950</v>
      </c>
      <c r="B1971" s="0" t="s">
        <v>86</v>
      </c>
      <c r="C1971" s="17" t="n">
        <v>-0.505095623349828</v>
      </c>
      <c r="D1971" s="17" t="n">
        <f aca="false">(C1971-$B$4)/($B$6/SQRT($B$7))</f>
        <v>-2.52547811674914</v>
      </c>
      <c r="E1971" s="0" t="str">
        <f aca="false">IF(OR(AND($B$9="superior",D1971&gt;$B$10),AND($B$9="inferior",D1971&lt;-$B$10)),"Rechazar H0","No rechazar H0")</f>
        <v>Rechazar H0</v>
      </c>
      <c r="F1971" s="0" t="str">
        <f aca="false">IF(AND(B1971="H0 verdadera",E1971="Rechazar H0"),"Error tipo I",IF(AND(B1971="Ha verdadera",E1971="No rechazar H0"),"Error tipo II","Decisión correcta"))</f>
        <v>Decisión correcta</v>
      </c>
    </row>
    <row r="1972" customFormat="false" ht="15" hidden="false" customHeight="false" outlineLevel="0" collapsed="false">
      <c r="A1972" s="0" t="n">
        <v>1951</v>
      </c>
      <c r="B1972" s="0" t="s">
        <v>85</v>
      </c>
      <c r="C1972" s="17" t="n">
        <v>0.0365372244823259</v>
      </c>
      <c r="D1972" s="17" t="n">
        <f aca="false">(C1972-$B$4)/($B$6/SQRT($B$7))</f>
        <v>0.18268612241163</v>
      </c>
      <c r="E1972" s="0" t="str">
        <f aca="false">IF(OR(AND($B$9="superior",D1972&gt;$B$10),AND($B$9="inferior",D1972&lt;-$B$10)),"Rechazar H0","No rechazar H0")</f>
        <v>No rechazar H0</v>
      </c>
      <c r="F1972" s="0" t="str">
        <f aca="false">IF(AND(B1972="H0 verdadera",E1972="Rechazar H0"),"Error tipo I",IF(AND(B1972="Ha verdadera",E1972="No rechazar H0"),"Error tipo II","Decisión correcta"))</f>
        <v>Decisión correcta</v>
      </c>
    </row>
    <row r="1973" customFormat="false" ht="15" hidden="false" customHeight="false" outlineLevel="0" collapsed="false">
      <c r="A1973" s="0" t="n">
        <v>1952</v>
      </c>
      <c r="B1973" s="0" t="s">
        <v>86</v>
      </c>
      <c r="C1973" s="17" t="n">
        <v>-0.729690184086056</v>
      </c>
      <c r="D1973" s="17" t="n">
        <f aca="false">(C1973-$B$4)/($B$6/SQRT($B$7))</f>
        <v>-3.64845092043028</v>
      </c>
      <c r="E1973" s="0" t="str">
        <f aca="false">IF(OR(AND($B$9="superior",D1973&gt;$B$10),AND($B$9="inferior",D1973&lt;-$B$10)),"Rechazar H0","No rechazar H0")</f>
        <v>Rechazar H0</v>
      </c>
      <c r="F1973" s="0" t="str">
        <f aca="false">IF(AND(B1973="H0 verdadera",E1973="Rechazar H0"),"Error tipo I",IF(AND(B1973="Ha verdadera",E1973="No rechazar H0"),"Error tipo II","Decisión correcta"))</f>
        <v>Decisión correcta</v>
      </c>
    </row>
    <row r="1974" customFormat="false" ht="15" hidden="false" customHeight="false" outlineLevel="0" collapsed="false">
      <c r="A1974" s="0" t="n">
        <v>1953</v>
      </c>
      <c r="B1974" s="0" t="s">
        <v>86</v>
      </c>
      <c r="C1974" s="17" t="n">
        <v>-0.64596770492518</v>
      </c>
      <c r="D1974" s="17" t="n">
        <f aca="false">(C1974-$B$4)/($B$6/SQRT($B$7))</f>
        <v>-3.2298385246259</v>
      </c>
      <c r="E1974" s="0" t="str">
        <f aca="false">IF(OR(AND($B$9="superior",D1974&gt;$B$10),AND($B$9="inferior",D1974&lt;-$B$10)),"Rechazar H0","No rechazar H0")</f>
        <v>Rechazar H0</v>
      </c>
      <c r="F1974" s="0" t="str">
        <f aca="false">IF(AND(B1974="H0 verdadera",E1974="Rechazar H0"),"Error tipo I",IF(AND(B1974="Ha verdadera",E1974="No rechazar H0"),"Error tipo II","Decisión correcta"))</f>
        <v>Decisión correcta</v>
      </c>
    </row>
    <row r="1975" customFormat="false" ht="15" hidden="false" customHeight="false" outlineLevel="0" collapsed="false">
      <c r="A1975" s="0" t="n">
        <v>1954</v>
      </c>
      <c r="B1975" s="0" t="s">
        <v>86</v>
      </c>
      <c r="C1975" s="17" t="n">
        <v>-0.415136932059927</v>
      </c>
      <c r="D1975" s="17" t="n">
        <f aca="false">(C1975-$B$4)/($B$6/SQRT($B$7))</f>
        <v>-2.07568466029963</v>
      </c>
      <c r="E1975" s="0" t="str">
        <f aca="false">IF(OR(AND($B$9="superior",D1975&gt;$B$10),AND($B$9="inferior",D1975&lt;-$B$10)),"Rechazar H0","No rechazar H0")</f>
        <v>Rechazar H0</v>
      </c>
      <c r="F1975" s="0" t="str">
        <f aca="false">IF(AND(B1975="H0 verdadera",E1975="Rechazar H0"),"Error tipo I",IF(AND(B1975="Ha verdadera",E1975="No rechazar H0"),"Error tipo II","Decisión correcta"))</f>
        <v>Decisión correcta</v>
      </c>
    </row>
    <row r="1976" customFormat="false" ht="15" hidden="false" customHeight="false" outlineLevel="0" collapsed="false">
      <c r="A1976" s="0" t="n">
        <v>1955</v>
      </c>
      <c r="B1976" s="0" t="s">
        <v>85</v>
      </c>
      <c r="C1976" s="17" t="n">
        <v>-0.303150027308392</v>
      </c>
      <c r="D1976" s="17" t="n">
        <f aca="false">(C1976-$B$4)/($B$6/SQRT($B$7))</f>
        <v>-1.51575013654196</v>
      </c>
      <c r="E1976" s="0" t="str">
        <f aca="false">IF(OR(AND($B$9="superior",D1976&gt;$B$10),AND($B$9="inferior",D1976&lt;-$B$10)),"Rechazar H0","No rechazar H0")</f>
        <v>No rechazar H0</v>
      </c>
      <c r="F1976" s="0" t="str">
        <f aca="false">IF(AND(B1976="H0 verdadera",E1976="Rechazar H0"),"Error tipo I",IF(AND(B1976="Ha verdadera",E1976="No rechazar H0"),"Error tipo II","Decisión correcta"))</f>
        <v>Decisión correcta</v>
      </c>
    </row>
    <row r="1977" customFormat="false" ht="15" hidden="false" customHeight="false" outlineLevel="0" collapsed="false">
      <c r="A1977" s="0" t="n">
        <v>1956</v>
      </c>
      <c r="B1977" s="0" t="s">
        <v>85</v>
      </c>
      <c r="C1977" s="17" t="n">
        <v>-0.251256579429796</v>
      </c>
      <c r="D1977" s="17" t="n">
        <f aca="false">(C1977-$B$4)/($B$6/SQRT($B$7))</f>
        <v>-1.25628289714898</v>
      </c>
      <c r="E1977" s="0" t="str">
        <f aca="false">IF(OR(AND($B$9="superior",D1977&gt;$B$10),AND($B$9="inferior",D1977&lt;-$B$10)),"Rechazar H0","No rechazar H0")</f>
        <v>No rechazar H0</v>
      </c>
      <c r="F1977" s="0" t="str">
        <f aca="false">IF(AND(B1977="H0 verdadera",E1977="Rechazar H0"),"Error tipo I",IF(AND(B1977="Ha verdadera",E1977="No rechazar H0"),"Error tipo II","Decisión correcta"))</f>
        <v>Decisión correcta</v>
      </c>
    </row>
    <row r="1978" customFormat="false" ht="15" hidden="false" customHeight="false" outlineLevel="0" collapsed="false">
      <c r="A1978" s="0" t="n">
        <v>1957</v>
      </c>
      <c r="B1978" s="0" t="s">
        <v>85</v>
      </c>
      <c r="C1978" s="17" t="n">
        <v>0.0955929680280534</v>
      </c>
      <c r="D1978" s="17" t="n">
        <f aca="false">(C1978-$B$4)/($B$6/SQRT($B$7))</f>
        <v>0.477964840140267</v>
      </c>
      <c r="E1978" s="0" t="str">
        <f aca="false">IF(OR(AND($B$9="superior",D1978&gt;$B$10),AND($B$9="inferior",D1978&lt;-$B$10)),"Rechazar H0","No rechazar H0")</f>
        <v>No rechazar H0</v>
      </c>
      <c r="F1978" s="0" t="str">
        <f aca="false">IF(AND(B1978="H0 verdadera",E1978="Rechazar H0"),"Error tipo I",IF(AND(B1978="Ha verdadera",E1978="No rechazar H0"),"Error tipo II","Decisión correcta"))</f>
        <v>Decisión correcta</v>
      </c>
    </row>
    <row r="1979" customFormat="false" ht="15" hidden="false" customHeight="false" outlineLevel="0" collapsed="false">
      <c r="A1979" s="0" t="n">
        <v>1958</v>
      </c>
      <c r="B1979" s="0" t="s">
        <v>86</v>
      </c>
      <c r="C1979" s="17" t="n">
        <v>-0.570588555736443</v>
      </c>
      <c r="D1979" s="17" t="n">
        <f aca="false">(C1979-$B$4)/($B$6/SQRT($B$7))</f>
        <v>-2.85294277868222</v>
      </c>
      <c r="E1979" s="0" t="str">
        <f aca="false">IF(OR(AND($B$9="superior",D1979&gt;$B$10),AND($B$9="inferior",D1979&lt;-$B$10)),"Rechazar H0","No rechazar H0")</f>
        <v>Rechazar H0</v>
      </c>
      <c r="F1979" s="0" t="str">
        <f aca="false">IF(AND(B1979="H0 verdadera",E1979="Rechazar H0"),"Error tipo I",IF(AND(B1979="Ha verdadera",E1979="No rechazar H0"),"Error tipo II","Decisión correcta"))</f>
        <v>Decisión correcta</v>
      </c>
    </row>
    <row r="1980" customFormat="false" ht="15" hidden="false" customHeight="false" outlineLevel="0" collapsed="false">
      <c r="A1980" s="0" t="n">
        <v>1959</v>
      </c>
      <c r="B1980" s="0" t="s">
        <v>85</v>
      </c>
      <c r="C1980" s="17" t="n">
        <v>-0.392127856032743</v>
      </c>
      <c r="D1980" s="17" t="n">
        <f aca="false">(C1980-$B$4)/($B$6/SQRT($B$7))</f>
        <v>-1.96063928016371</v>
      </c>
      <c r="E1980" s="0" t="str">
        <f aca="false">IF(OR(AND($B$9="superior",D1980&gt;$B$10),AND($B$9="inferior",D1980&lt;-$B$10)),"Rechazar H0","No rechazar H0")</f>
        <v>Rechazar H0</v>
      </c>
      <c r="F1980" s="0" t="str">
        <f aca="false">IF(AND(B1980="H0 verdadera",E1980="Rechazar H0"),"Error tipo I",IF(AND(B1980="Ha verdadera",E1980="No rechazar H0"),"Error tipo II","Decisión correcta"))</f>
        <v>Error tipo I</v>
      </c>
    </row>
    <row r="1981" customFormat="false" ht="15" hidden="false" customHeight="false" outlineLevel="0" collapsed="false">
      <c r="A1981" s="0" t="n">
        <v>1960</v>
      </c>
      <c r="B1981" s="0" t="s">
        <v>86</v>
      </c>
      <c r="C1981" s="17" t="n">
        <v>-0.269142119331879</v>
      </c>
      <c r="D1981" s="17" t="n">
        <f aca="false">(C1981-$B$4)/($B$6/SQRT($B$7))</f>
        <v>-1.34571059665939</v>
      </c>
      <c r="E1981" s="0" t="str">
        <f aca="false">IF(OR(AND($B$9="superior",D1981&gt;$B$10),AND($B$9="inferior",D1981&lt;-$B$10)),"Rechazar H0","No rechazar H0")</f>
        <v>No rechazar H0</v>
      </c>
      <c r="F1981" s="0" t="str">
        <f aca="false">IF(AND(B1981="H0 verdadera",E1981="Rechazar H0"),"Error tipo I",IF(AND(B1981="Ha verdadera",E1981="No rechazar H0"),"Error tipo II","Decisión correcta"))</f>
        <v>Error tipo II</v>
      </c>
    </row>
    <row r="1982" customFormat="false" ht="15" hidden="false" customHeight="false" outlineLevel="0" collapsed="false">
      <c r="A1982" s="0" t="n">
        <v>1961</v>
      </c>
      <c r="B1982" s="0" t="s">
        <v>86</v>
      </c>
      <c r="C1982" s="17" t="n">
        <v>-0.0572190035516227</v>
      </c>
      <c r="D1982" s="17" t="n">
        <f aca="false">(C1982-$B$4)/($B$6/SQRT($B$7))</f>
        <v>-0.286095017758114</v>
      </c>
      <c r="E1982" s="0" t="str">
        <f aca="false">IF(OR(AND($B$9="superior",D1982&gt;$B$10),AND($B$9="inferior",D1982&lt;-$B$10)),"Rechazar H0","No rechazar H0")</f>
        <v>No rechazar H0</v>
      </c>
      <c r="F1982" s="0" t="str">
        <f aca="false">IF(AND(B1982="H0 verdadera",E1982="Rechazar H0"),"Error tipo I",IF(AND(B1982="Ha verdadera",E1982="No rechazar H0"),"Error tipo II","Decisión correcta"))</f>
        <v>Error tipo II</v>
      </c>
    </row>
    <row r="1983" customFormat="false" ht="15" hidden="false" customHeight="false" outlineLevel="0" collapsed="false">
      <c r="A1983" s="0" t="n">
        <v>1962</v>
      </c>
      <c r="B1983" s="0" t="s">
        <v>86</v>
      </c>
      <c r="C1983" s="17" t="n">
        <v>-0.17137148336045</v>
      </c>
      <c r="D1983" s="17" t="n">
        <f aca="false">(C1983-$B$4)/($B$6/SQRT($B$7))</f>
        <v>-0.856857416802252</v>
      </c>
      <c r="E1983" s="0" t="str">
        <f aca="false">IF(OR(AND($B$9="superior",D1983&gt;$B$10),AND($B$9="inferior",D1983&lt;-$B$10)),"Rechazar H0","No rechazar H0")</f>
        <v>No rechazar H0</v>
      </c>
      <c r="F1983" s="0" t="str">
        <f aca="false">IF(AND(B1983="H0 verdadera",E1983="Rechazar H0"),"Error tipo I",IF(AND(B1983="Ha verdadera",E1983="No rechazar H0"),"Error tipo II","Decisión correcta"))</f>
        <v>Error tipo II</v>
      </c>
    </row>
    <row r="1984" customFormat="false" ht="15" hidden="false" customHeight="false" outlineLevel="0" collapsed="false">
      <c r="A1984" s="0" t="n">
        <v>1963</v>
      </c>
      <c r="B1984" s="0" t="s">
        <v>85</v>
      </c>
      <c r="C1984" s="17" t="n">
        <v>-0.0247964615253347</v>
      </c>
      <c r="D1984" s="17" t="n">
        <f aca="false">(C1984-$B$4)/($B$6/SQRT($B$7))</f>
        <v>-0.123982307626674</v>
      </c>
      <c r="E1984" s="0" t="str">
        <f aca="false">IF(OR(AND($B$9="superior",D1984&gt;$B$10),AND($B$9="inferior",D1984&lt;-$B$10)),"Rechazar H0","No rechazar H0")</f>
        <v>No rechazar H0</v>
      </c>
      <c r="F1984" s="0" t="str">
        <f aca="false">IF(AND(B1984="H0 verdadera",E1984="Rechazar H0"),"Error tipo I",IF(AND(B1984="Ha verdadera",E1984="No rechazar H0"),"Error tipo II","Decisión correcta"))</f>
        <v>Decisión correcta</v>
      </c>
    </row>
    <row r="1985" customFormat="false" ht="15" hidden="false" customHeight="false" outlineLevel="0" collapsed="false">
      <c r="A1985" s="0" t="n">
        <v>1964</v>
      </c>
      <c r="B1985" s="0" t="s">
        <v>85</v>
      </c>
      <c r="C1985" s="17" t="n">
        <v>-0.166402464868682</v>
      </c>
      <c r="D1985" s="17" t="n">
        <f aca="false">(C1985-$B$4)/($B$6/SQRT($B$7))</f>
        <v>-0.832012324343408</v>
      </c>
      <c r="E1985" s="0" t="str">
        <f aca="false">IF(OR(AND($B$9="superior",D1985&gt;$B$10),AND($B$9="inferior",D1985&lt;-$B$10)),"Rechazar H0","No rechazar H0")</f>
        <v>No rechazar H0</v>
      </c>
      <c r="F1985" s="0" t="str">
        <f aca="false">IF(AND(B1985="H0 verdadera",E1985="Rechazar H0"),"Error tipo I",IF(AND(B1985="Ha verdadera",E1985="No rechazar H0"),"Error tipo II","Decisión correcta"))</f>
        <v>Decisión correcta</v>
      </c>
    </row>
    <row r="1986" customFormat="false" ht="15" hidden="false" customHeight="false" outlineLevel="0" collapsed="false">
      <c r="A1986" s="0" t="n">
        <v>1965</v>
      </c>
      <c r="B1986" s="0" t="s">
        <v>85</v>
      </c>
      <c r="C1986" s="17" t="n">
        <v>-0.0831942699757314</v>
      </c>
      <c r="D1986" s="17" t="n">
        <f aca="false">(C1986-$B$4)/($B$6/SQRT($B$7))</f>
        <v>-0.415971349878657</v>
      </c>
      <c r="E1986" s="0" t="str">
        <f aca="false">IF(OR(AND($B$9="superior",D1986&gt;$B$10),AND($B$9="inferior",D1986&lt;-$B$10)),"Rechazar H0","No rechazar H0")</f>
        <v>No rechazar H0</v>
      </c>
      <c r="F1986" s="0" t="str">
        <f aca="false">IF(AND(B1986="H0 verdadera",E1986="Rechazar H0"),"Error tipo I",IF(AND(B1986="Ha verdadera",E1986="No rechazar H0"),"Error tipo II","Decisión correcta"))</f>
        <v>Decisión correcta</v>
      </c>
    </row>
    <row r="1987" customFormat="false" ht="15" hidden="false" customHeight="false" outlineLevel="0" collapsed="false">
      <c r="A1987" s="0" t="n">
        <v>1966</v>
      </c>
      <c r="B1987" s="0" t="s">
        <v>86</v>
      </c>
      <c r="C1987" s="17" t="n">
        <v>-0.378437195977882</v>
      </c>
      <c r="D1987" s="17" t="n">
        <f aca="false">(C1987-$B$4)/($B$6/SQRT($B$7))</f>
        <v>-1.89218597988941</v>
      </c>
      <c r="E1987" s="0" t="str">
        <f aca="false">IF(OR(AND($B$9="superior",D1987&gt;$B$10),AND($B$9="inferior",D1987&lt;-$B$10)),"Rechazar H0","No rechazar H0")</f>
        <v>Rechazar H0</v>
      </c>
      <c r="F1987" s="0" t="str">
        <f aca="false">IF(AND(B1987="H0 verdadera",E1987="Rechazar H0"),"Error tipo I",IF(AND(B1987="Ha verdadera",E1987="No rechazar H0"),"Error tipo II","Decisión correcta"))</f>
        <v>Decisión correcta</v>
      </c>
    </row>
    <row r="1988" customFormat="false" ht="15" hidden="false" customHeight="false" outlineLevel="0" collapsed="false">
      <c r="A1988" s="0" t="n">
        <v>1967</v>
      </c>
      <c r="B1988" s="0" t="s">
        <v>85</v>
      </c>
      <c r="C1988" s="17" t="n">
        <v>0.0449189106166472</v>
      </c>
      <c r="D1988" s="17" t="n">
        <f aca="false">(C1988-$B$4)/($B$6/SQRT($B$7))</f>
        <v>0.224594553083236</v>
      </c>
      <c r="E1988" s="0" t="str">
        <f aca="false">IF(OR(AND($B$9="superior",D1988&gt;$B$10),AND($B$9="inferior",D1988&lt;-$B$10)),"Rechazar H0","No rechazar H0")</f>
        <v>No rechazar H0</v>
      </c>
      <c r="F1988" s="0" t="str">
        <f aca="false">IF(AND(B1988="H0 verdadera",E1988="Rechazar H0"),"Error tipo I",IF(AND(B1988="Ha verdadera",E1988="No rechazar H0"),"Error tipo II","Decisión correcta"))</f>
        <v>Decisión correcta</v>
      </c>
    </row>
    <row r="1989" customFormat="false" ht="15" hidden="false" customHeight="false" outlineLevel="0" collapsed="false">
      <c r="A1989" s="0" t="n">
        <v>1968</v>
      </c>
      <c r="B1989" s="0" t="s">
        <v>85</v>
      </c>
      <c r="C1989" s="17" t="n">
        <v>-0.0959217934430561</v>
      </c>
      <c r="D1989" s="17" t="n">
        <f aca="false">(C1989-$B$4)/($B$6/SQRT($B$7))</f>
        <v>-0.47960896721528</v>
      </c>
      <c r="E1989" s="0" t="str">
        <f aca="false">IF(OR(AND($B$9="superior",D1989&gt;$B$10),AND($B$9="inferior",D1989&lt;-$B$10)),"Rechazar H0","No rechazar H0")</f>
        <v>No rechazar H0</v>
      </c>
      <c r="F1989" s="0" t="str">
        <f aca="false">IF(AND(B1989="H0 verdadera",E1989="Rechazar H0"),"Error tipo I",IF(AND(B1989="Ha verdadera",E1989="No rechazar H0"),"Error tipo II","Decisión correcta"))</f>
        <v>Decisión correcta</v>
      </c>
    </row>
    <row r="1990" customFormat="false" ht="15" hidden="false" customHeight="false" outlineLevel="0" collapsed="false">
      <c r="A1990" s="0" t="n">
        <v>1969</v>
      </c>
      <c r="B1990" s="0" t="s">
        <v>85</v>
      </c>
      <c r="C1990" s="17" t="n">
        <v>0.0323134722631215</v>
      </c>
      <c r="D1990" s="17" t="n">
        <f aca="false">(C1990-$B$4)/($B$6/SQRT($B$7))</f>
        <v>0.161567361315607</v>
      </c>
      <c r="E1990" s="0" t="str">
        <f aca="false">IF(OR(AND($B$9="superior",D1990&gt;$B$10),AND($B$9="inferior",D1990&lt;-$B$10)),"Rechazar H0","No rechazar H0")</f>
        <v>No rechazar H0</v>
      </c>
      <c r="F1990" s="0" t="str">
        <f aca="false">IF(AND(B1990="H0 verdadera",E1990="Rechazar H0"),"Error tipo I",IF(AND(B1990="Ha verdadera",E1990="No rechazar H0"),"Error tipo II","Decisión correcta"))</f>
        <v>Decisión correcta</v>
      </c>
    </row>
    <row r="1991" customFormat="false" ht="15" hidden="false" customHeight="false" outlineLevel="0" collapsed="false">
      <c r="A1991" s="0" t="n">
        <v>1970</v>
      </c>
      <c r="B1991" s="0" t="s">
        <v>86</v>
      </c>
      <c r="C1991" s="17" t="n">
        <v>-0.720587634110697</v>
      </c>
      <c r="D1991" s="17" t="n">
        <f aca="false">(C1991-$B$4)/($B$6/SQRT($B$7))</f>
        <v>-3.60293817055349</v>
      </c>
      <c r="E1991" s="0" t="str">
        <f aca="false">IF(OR(AND($B$9="superior",D1991&gt;$B$10),AND($B$9="inferior",D1991&lt;-$B$10)),"Rechazar H0","No rechazar H0")</f>
        <v>Rechazar H0</v>
      </c>
      <c r="F1991" s="0" t="str">
        <f aca="false">IF(AND(B1991="H0 verdadera",E1991="Rechazar H0"),"Error tipo I",IF(AND(B1991="Ha verdadera",E1991="No rechazar H0"),"Error tipo II","Decisión correcta"))</f>
        <v>Decisión correcta</v>
      </c>
    </row>
    <row r="1992" customFormat="false" ht="15" hidden="false" customHeight="false" outlineLevel="0" collapsed="false">
      <c r="A1992" s="0" t="n">
        <v>1971</v>
      </c>
      <c r="B1992" s="0" t="s">
        <v>86</v>
      </c>
      <c r="C1992" s="17" t="n">
        <v>-0.238465831512263</v>
      </c>
      <c r="D1992" s="17" t="n">
        <f aca="false">(C1992-$B$4)/($B$6/SQRT($B$7))</f>
        <v>-1.19232915756131</v>
      </c>
      <c r="E1992" s="0" t="str">
        <f aca="false">IF(OR(AND($B$9="superior",D1992&gt;$B$10),AND($B$9="inferior",D1992&lt;-$B$10)),"Rechazar H0","No rechazar H0")</f>
        <v>No rechazar H0</v>
      </c>
      <c r="F1992" s="0" t="str">
        <f aca="false">IF(AND(B1992="H0 verdadera",E1992="Rechazar H0"),"Error tipo I",IF(AND(B1992="Ha verdadera",E1992="No rechazar H0"),"Error tipo II","Decisión correcta"))</f>
        <v>Error tipo II</v>
      </c>
    </row>
    <row r="1993" customFormat="false" ht="15" hidden="false" customHeight="false" outlineLevel="0" collapsed="false">
      <c r="A1993" s="0" t="n">
        <v>1972</v>
      </c>
      <c r="B1993" s="0" t="s">
        <v>86</v>
      </c>
      <c r="C1993" s="17" t="n">
        <v>-0.359874585432467</v>
      </c>
      <c r="D1993" s="17" t="n">
        <f aca="false">(C1993-$B$4)/($B$6/SQRT($B$7))</f>
        <v>-1.79937292716234</v>
      </c>
      <c r="E1993" s="0" t="str">
        <f aca="false">IF(OR(AND($B$9="superior",D1993&gt;$B$10),AND($B$9="inferior",D1993&lt;-$B$10)),"Rechazar H0","No rechazar H0")</f>
        <v>Rechazar H0</v>
      </c>
      <c r="F1993" s="0" t="str">
        <f aca="false">IF(AND(B1993="H0 verdadera",E1993="Rechazar H0"),"Error tipo I",IF(AND(B1993="Ha verdadera",E1993="No rechazar H0"),"Error tipo II","Decisión correcta"))</f>
        <v>Decisión correcta</v>
      </c>
    </row>
    <row r="1994" customFormat="false" ht="15" hidden="false" customHeight="false" outlineLevel="0" collapsed="false">
      <c r="A1994" s="0" t="n">
        <v>1973</v>
      </c>
      <c r="B1994" s="0" t="s">
        <v>85</v>
      </c>
      <c r="C1994" s="17" t="n">
        <v>0.0697775531565642</v>
      </c>
      <c r="D1994" s="17" t="n">
        <f aca="false">(C1994-$B$4)/($B$6/SQRT($B$7))</f>
        <v>0.348887765782821</v>
      </c>
      <c r="E1994" s="0" t="str">
        <f aca="false">IF(OR(AND($B$9="superior",D1994&gt;$B$10),AND($B$9="inferior",D1994&lt;-$B$10)),"Rechazar H0","No rechazar H0")</f>
        <v>No rechazar H0</v>
      </c>
      <c r="F1994" s="0" t="str">
        <f aca="false">IF(AND(B1994="H0 verdadera",E1994="Rechazar H0"),"Error tipo I",IF(AND(B1994="Ha verdadera",E1994="No rechazar H0"),"Error tipo II","Decisión correcta"))</f>
        <v>Decisión correcta</v>
      </c>
    </row>
    <row r="1995" customFormat="false" ht="15" hidden="false" customHeight="false" outlineLevel="0" collapsed="false">
      <c r="A1995" s="0" t="n">
        <v>1974</v>
      </c>
      <c r="B1995" s="0" t="s">
        <v>86</v>
      </c>
      <c r="C1995" s="17" t="n">
        <v>-0.821016744016698</v>
      </c>
      <c r="D1995" s="17" t="n">
        <f aca="false">(C1995-$B$4)/($B$6/SQRT($B$7))</f>
        <v>-4.10508372008349</v>
      </c>
      <c r="E1995" s="0" t="str">
        <f aca="false">IF(OR(AND($B$9="superior",D1995&gt;$B$10),AND($B$9="inferior",D1995&lt;-$B$10)),"Rechazar H0","No rechazar H0")</f>
        <v>Rechazar H0</v>
      </c>
      <c r="F1995" s="0" t="str">
        <f aca="false">IF(AND(B1995="H0 verdadera",E1995="Rechazar H0"),"Error tipo I",IF(AND(B1995="Ha verdadera",E1995="No rechazar H0"),"Error tipo II","Decisión correcta"))</f>
        <v>Decisión correcta</v>
      </c>
    </row>
    <row r="1996" customFormat="false" ht="15" hidden="false" customHeight="false" outlineLevel="0" collapsed="false">
      <c r="A1996" s="0" t="n">
        <v>1975</v>
      </c>
      <c r="B1996" s="0" t="s">
        <v>86</v>
      </c>
      <c r="C1996" s="17" t="n">
        <v>-0.664086292129199</v>
      </c>
      <c r="D1996" s="17" t="n">
        <f aca="false">(C1996-$B$4)/($B$6/SQRT($B$7))</f>
        <v>-3.320431460646</v>
      </c>
      <c r="E1996" s="0" t="str">
        <f aca="false">IF(OR(AND($B$9="superior",D1996&gt;$B$10),AND($B$9="inferior",D1996&lt;-$B$10)),"Rechazar H0","No rechazar H0")</f>
        <v>Rechazar H0</v>
      </c>
      <c r="F1996" s="0" t="str">
        <f aca="false">IF(AND(B1996="H0 verdadera",E1996="Rechazar H0"),"Error tipo I",IF(AND(B1996="Ha verdadera",E1996="No rechazar H0"),"Error tipo II","Decisión correcta"))</f>
        <v>Decisión correcta</v>
      </c>
    </row>
    <row r="1997" customFormat="false" ht="15" hidden="false" customHeight="false" outlineLevel="0" collapsed="false">
      <c r="A1997" s="0" t="n">
        <v>1976</v>
      </c>
      <c r="B1997" s="0" t="s">
        <v>86</v>
      </c>
      <c r="C1997" s="17" t="n">
        <v>-0.39477940562814</v>
      </c>
      <c r="D1997" s="17" t="n">
        <f aca="false">(C1997-$B$4)/($B$6/SQRT($B$7))</f>
        <v>-1.9738970281407</v>
      </c>
      <c r="E1997" s="0" t="str">
        <f aca="false">IF(OR(AND($B$9="superior",D1997&gt;$B$10),AND($B$9="inferior",D1997&lt;-$B$10)),"Rechazar H0","No rechazar H0")</f>
        <v>Rechazar H0</v>
      </c>
      <c r="F1997" s="0" t="str">
        <f aca="false">IF(AND(B1997="H0 verdadera",E1997="Rechazar H0"),"Error tipo I",IF(AND(B1997="Ha verdadera",E1997="No rechazar H0"),"Error tipo II","Decisión correcta"))</f>
        <v>Decisión correcta</v>
      </c>
    </row>
    <row r="1998" customFormat="false" ht="15" hidden="false" customHeight="false" outlineLevel="0" collapsed="false">
      <c r="A1998" s="0" t="n">
        <v>1977</v>
      </c>
      <c r="B1998" s="0" t="s">
        <v>86</v>
      </c>
      <c r="C1998" s="17" t="n">
        <v>-0.211762740995094</v>
      </c>
      <c r="D1998" s="17" t="n">
        <f aca="false">(C1998-$B$4)/($B$6/SQRT($B$7))</f>
        <v>-1.05881370497547</v>
      </c>
      <c r="E1998" s="0" t="str">
        <f aca="false">IF(OR(AND($B$9="superior",D1998&gt;$B$10),AND($B$9="inferior",D1998&lt;-$B$10)),"Rechazar H0","No rechazar H0")</f>
        <v>No rechazar H0</v>
      </c>
      <c r="F1998" s="0" t="str">
        <f aca="false">IF(AND(B1998="H0 verdadera",E1998="Rechazar H0"),"Error tipo I",IF(AND(B1998="Ha verdadera",E1998="No rechazar H0"),"Error tipo II","Decisión correcta"))</f>
        <v>Error tipo II</v>
      </c>
    </row>
    <row r="1999" customFormat="false" ht="15" hidden="false" customHeight="false" outlineLevel="0" collapsed="false">
      <c r="A1999" s="0" t="n">
        <v>1978</v>
      </c>
      <c r="B1999" s="0" t="s">
        <v>86</v>
      </c>
      <c r="C1999" s="17" t="n">
        <v>-0.399103069417747</v>
      </c>
      <c r="D1999" s="17" t="n">
        <f aca="false">(C1999-$B$4)/($B$6/SQRT($B$7))</f>
        <v>-1.99551534708874</v>
      </c>
      <c r="E1999" s="0" t="str">
        <f aca="false">IF(OR(AND($B$9="superior",D1999&gt;$B$10),AND($B$9="inferior",D1999&lt;-$B$10)),"Rechazar H0","No rechazar H0")</f>
        <v>Rechazar H0</v>
      </c>
      <c r="F1999" s="0" t="str">
        <f aca="false">IF(AND(B1999="H0 verdadera",E1999="Rechazar H0"),"Error tipo I",IF(AND(B1999="Ha verdadera",E1999="No rechazar H0"),"Error tipo II","Decisión correcta"))</f>
        <v>Decisión correcta</v>
      </c>
    </row>
    <row r="2000" customFormat="false" ht="15" hidden="false" customHeight="false" outlineLevel="0" collapsed="false">
      <c r="A2000" s="0" t="n">
        <v>1979</v>
      </c>
      <c r="B2000" s="0" t="s">
        <v>86</v>
      </c>
      <c r="C2000" s="17" t="n">
        <v>-1.07909132387782</v>
      </c>
      <c r="D2000" s="17" t="n">
        <f aca="false">(C2000-$B$4)/($B$6/SQRT($B$7))</f>
        <v>-5.39545661938909</v>
      </c>
      <c r="E2000" s="0" t="str">
        <f aca="false">IF(OR(AND($B$9="superior",D2000&gt;$B$10),AND($B$9="inferior",D2000&lt;-$B$10)),"Rechazar H0","No rechazar H0")</f>
        <v>Rechazar H0</v>
      </c>
      <c r="F2000" s="0" t="str">
        <f aca="false">IF(AND(B2000="H0 verdadera",E2000="Rechazar H0"),"Error tipo I",IF(AND(B2000="Ha verdadera",E2000="No rechazar H0"),"Error tipo II","Decisión correcta"))</f>
        <v>Decisión correcta</v>
      </c>
    </row>
    <row r="2001" customFormat="false" ht="15" hidden="false" customHeight="false" outlineLevel="0" collapsed="false">
      <c r="A2001" s="0" t="n">
        <v>1980</v>
      </c>
      <c r="B2001" s="0" t="s">
        <v>85</v>
      </c>
      <c r="C2001" s="17" t="n">
        <v>0.0454071836197919</v>
      </c>
      <c r="D2001" s="17" t="n">
        <f aca="false">(C2001-$B$4)/($B$6/SQRT($B$7))</f>
        <v>0.22703591809896</v>
      </c>
      <c r="E2001" s="0" t="str">
        <f aca="false">IF(OR(AND($B$9="superior",D2001&gt;$B$10),AND($B$9="inferior",D2001&lt;-$B$10)),"Rechazar H0","No rechazar H0")</f>
        <v>No rechazar H0</v>
      </c>
      <c r="F2001" s="0" t="str">
        <f aca="false">IF(AND(B2001="H0 verdadera",E2001="Rechazar H0"),"Error tipo I",IF(AND(B2001="Ha verdadera",E2001="No rechazar H0"),"Error tipo II","Decisión correcta"))</f>
        <v>Decisión correcta</v>
      </c>
    </row>
    <row r="2002" customFormat="false" ht="15" hidden="false" customHeight="false" outlineLevel="0" collapsed="false">
      <c r="A2002" s="0" t="n">
        <v>1981</v>
      </c>
      <c r="B2002" s="0" t="s">
        <v>86</v>
      </c>
      <c r="C2002" s="17" t="n">
        <v>-0.0596053696415046</v>
      </c>
      <c r="D2002" s="17" t="n">
        <f aca="false">(C2002-$B$4)/($B$6/SQRT($B$7))</f>
        <v>-0.298026848207523</v>
      </c>
      <c r="E2002" s="0" t="str">
        <f aca="false">IF(OR(AND($B$9="superior",D2002&gt;$B$10),AND($B$9="inferior",D2002&lt;-$B$10)),"Rechazar H0","No rechazar H0")</f>
        <v>No rechazar H0</v>
      </c>
      <c r="F2002" s="0" t="str">
        <f aca="false">IF(AND(B2002="H0 verdadera",E2002="Rechazar H0"),"Error tipo I",IF(AND(B2002="Ha verdadera",E2002="No rechazar H0"),"Error tipo II","Decisión correcta"))</f>
        <v>Error tipo II</v>
      </c>
    </row>
    <row r="2003" customFormat="false" ht="15" hidden="false" customHeight="false" outlineLevel="0" collapsed="false">
      <c r="A2003" s="0" t="n">
        <v>1982</v>
      </c>
      <c r="B2003" s="0" t="s">
        <v>85</v>
      </c>
      <c r="C2003" s="17" t="n">
        <v>0.153424109895475</v>
      </c>
      <c r="D2003" s="17" t="n">
        <f aca="false">(C2003-$B$4)/($B$6/SQRT($B$7))</f>
        <v>0.767120549477374</v>
      </c>
      <c r="E2003" s="0" t="str">
        <f aca="false">IF(OR(AND($B$9="superior",D2003&gt;$B$10),AND($B$9="inferior",D2003&lt;-$B$10)),"Rechazar H0","No rechazar H0")</f>
        <v>No rechazar H0</v>
      </c>
      <c r="F2003" s="0" t="str">
        <f aca="false">IF(AND(B2003="H0 verdadera",E2003="Rechazar H0"),"Error tipo I",IF(AND(B2003="Ha verdadera",E2003="No rechazar H0"),"Error tipo II","Decisión correcta"))</f>
        <v>Decisión correcta</v>
      </c>
    </row>
    <row r="2004" customFormat="false" ht="15" hidden="false" customHeight="false" outlineLevel="0" collapsed="false">
      <c r="A2004" s="0" t="n">
        <v>1983</v>
      </c>
      <c r="B2004" s="0" t="s">
        <v>85</v>
      </c>
      <c r="C2004" s="17" t="n">
        <v>-0.129598508499171</v>
      </c>
      <c r="D2004" s="17" t="n">
        <f aca="false">(C2004-$B$4)/($B$6/SQRT($B$7))</f>
        <v>-0.647992542495855</v>
      </c>
      <c r="E2004" s="0" t="str">
        <f aca="false">IF(OR(AND($B$9="superior",D2004&gt;$B$10),AND($B$9="inferior",D2004&lt;-$B$10)),"Rechazar H0","No rechazar H0")</f>
        <v>No rechazar H0</v>
      </c>
      <c r="F2004" s="0" t="str">
        <f aca="false">IF(AND(B2004="H0 verdadera",E2004="Rechazar H0"),"Error tipo I",IF(AND(B2004="Ha verdadera",E2004="No rechazar H0"),"Error tipo II","Decisión correcta"))</f>
        <v>Decisión correcta</v>
      </c>
    </row>
    <row r="2005" customFormat="false" ht="15" hidden="false" customHeight="false" outlineLevel="0" collapsed="false">
      <c r="A2005" s="0" t="n">
        <v>1984</v>
      </c>
      <c r="B2005" s="0" t="s">
        <v>86</v>
      </c>
      <c r="C2005" s="17" t="n">
        <v>-0.550184478678933</v>
      </c>
      <c r="D2005" s="17" t="n">
        <f aca="false">(C2005-$B$4)/($B$6/SQRT($B$7))</f>
        <v>-2.75092239339467</v>
      </c>
      <c r="E2005" s="0" t="str">
        <f aca="false">IF(OR(AND($B$9="superior",D2005&gt;$B$10),AND($B$9="inferior",D2005&lt;-$B$10)),"Rechazar H0","No rechazar H0")</f>
        <v>Rechazar H0</v>
      </c>
      <c r="F2005" s="0" t="str">
        <f aca="false">IF(AND(B2005="H0 verdadera",E2005="Rechazar H0"),"Error tipo I",IF(AND(B2005="Ha verdadera",E2005="No rechazar H0"),"Error tipo II","Decisión correcta"))</f>
        <v>Decisión correcta</v>
      </c>
    </row>
    <row r="2006" customFormat="false" ht="15" hidden="false" customHeight="false" outlineLevel="0" collapsed="false">
      <c r="A2006" s="0" t="n">
        <v>1985</v>
      </c>
      <c r="B2006" s="0" t="s">
        <v>86</v>
      </c>
      <c r="C2006" s="17" t="n">
        <v>-0.454843339331036</v>
      </c>
      <c r="D2006" s="17" t="n">
        <f aca="false">(C2006-$B$4)/($B$6/SQRT($B$7))</f>
        <v>-2.27421669665518</v>
      </c>
      <c r="E2006" s="0" t="str">
        <f aca="false">IF(OR(AND($B$9="superior",D2006&gt;$B$10),AND($B$9="inferior",D2006&lt;-$B$10)),"Rechazar H0","No rechazar H0")</f>
        <v>Rechazar H0</v>
      </c>
      <c r="F2006" s="0" t="str">
        <f aca="false">IF(AND(B2006="H0 verdadera",E2006="Rechazar H0"),"Error tipo I",IF(AND(B2006="Ha verdadera",E2006="No rechazar H0"),"Error tipo II","Decisión correcta"))</f>
        <v>Decisión correcta</v>
      </c>
    </row>
    <row r="2007" customFormat="false" ht="15" hidden="false" customHeight="false" outlineLevel="0" collapsed="false">
      <c r="A2007" s="0" t="n">
        <v>1986</v>
      </c>
      <c r="B2007" s="0" t="s">
        <v>85</v>
      </c>
      <c r="C2007" s="17" t="n">
        <v>-0.0636399462745092</v>
      </c>
      <c r="D2007" s="17" t="n">
        <f aca="false">(C2007-$B$4)/($B$6/SQRT($B$7))</f>
        <v>-0.318199731372546</v>
      </c>
      <c r="E2007" s="0" t="str">
        <f aca="false">IF(OR(AND($B$9="superior",D2007&gt;$B$10),AND($B$9="inferior",D2007&lt;-$B$10)),"Rechazar H0","No rechazar H0")</f>
        <v>No rechazar H0</v>
      </c>
      <c r="F2007" s="0" t="str">
        <f aca="false">IF(AND(B2007="H0 verdadera",E2007="Rechazar H0"),"Error tipo I",IF(AND(B2007="Ha verdadera",E2007="No rechazar H0"),"Error tipo II","Decisión correcta"))</f>
        <v>Decisión correcta</v>
      </c>
    </row>
    <row r="2008" customFormat="false" ht="15" hidden="false" customHeight="false" outlineLevel="0" collapsed="false">
      <c r="A2008" s="0" t="n">
        <v>1987</v>
      </c>
      <c r="B2008" s="0" t="s">
        <v>86</v>
      </c>
      <c r="C2008" s="17" t="n">
        <v>-0.462917552024194</v>
      </c>
      <c r="D2008" s="17" t="n">
        <f aca="false">(C2008-$B$4)/($B$6/SQRT($B$7))</f>
        <v>-2.31458776012097</v>
      </c>
      <c r="E2008" s="0" t="str">
        <f aca="false">IF(OR(AND($B$9="superior",D2008&gt;$B$10),AND($B$9="inferior",D2008&lt;-$B$10)),"Rechazar H0","No rechazar H0")</f>
        <v>Rechazar H0</v>
      </c>
      <c r="F2008" s="0" t="str">
        <f aca="false">IF(AND(B2008="H0 verdadera",E2008="Rechazar H0"),"Error tipo I",IF(AND(B2008="Ha verdadera",E2008="No rechazar H0"),"Error tipo II","Decisión correcta"))</f>
        <v>Decisión correcta</v>
      </c>
    </row>
    <row r="2009" customFormat="false" ht="15" hidden="false" customHeight="false" outlineLevel="0" collapsed="false">
      <c r="A2009" s="0" t="n">
        <v>1988</v>
      </c>
      <c r="B2009" s="0" t="s">
        <v>85</v>
      </c>
      <c r="C2009" s="17" t="n">
        <v>0.470646784352409</v>
      </c>
      <c r="D2009" s="17" t="n">
        <f aca="false">(C2009-$B$4)/($B$6/SQRT($B$7))</f>
        <v>2.35323392176205</v>
      </c>
      <c r="E2009" s="0" t="str">
        <f aca="false">IF(OR(AND($B$9="superior",D2009&gt;$B$10),AND($B$9="inferior",D2009&lt;-$B$10)),"Rechazar H0","No rechazar H0")</f>
        <v>No rechazar H0</v>
      </c>
      <c r="F2009" s="0" t="str">
        <f aca="false">IF(AND(B2009="H0 verdadera",E2009="Rechazar H0"),"Error tipo I",IF(AND(B2009="Ha verdadera",E2009="No rechazar H0"),"Error tipo II","Decisión correcta"))</f>
        <v>Decisión correcta</v>
      </c>
    </row>
    <row r="2010" customFormat="false" ht="15" hidden="false" customHeight="false" outlineLevel="0" collapsed="false">
      <c r="A2010" s="0" t="n">
        <v>1989</v>
      </c>
      <c r="B2010" s="0" t="s">
        <v>85</v>
      </c>
      <c r="C2010" s="17" t="n">
        <v>0.198608463196678</v>
      </c>
      <c r="D2010" s="17" t="n">
        <f aca="false">(C2010-$B$4)/($B$6/SQRT($B$7))</f>
        <v>0.993042315983392</v>
      </c>
      <c r="E2010" s="0" t="str">
        <f aca="false">IF(OR(AND($B$9="superior",D2010&gt;$B$10),AND($B$9="inferior",D2010&lt;-$B$10)),"Rechazar H0","No rechazar H0")</f>
        <v>No rechazar H0</v>
      </c>
      <c r="F2010" s="0" t="str">
        <f aca="false">IF(AND(B2010="H0 verdadera",E2010="Rechazar H0"),"Error tipo I",IF(AND(B2010="Ha verdadera",E2010="No rechazar H0"),"Error tipo II","Decisión correcta"))</f>
        <v>Decisión correcta</v>
      </c>
    </row>
    <row r="2011" customFormat="false" ht="15" hidden="false" customHeight="false" outlineLevel="0" collapsed="false">
      <c r="A2011" s="0" t="n">
        <v>1990</v>
      </c>
      <c r="B2011" s="0" t="s">
        <v>85</v>
      </c>
      <c r="C2011" s="17" t="n">
        <v>0.0183833208954474</v>
      </c>
      <c r="D2011" s="17" t="n">
        <f aca="false">(C2011-$B$4)/($B$6/SQRT($B$7))</f>
        <v>0.0919166044772368</v>
      </c>
      <c r="E2011" s="0" t="str">
        <f aca="false">IF(OR(AND($B$9="superior",D2011&gt;$B$10),AND($B$9="inferior",D2011&lt;-$B$10)),"Rechazar H0","No rechazar H0")</f>
        <v>No rechazar H0</v>
      </c>
      <c r="F2011" s="0" t="str">
        <f aca="false">IF(AND(B2011="H0 verdadera",E2011="Rechazar H0"),"Error tipo I",IF(AND(B2011="Ha verdadera",E2011="No rechazar H0"),"Error tipo II","Decisión correcta"))</f>
        <v>Decisión correcta</v>
      </c>
    </row>
    <row r="2012" customFormat="false" ht="15" hidden="false" customHeight="false" outlineLevel="0" collapsed="false">
      <c r="A2012" s="0" t="n">
        <v>1991</v>
      </c>
      <c r="B2012" s="0" t="s">
        <v>86</v>
      </c>
      <c r="C2012" s="17" t="n">
        <v>-0.205056863368329</v>
      </c>
      <c r="D2012" s="17" t="n">
        <f aca="false">(C2012-$B$4)/($B$6/SQRT($B$7))</f>
        <v>-1.02528431684165</v>
      </c>
      <c r="E2012" s="0" t="str">
        <f aca="false">IF(OR(AND($B$9="superior",D2012&gt;$B$10),AND($B$9="inferior",D2012&lt;-$B$10)),"Rechazar H0","No rechazar H0")</f>
        <v>No rechazar H0</v>
      </c>
      <c r="F2012" s="0" t="str">
        <f aca="false">IF(AND(B2012="H0 verdadera",E2012="Rechazar H0"),"Error tipo I",IF(AND(B2012="Ha verdadera",E2012="No rechazar H0"),"Error tipo II","Decisión correcta"))</f>
        <v>Error tipo II</v>
      </c>
    </row>
    <row r="2013" customFormat="false" ht="15" hidden="false" customHeight="false" outlineLevel="0" collapsed="false">
      <c r="A2013" s="0" t="n">
        <v>1992</v>
      </c>
      <c r="B2013" s="0" t="s">
        <v>85</v>
      </c>
      <c r="C2013" s="17" t="n">
        <v>0.094241340447974</v>
      </c>
      <c r="D2013" s="17" t="n">
        <f aca="false">(C2013-$B$4)/($B$6/SQRT($B$7))</f>
        <v>0.47120670223987</v>
      </c>
      <c r="E2013" s="0" t="str">
        <f aca="false">IF(OR(AND($B$9="superior",D2013&gt;$B$10),AND($B$9="inferior",D2013&lt;-$B$10)),"Rechazar H0","No rechazar H0")</f>
        <v>No rechazar H0</v>
      </c>
      <c r="F2013" s="0" t="str">
        <f aca="false">IF(AND(B2013="H0 verdadera",E2013="Rechazar H0"),"Error tipo I",IF(AND(B2013="Ha verdadera",E2013="No rechazar H0"),"Error tipo II","Decisión correcta"))</f>
        <v>Decisión correcta</v>
      </c>
    </row>
    <row r="2014" customFormat="false" ht="15" hidden="false" customHeight="false" outlineLevel="0" collapsed="false">
      <c r="A2014" s="0" t="n">
        <v>1993</v>
      </c>
      <c r="B2014" s="0" t="s">
        <v>86</v>
      </c>
      <c r="C2014" s="17" t="n">
        <v>-0.318681482777644</v>
      </c>
      <c r="D2014" s="17" t="n">
        <f aca="false">(C2014-$B$4)/($B$6/SQRT($B$7))</f>
        <v>-1.59340741388822</v>
      </c>
      <c r="E2014" s="0" t="str">
        <f aca="false">IF(OR(AND($B$9="superior",D2014&gt;$B$10),AND($B$9="inferior",D2014&lt;-$B$10)),"Rechazar H0","No rechazar H0")</f>
        <v>No rechazar H0</v>
      </c>
      <c r="F2014" s="0" t="str">
        <f aca="false">IF(AND(B2014="H0 verdadera",E2014="Rechazar H0"),"Error tipo I",IF(AND(B2014="Ha verdadera",E2014="No rechazar H0"),"Error tipo II","Decisión correcta"))</f>
        <v>Error tipo II</v>
      </c>
    </row>
    <row r="2015" customFormat="false" ht="15" hidden="false" customHeight="false" outlineLevel="0" collapsed="false">
      <c r="A2015" s="0" t="n">
        <v>1994</v>
      </c>
      <c r="B2015" s="0" t="s">
        <v>85</v>
      </c>
      <c r="C2015" s="17" t="n">
        <v>0.0651572722653849</v>
      </c>
      <c r="D2015" s="17" t="n">
        <f aca="false">(C2015-$B$4)/($B$6/SQRT($B$7))</f>
        <v>0.325786361326925</v>
      </c>
      <c r="E2015" s="0" t="str">
        <f aca="false">IF(OR(AND($B$9="superior",D2015&gt;$B$10),AND($B$9="inferior",D2015&lt;-$B$10)),"Rechazar H0","No rechazar H0")</f>
        <v>No rechazar H0</v>
      </c>
      <c r="F2015" s="0" t="str">
        <f aca="false">IF(AND(B2015="H0 verdadera",E2015="Rechazar H0"),"Error tipo I",IF(AND(B2015="Ha verdadera",E2015="No rechazar H0"),"Error tipo II","Decisión correcta"))</f>
        <v>Decisión correcta</v>
      </c>
    </row>
    <row r="2016" customFormat="false" ht="15" hidden="false" customHeight="false" outlineLevel="0" collapsed="false">
      <c r="A2016" s="0" t="n">
        <v>1995</v>
      </c>
      <c r="B2016" s="0" t="s">
        <v>85</v>
      </c>
      <c r="C2016" s="17" t="n">
        <v>-0.0250670832853423</v>
      </c>
      <c r="D2016" s="17" t="n">
        <f aca="false">(C2016-$B$4)/($B$6/SQRT($B$7))</f>
        <v>-0.125335416426711</v>
      </c>
      <c r="E2016" s="0" t="str">
        <f aca="false">IF(OR(AND($B$9="superior",D2016&gt;$B$10),AND($B$9="inferior",D2016&lt;-$B$10)),"Rechazar H0","No rechazar H0")</f>
        <v>No rechazar H0</v>
      </c>
      <c r="F2016" s="0" t="str">
        <f aca="false">IF(AND(B2016="H0 verdadera",E2016="Rechazar H0"),"Error tipo I",IF(AND(B2016="Ha verdadera",E2016="No rechazar H0"),"Error tipo II","Decisión correcta"))</f>
        <v>Decisión correcta</v>
      </c>
    </row>
    <row r="2017" customFormat="false" ht="15" hidden="false" customHeight="false" outlineLevel="0" collapsed="false">
      <c r="A2017" s="0" t="n">
        <v>1996</v>
      </c>
      <c r="B2017" s="0" t="s">
        <v>86</v>
      </c>
      <c r="C2017" s="17" t="n">
        <v>-0.321560052674293</v>
      </c>
      <c r="D2017" s="17" t="n">
        <f aca="false">(C2017-$B$4)/($B$6/SQRT($B$7))</f>
        <v>-1.60780026337146</v>
      </c>
      <c r="E2017" s="0" t="str">
        <f aca="false">IF(OR(AND($B$9="superior",D2017&gt;$B$10),AND($B$9="inferior",D2017&lt;-$B$10)),"Rechazar H0","No rechazar H0")</f>
        <v>No rechazar H0</v>
      </c>
      <c r="F2017" s="0" t="str">
        <f aca="false">IF(AND(B2017="H0 verdadera",E2017="Rechazar H0"),"Error tipo I",IF(AND(B2017="Ha verdadera",E2017="No rechazar H0"),"Error tipo II","Decisión correcta"))</f>
        <v>Error tipo II</v>
      </c>
    </row>
    <row r="2018" customFormat="false" ht="15" hidden="false" customHeight="false" outlineLevel="0" collapsed="false">
      <c r="A2018" s="0" t="n">
        <v>1997</v>
      </c>
      <c r="B2018" s="0" t="s">
        <v>86</v>
      </c>
      <c r="C2018" s="17" t="n">
        <v>-0.359739933608688</v>
      </c>
      <c r="D2018" s="17" t="n">
        <f aca="false">(C2018-$B$4)/($B$6/SQRT($B$7))</f>
        <v>-1.79869966804344</v>
      </c>
      <c r="E2018" s="0" t="str">
        <f aca="false">IF(OR(AND($B$9="superior",D2018&gt;$B$10),AND($B$9="inferior",D2018&lt;-$B$10)),"Rechazar H0","No rechazar H0")</f>
        <v>Rechazar H0</v>
      </c>
      <c r="F2018" s="0" t="str">
        <f aca="false">IF(AND(B2018="H0 verdadera",E2018="Rechazar H0"),"Error tipo I",IF(AND(B2018="Ha verdadera",E2018="No rechazar H0"),"Error tipo II","Decisión correcta"))</f>
        <v>Decisión correcta</v>
      </c>
    </row>
    <row r="2019" customFormat="false" ht="15" hidden="false" customHeight="false" outlineLevel="0" collapsed="false">
      <c r="A2019" s="0" t="n">
        <v>1998</v>
      </c>
      <c r="B2019" s="0" t="s">
        <v>85</v>
      </c>
      <c r="C2019" s="17" t="n">
        <v>0.254761867428288</v>
      </c>
      <c r="D2019" s="17" t="n">
        <f aca="false">(C2019-$B$4)/($B$6/SQRT($B$7))</f>
        <v>1.27380933714144</v>
      </c>
      <c r="E2019" s="0" t="str">
        <f aca="false">IF(OR(AND($B$9="superior",D2019&gt;$B$10),AND($B$9="inferior",D2019&lt;-$B$10)),"Rechazar H0","No rechazar H0")</f>
        <v>No rechazar H0</v>
      </c>
      <c r="F2019" s="0" t="str">
        <f aca="false">IF(AND(B2019="H0 verdadera",E2019="Rechazar H0"),"Error tipo I",IF(AND(B2019="Ha verdadera",E2019="No rechazar H0"),"Error tipo II","Decisión correcta"))</f>
        <v>Decisión correcta</v>
      </c>
    </row>
    <row r="2020" customFormat="false" ht="15" hidden="false" customHeight="false" outlineLevel="0" collapsed="false">
      <c r="A2020" s="0" t="n">
        <v>1999</v>
      </c>
      <c r="B2020" s="0" t="s">
        <v>85</v>
      </c>
      <c r="C2020" s="17" t="n">
        <v>0.18176400513783</v>
      </c>
      <c r="D2020" s="17" t="n">
        <f aca="false">(C2020-$B$4)/($B$6/SQRT($B$7))</f>
        <v>0.908820025689152</v>
      </c>
      <c r="E2020" s="0" t="str">
        <f aca="false">IF(OR(AND($B$9="superior",D2020&gt;$B$10),AND($B$9="inferior",D2020&lt;-$B$10)),"Rechazar H0","No rechazar H0")</f>
        <v>No rechazar H0</v>
      </c>
      <c r="F2020" s="0" t="str">
        <f aca="false">IF(AND(B2020="H0 verdadera",E2020="Rechazar H0"),"Error tipo I",IF(AND(B2020="Ha verdadera",E2020="No rechazar H0"),"Error tipo II","Decisión correcta"))</f>
        <v>Decisión correcta</v>
      </c>
    </row>
    <row r="2021" customFormat="false" ht="15" hidden="false" customHeight="false" outlineLevel="0" collapsed="false">
      <c r="A2021" s="0" t="n">
        <v>2000</v>
      </c>
      <c r="B2021" s="0" t="s">
        <v>86</v>
      </c>
      <c r="C2021" s="17" t="n">
        <v>-0.322056168063636</v>
      </c>
      <c r="D2021" s="17" t="n">
        <f aca="false">(C2021-$B$4)/($B$6/SQRT($B$7))</f>
        <v>-1.61028084031818</v>
      </c>
      <c r="E2021" s="0" t="str">
        <f aca="false">IF(OR(AND($B$9="superior",D2021&gt;$B$10),AND($B$9="inferior",D2021&lt;-$B$10)),"Rechazar H0","No rechazar H0")</f>
        <v>No rechazar H0</v>
      </c>
      <c r="F2021" s="0" t="str">
        <f aca="false">IF(AND(B2021="H0 verdadera",E2021="Rechazar H0"),"Error tipo I",IF(AND(B2021="Ha verdadera",E2021="No rechazar H0"),"Error tipo II","Decisión correcta"))</f>
        <v>Error tipo II</v>
      </c>
    </row>
    <row r="2022" customFormat="false" ht="15" hidden="false" customHeight="false" outlineLevel="0" collapsed="false">
      <c r="A2022" s="0" t="n">
        <v>2001</v>
      </c>
      <c r="B2022" s="0" t="s">
        <v>86</v>
      </c>
      <c r="C2022" s="17" t="n">
        <v>-0.103004108317157</v>
      </c>
      <c r="D2022" s="17" t="n">
        <f aca="false">(C2022-$B$4)/($B$6/SQRT($B$7))</f>
        <v>-0.515020541585787</v>
      </c>
      <c r="E2022" s="0" t="str">
        <f aca="false">IF(OR(AND($B$9="superior",D2022&gt;$B$10),AND($B$9="inferior",D2022&lt;-$B$10)),"Rechazar H0","No rechazar H0")</f>
        <v>No rechazar H0</v>
      </c>
      <c r="F2022" s="0" t="str">
        <f aca="false">IF(AND(B2022="H0 verdadera",E2022="Rechazar H0"),"Error tipo I",IF(AND(B2022="Ha verdadera",E2022="No rechazar H0"),"Error tipo II","Decisión correcta"))</f>
        <v>Error tipo II</v>
      </c>
    </row>
    <row r="2023" customFormat="false" ht="15" hidden="false" customHeight="false" outlineLevel="0" collapsed="false">
      <c r="A2023" s="0" t="n">
        <v>2002</v>
      </c>
      <c r="B2023" s="0" t="s">
        <v>86</v>
      </c>
      <c r="C2023" s="17" t="n">
        <v>0.287043467267252</v>
      </c>
      <c r="D2023" s="17" t="n">
        <f aca="false">(C2023-$B$4)/($B$6/SQRT($B$7))</f>
        <v>1.43521733633626</v>
      </c>
      <c r="E2023" s="0" t="str">
        <f aca="false">IF(OR(AND($B$9="superior",D2023&gt;$B$10),AND($B$9="inferior",D2023&lt;-$B$10)),"Rechazar H0","No rechazar H0")</f>
        <v>No rechazar H0</v>
      </c>
      <c r="F2023" s="0" t="str">
        <f aca="false">IF(AND(B2023="H0 verdadera",E2023="Rechazar H0"),"Error tipo I",IF(AND(B2023="Ha verdadera",E2023="No rechazar H0"),"Error tipo II","Decisión correcta"))</f>
        <v>Error tipo II</v>
      </c>
    </row>
    <row r="2024" customFormat="false" ht="15" hidden="false" customHeight="false" outlineLevel="0" collapsed="false">
      <c r="A2024" s="0" t="n">
        <v>2003</v>
      </c>
      <c r="B2024" s="0" t="s">
        <v>85</v>
      </c>
      <c r="C2024" s="17" t="n">
        <v>-0.143032570854439</v>
      </c>
      <c r="D2024" s="17" t="n">
        <f aca="false">(C2024-$B$4)/($B$6/SQRT($B$7))</f>
        <v>-0.715162854272197</v>
      </c>
      <c r="E2024" s="0" t="str">
        <f aca="false">IF(OR(AND($B$9="superior",D2024&gt;$B$10),AND($B$9="inferior",D2024&lt;-$B$10)),"Rechazar H0","No rechazar H0")</f>
        <v>No rechazar H0</v>
      </c>
      <c r="F2024" s="0" t="str">
        <f aca="false">IF(AND(B2024="H0 verdadera",E2024="Rechazar H0"),"Error tipo I",IF(AND(B2024="Ha verdadera",E2024="No rechazar H0"),"Error tipo II","Decisión correcta"))</f>
        <v>Decisión correcta</v>
      </c>
    </row>
    <row r="2025" customFormat="false" ht="15" hidden="false" customHeight="false" outlineLevel="0" collapsed="false">
      <c r="A2025" s="0" t="n">
        <v>2004</v>
      </c>
      <c r="B2025" s="0" t="s">
        <v>86</v>
      </c>
      <c r="C2025" s="17" t="n">
        <v>-0.468543729660267</v>
      </c>
      <c r="D2025" s="17" t="n">
        <f aca="false">(C2025-$B$4)/($B$6/SQRT($B$7))</f>
        <v>-2.34271864830134</v>
      </c>
      <c r="E2025" s="0" t="str">
        <f aca="false">IF(OR(AND($B$9="superior",D2025&gt;$B$10),AND($B$9="inferior",D2025&lt;-$B$10)),"Rechazar H0","No rechazar H0")</f>
        <v>Rechazar H0</v>
      </c>
      <c r="F2025" s="0" t="str">
        <f aca="false">IF(AND(B2025="H0 verdadera",E2025="Rechazar H0"),"Error tipo I",IF(AND(B2025="Ha verdadera",E2025="No rechazar H0"),"Error tipo II","Decisión correcta"))</f>
        <v>Decisión correcta</v>
      </c>
    </row>
    <row r="2026" customFormat="false" ht="15" hidden="false" customHeight="false" outlineLevel="0" collapsed="false">
      <c r="A2026" s="0" t="n">
        <v>2005</v>
      </c>
      <c r="B2026" s="0" t="s">
        <v>86</v>
      </c>
      <c r="C2026" s="17" t="n">
        <v>-0.504762399050413</v>
      </c>
      <c r="D2026" s="17" t="n">
        <f aca="false">(C2026-$B$4)/($B$6/SQRT($B$7))</f>
        <v>-2.52381199525207</v>
      </c>
      <c r="E2026" s="0" t="str">
        <f aca="false">IF(OR(AND($B$9="superior",D2026&gt;$B$10),AND($B$9="inferior",D2026&lt;-$B$10)),"Rechazar H0","No rechazar H0")</f>
        <v>Rechazar H0</v>
      </c>
      <c r="F2026" s="0" t="str">
        <f aca="false">IF(AND(B2026="H0 verdadera",E2026="Rechazar H0"),"Error tipo I",IF(AND(B2026="Ha verdadera",E2026="No rechazar H0"),"Error tipo II","Decisión correcta"))</f>
        <v>Decisión correcta</v>
      </c>
    </row>
    <row r="2027" customFormat="false" ht="15" hidden="false" customHeight="false" outlineLevel="0" collapsed="false">
      <c r="A2027" s="0" t="n">
        <v>2006</v>
      </c>
      <c r="B2027" s="0" t="s">
        <v>86</v>
      </c>
      <c r="C2027" s="17" t="n">
        <v>-0.611957130883314</v>
      </c>
      <c r="D2027" s="17" t="n">
        <f aca="false">(C2027-$B$4)/($B$6/SQRT($B$7))</f>
        <v>-3.05978565441657</v>
      </c>
      <c r="E2027" s="0" t="str">
        <f aca="false">IF(OR(AND($B$9="superior",D2027&gt;$B$10),AND($B$9="inferior",D2027&lt;-$B$10)),"Rechazar H0","No rechazar H0")</f>
        <v>Rechazar H0</v>
      </c>
      <c r="F2027" s="0" t="str">
        <f aca="false">IF(AND(B2027="H0 verdadera",E2027="Rechazar H0"),"Error tipo I",IF(AND(B2027="Ha verdadera",E2027="No rechazar H0"),"Error tipo II","Decisión correcta"))</f>
        <v>Decisión correcta</v>
      </c>
    </row>
    <row r="2028" customFormat="false" ht="15" hidden="false" customHeight="false" outlineLevel="0" collapsed="false">
      <c r="A2028" s="0" t="n">
        <v>2007</v>
      </c>
      <c r="B2028" s="0" t="s">
        <v>85</v>
      </c>
      <c r="C2028" s="17" t="n">
        <v>-8.11694135292218E-005</v>
      </c>
      <c r="D2028" s="17" t="n">
        <f aca="false">(C2028-$B$4)/($B$6/SQRT($B$7))</f>
        <v>-0.000405847067646109</v>
      </c>
      <c r="E2028" s="0" t="str">
        <f aca="false">IF(OR(AND($B$9="superior",D2028&gt;$B$10),AND($B$9="inferior",D2028&lt;-$B$10)),"Rechazar H0","No rechazar H0")</f>
        <v>No rechazar H0</v>
      </c>
      <c r="F2028" s="0" t="str">
        <f aca="false">IF(AND(B2028="H0 verdadera",E2028="Rechazar H0"),"Error tipo I",IF(AND(B2028="Ha verdadera",E2028="No rechazar H0"),"Error tipo II","Decisión correcta"))</f>
        <v>Decisión correcta</v>
      </c>
    </row>
    <row r="2029" customFormat="false" ht="15" hidden="false" customHeight="false" outlineLevel="0" collapsed="false">
      <c r="A2029" s="0" t="n">
        <v>2008</v>
      </c>
      <c r="B2029" s="0" t="s">
        <v>86</v>
      </c>
      <c r="C2029" s="17" t="n">
        <v>-0.592620726758215</v>
      </c>
      <c r="D2029" s="17" t="n">
        <f aca="false">(C2029-$B$4)/($B$6/SQRT($B$7))</f>
        <v>-2.96310363379108</v>
      </c>
      <c r="E2029" s="0" t="str">
        <f aca="false">IF(OR(AND($B$9="superior",D2029&gt;$B$10),AND($B$9="inferior",D2029&lt;-$B$10)),"Rechazar H0","No rechazar H0")</f>
        <v>Rechazar H0</v>
      </c>
      <c r="F2029" s="0" t="str">
        <f aca="false">IF(AND(B2029="H0 verdadera",E2029="Rechazar H0"),"Error tipo I",IF(AND(B2029="Ha verdadera",E2029="No rechazar H0"),"Error tipo II","Decisión correcta"))</f>
        <v>Decisión correcta</v>
      </c>
    </row>
    <row r="2030" customFormat="false" ht="15" hidden="false" customHeight="false" outlineLevel="0" collapsed="false">
      <c r="A2030" s="0" t="n">
        <v>2009</v>
      </c>
      <c r="B2030" s="0" t="s">
        <v>85</v>
      </c>
      <c r="C2030" s="17" t="n">
        <v>0.116371573881487</v>
      </c>
      <c r="D2030" s="17" t="n">
        <f aca="false">(C2030-$B$4)/($B$6/SQRT($B$7))</f>
        <v>0.581857869407434</v>
      </c>
      <c r="E2030" s="0" t="str">
        <f aca="false">IF(OR(AND($B$9="superior",D2030&gt;$B$10),AND($B$9="inferior",D2030&lt;-$B$10)),"Rechazar H0","No rechazar H0")</f>
        <v>No rechazar H0</v>
      </c>
      <c r="F2030" s="0" t="str">
        <f aca="false">IF(AND(B2030="H0 verdadera",E2030="Rechazar H0"),"Error tipo I",IF(AND(B2030="Ha verdadera",E2030="No rechazar H0"),"Error tipo II","Decisión correcta"))</f>
        <v>Decisión correcta</v>
      </c>
    </row>
    <row r="2031" customFormat="false" ht="15" hidden="false" customHeight="false" outlineLevel="0" collapsed="false">
      <c r="A2031" s="0" t="n">
        <v>2010</v>
      </c>
      <c r="B2031" s="0" t="s">
        <v>86</v>
      </c>
      <c r="C2031" s="17" t="n">
        <v>-0.54332177675951</v>
      </c>
      <c r="D2031" s="17" t="n">
        <f aca="false">(C2031-$B$4)/($B$6/SQRT($B$7))</f>
        <v>-2.71660888379755</v>
      </c>
      <c r="E2031" s="0" t="str">
        <f aca="false">IF(OR(AND($B$9="superior",D2031&gt;$B$10),AND($B$9="inferior",D2031&lt;-$B$10)),"Rechazar H0","No rechazar H0")</f>
        <v>Rechazar H0</v>
      </c>
      <c r="F2031" s="0" t="str">
        <f aca="false">IF(AND(B2031="H0 verdadera",E2031="Rechazar H0"),"Error tipo I",IF(AND(B2031="Ha verdadera",E2031="No rechazar H0"),"Error tipo II","Decisión correcta"))</f>
        <v>Decisión correcta</v>
      </c>
    </row>
    <row r="2032" customFormat="false" ht="15" hidden="false" customHeight="false" outlineLevel="0" collapsed="false">
      <c r="A2032" s="0" t="n">
        <v>2011</v>
      </c>
      <c r="B2032" s="0" t="s">
        <v>85</v>
      </c>
      <c r="C2032" s="17" t="n">
        <v>0.00661356780641814</v>
      </c>
      <c r="D2032" s="17" t="n">
        <f aca="false">(C2032-$B$4)/($B$6/SQRT($B$7))</f>
        <v>0.0330678390320907</v>
      </c>
      <c r="E2032" s="0" t="str">
        <f aca="false">IF(OR(AND($B$9="superior",D2032&gt;$B$10),AND($B$9="inferior",D2032&lt;-$B$10)),"Rechazar H0","No rechazar H0")</f>
        <v>No rechazar H0</v>
      </c>
      <c r="F2032" s="0" t="str">
        <f aca="false">IF(AND(B2032="H0 verdadera",E2032="Rechazar H0"),"Error tipo I",IF(AND(B2032="Ha verdadera",E2032="No rechazar H0"),"Error tipo II","Decisión correcta"))</f>
        <v>Decisión correcta</v>
      </c>
    </row>
    <row r="2033" customFormat="false" ht="15" hidden="false" customHeight="false" outlineLevel="0" collapsed="false">
      <c r="A2033" s="0" t="n">
        <v>2012</v>
      </c>
      <c r="B2033" s="0" t="s">
        <v>86</v>
      </c>
      <c r="C2033" s="17" t="n">
        <v>-0.666133165289821</v>
      </c>
      <c r="D2033" s="17" t="n">
        <f aca="false">(C2033-$B$4)/($B$6/SQRT($B$7))</f>
        <v>-3.3306658264491</v>
      </c>
      <c r="E2033" s="0" t="str">
        <f aca="false">IF(OR(AND($B$9="superior",D2033&gt;$B$10),AND($B$9="inferior",D2033&lt;-$B$10)),"Rechazar H0","No rechazar H0")</f>
        <v>Rechazar H0</v>
      </c>
      <c r="F2033" s="0" t="str">
        <f aca="false">IF(AND(B2033="H0 verdadera",E2033="Rechazar H0"),"Error tipo I",IF(AND(B2033="Ha verdadera",E2033="No rechazar H0"),"Error tipo II","Decisión correcta"))</f>
        <v>Decisión correcta</v>
      </c>
    </row>
    <row r="2034" customFormat="false" ht="15" hidden="false" customHeight="false" outlineLevel="0" collapsed="false">
      <c r="A2034" s="0" t="n">
        <v>2013</v>
      </c>
      <c r="B2034" s="0" t="s">
        <v>85</v>
      </c>
      <c r="C2034" s="17" t="n">
        <v>0.300035109672121</v>
      </c>
      <c r="D2034" s="17" t="n">
        <f aca="false">(C2034-$B$4)/($B$6/SQRT($B$7))</f>
        <v>1.50017554836061</v>
      </c>
      <c r="E2034" s="0" t="str">
        <f aca="false">IF(OR(AND($B$9="superior",D2034&gt;$B$10),AND($B$9="inferior",D2034&lt;-$B$10)),"Rechazar H0","No rechazar H0")</f>
        <v>No rechazar H0</v>
      </c>
      <c r="F2034" s="0" t="str">
        <f aca="false">IF(AND(B2034="H0 verdadera",E2034="Rechazar H0"),"Error tipo I",IF(AND(B2034="Ha verdadera",E2034="No rechazar H0"),"Error tipo II","Decisión correcta"))</f>
        <v>Decisión correcta</v>
      </c>
    </row>
    <row r="2035" customFormat="false" ht="15" hidden="false" customHeight="false" outlineLevel="0" collapsed="false">
      <c r="A2035" s="0" t="n">
        <v>2014</v>
      </c>
      <c r="B2035" s="0" t="s">
        <v>85</v>
      </c>
      <c r="C2035" s="17" t="n">
        <v>-0.240820492847562</v>
      </c>
      <c r="D2035" s="17" t="n">
        <f aca="false">(C2035-$B$4)/($B$6/SQRT($B$7))</f>
        <v>-1.20410246423781</v>
      </c>
      <c r="E2035" s="0" t="str">
        <f aca="false">IF(OR(AND($B$9="superior",D2035&gt;$B$10),AND($B$9="inferior",D2035&lt;-$B$10)),"Rechazar H0","No rechazar H0")</f>
        <v>No rechazar H0</v>
      </c>
      <c r="F2035" s="0" t="str">
        <f aca="false">IF(AND(B2035="H0 verdadera",E2035="Rechazar H0"),"Error tipo I",IF(AND(B2035="Ha verdadera",E2035="No rechazar H0"),"Error tipo II","Decisión correcta"))</f>
        <v>Decisión correcta</v>
      </c>
    </row>
    <row r="2036" customFormat="false" ht="15" hidden="false" customHeight="false" outlineLevel="0" collapsed="false">
      <c r="A2036" s="0" t="n">
        <v>2015</v>
      </c>
      <c r="B2036" s="0" t="s">
        <v>85</v>
      </c>
      <c r="C2036" s="17" t="n">
        <v>-0.336290862321912</v>
      </c>
      <c r="D2036" s="17" t="n">
        <f aca="false">(C2036-$B$4)/($B$6/SQRT($B$7))</f>
        <v>-1.68145431160956</v>
      </c>
      <c r="E2036" s="0" t="str">
        <f aca="false">IF(OR(AND($B$9="superior",D2036&gt;$B$10),AND($B$9="inferior",D2036&lt;-$B$10)),"Rechazar H0","No rechazar H0")</f>
        <v>Rechazar H0</v>
      </c>
      <c r="F2036" s="0" t="str">
        <f aca="false">IF(AND(B2036="H0 verdadera",E2036="Rechazar H0"),"Error tipo I",IF(AND(B2036="Ha verdadera",E2036="No rechazar H0"),"Error tipo II","Decisión correcta"))</f>
        <v>Error tipo I</v>
      </c>
    </row>
    <row r="2037" customFormat="false" ht="15" hidden="false" customHeight="false" outlineLevel="0" collapsed="false">
      <c r="A2037" s="0" t="n">
        <v>2016</v>
      </c>
      <c r="B2037" s="0" t="s">
        <v>85</v>
      </c>
      <c r="C2037" s="17" t="n">
        <v>0.171480124826442</v>
      </c>
      <c r="D2037" s="17" t="n">
        <f aca="false">(C2037-$B$4)/($B$6/SQRT($B$7))</f>
        <v>0.857400624132208</v>
      </c>
      <c r="E2037" s="0" t="str">
        <f aca="false">IF(OR(AND($B$9="superior",D2037&gt;$B$10),AND($B$9="inferior",D2037&lt;-$B$10)),"Rechazar H0","No rechazar H0")</f>
        <v>No rechazar H0</v>
      </c>
      <c r="F2037" s="0" t="str">
        <f aca="false">IF(AND(B2037="H0 verdadera",E2037="Rechazar H0"),"Error tipo I",IF(AND(B2037="Ha verdadera",E2037="No rechazar H0"),"Error tipo II","Decisión correcta"))</f>
        <v>Decisión correcta</v>
      </c>
    </row>
    <row r="2038" customFormat="false" ht="15" hidden="false" customHeight="false" outlineLevel="0" collapsed="false">
      <c r="A2038" s="0" t="n">
        <v>2017</v>
      </c>
      <c r="B2038" s="0" t="s">
        <v>85</v>
      </c>
      <c r="C2038" s="17" t="n">
        <v>0.138361726011251</v>
      </c>
      <c r="D2038" s="17" t="n">
        <f aca="false">(C2038-$B$4)/($B$6/SQRT($B$7))</f>
        <v>0.691808630056255</v>
      </c>
      <c r="E2038" s="0" t="str">
        <f aca="false">IF(OR(AND($B$9="superior",D2038&gt;$B$10),AND($B$9="inferior",D2038&lt;-$B$10)),"Rechazar H0","No rechazar H0")</f>
        <v>No rechazar H0</v>
      </c>
      <c r="F2038" s="0" t="str">
        <f aca="false">IF(AND(B2038="H0 verdadera",E2038="Rechazar H0"),"Error tipo I",IF(AND(B2038="Ha verdadera",E2038="No rechazar H0"),"Error tipo II","Decisión correcta"))</f>
        <v>Decisión correcta</v>
      </c>
    </row>
    <row r="2039" customFormat="false" ht="15" hidden="false" customHeight="false" outlineLevel="0" collapsed="false">
      <c r="A2039" s="0" t="n">
        <v>2018</v>
      </c>
      <c r="B2039" s="0" t="s">
        <v>86</v>
      </c>
      <c r="C2039" s="17" t="n">
        <v>-0.491050883415934</v>
      </c>
      <c r="D2039" s="17" t="n">
        <f aca="false">(C2039-$B$4)/($B$6/SQRT($B$7))</f>
        <v>-2.45525441707967</v>
      </c>
      <c r="E2039" s="0" t="str">
        <f aca="false">IF(OR(AND($B$9="superior",D2039&gt;$B$10),AND($B$9="inferior",D2039&lt;-$B$10)),"Rechazar H0","No rechazar H0")</f>
        <v>Rechazar H0</v>
      </c>
      <c r="F2039" s="0" t="str">
        <f aca="false">IF(AND(B2039="H0 verdadera",E2039="Rechazar H0"),"Error tipo I",IF(AND(B2039="Ha verdadera",E2039="No rechazar H0"),"Error tipo II","Decisión correcta"))</f>
        <v>Decisión correcta</v>
      </c>
    </row>
    <row r="2040" customFormat="false" ht="15" hidden="false" customHeight="false" outlineLevel="0" collapsed="false">
      <c r="A2040" s="0" t="n">
        <v>2019</v>
      </c>
      <c r="B2040" s="0" t="s">
        <v>86</v>
      </c>
      <c r="C2040" s="17" t="n">
        <v>-0.124985876626756</v>
      </c>
      <c r="D2040" s="17" t="n">
        <f aca="false">(C2040-$B$4)/($B$6/SQRT($B$7))</f>
        <v>-0.62492938313378</v>
      </c>
      <c r="E2040" s="0" t="str">
        <f aca="false">IF(OR(AND($B$9="superior",D2040&gt;$B$10),AND($B$9="inferior",D2040&lt;-$B$10)),"Rechazar H0","No rechazar H0")</f>
        <v>No rechazar H0</v>
      </c>
      <c r="F2040" s="0" t="str">
        <f aca="false">IF(AND(B2040="H0 verdadera",E2040="Rechazar H0"),"Error tipo I",IF(AND(B2040="Ha verdadera",E2040="No rechazar H0"),"Error tipo II","Decisión correcta"))</f>
        <v>Error tipo II</v>
      </c>
    </row>
    <row r="2041" customFormat="false" ht="15" hidden="false" customHeight="false" outlineLevel="0" collapsed="false">
      <c r="A2041" s="0" t="n">
        <v>2020</v>
      </c>
      <c r="B2041" s="0" t="s">
        <v>86</v>
      </c>
      <c r="C2041" s="17" t="n">
        <v>-0.290913703268405</v>
      </c>
      <c r="D2041" s="17" t="n">
        <f aca="false">(C2041-$B$4)/($B$6/SQRT($B$7))</f>
        <v>-1.45456851634202</v>
      </c>
      <c r="E2041" s="0" t="str">
        <f aca="false">IF(OR(AND($B$9="superior",D2041&gt;$B$10),AND($B$9="inferior",D2041&lt;-$B$10)),"Rechazar H0","No rechazar H0")</f>
        <v>No rechazar H0</v>
      </c>
      <c r="F2041" s="0" t="str">
        <f aca="false">IF(AND(B2041="H0 verdadera",E2041="Rechazar H0"),"Error tipo I",IF(AND(B2041="Ha verdadera",E2041="No rechazar H0"),"Error tipo II","Decisión correcta"))</f>
        <v>Error tipo II</v>
      </c>
    </row>
    <row r="2042" customFormat="false" ht="15" hidden="false" customHeight="false" outlineLevel="0" collapsed="false">
      <c r="A2042" s="0" t="n">
        <v>2021</v>
      </c>
      <c r="B2042" s="0" t="s">
        <v>86</v>
      </c>
      <c r="C2042" s="17" t="n">
        <v>-0.406876463294217</v>
      </c>
      <c r="D2042" s="17" t="n">
        <f aca="false">(C2042-$B$4)/($B$6/SQRT($B$7))</f>
        <v>-2.03438231647108</v>
      </c>
      <c r="E2042" s="0" t="str">
        <f aca="false">IF(OR(AND($B$9="superior",D2042&gt;$B$10),AND($B$9="inferior",D2042&lt;-$B$10)),"Rechazar H0","No rechazar H0")</f>
        <v>Rechazar H0</v>
      </c>
      <c r="F2042" s="0" t="str">
        <f aca="false">IF(AND(B2042="H0 verdadera",E2042="Rechazar H0"),"Error tipo I",IF(AND(B2042="Ha verdadera",E2042="No rechazar H0"),"Error tipo II","Decisión correcta"))</f>
        <v>Decisión correcta</v>
      </c>
    </row>
    <row r="2043" customFormat="false" ht="15" hidden="false" customHeight="false" outlineLevel="0" collapsed="false">
      <c r="A2043" s="0" t="n">
        <v>2022</v>
      </c>
      <c r="B2043" s="0" t="s">
        <v>85</v>
      </c>
      <c r="C2043" s="17" t="n">
        <v>-0.186350281720788</v>
      </c>
      <c r="D2043" s="17" t="n">
        <f aca="false">(C2043-$B$4)/($B$6/SQRT($B$7))</f>
        <v>-0.931751408603939</v>
      </c>
      <c r="E2043" s="0" t="str">
        <f aca="false">IF(OR(AND($B$9="superior",D2043&gt;$B$10),AND($B$9="inferior",D2043&lt;-$B$10)),"Rechazar H0","No rechazar H0")</f>
        <v>No rechazar H0</v>
      </c>
      <c r="F2043" s="0" t="str">
        <f aca="false">IF(AND(B2043="H0 verdadera",E2043="Rechazar H0"),"Error tipo I",IF(AND(B2043="Ha verdadera",E2043="No rechazar H0"),"Error tipo II","Decisión correcta"))</f>
        <v>Decisión correcta</v>
      </c>
    </row>
    <row r="2044" customFormat="false" ht="15" hidden="false" customHeight="false" outlineLevel="0" collapsed="false">
      <c r="A2044" s="0" t="n">
        <v>2023</v>
      </c>
      <c r="B2044" s="0" t="s">
        <v>86</v>
      </c>
      <c r="C2044" s="17" t="n">
        <v>-0.299637116110405</v>
      </c>
      <c r="D2044" s="17" t="n">
        <f aca="false">(C2044-$B$4)/($B$6/SQRT($B$7))</f>
        <v>-1.49818558055202</v>
      </c>
      <c r="E2044" s="0" t="str">
        <f aca="false">IF(OR(AND($B$9="superior",D2044&gt;$B$10),AND($B$9="inferior",D2044&lt;-$B$10)),"Rechazar H0","No rechazar H0")</f>
        <v>No rechazar H0</v>
      </c>
      <c r="F2044" s="0" t="str">
        <f aca="false">IF(AND(B2044="H0 verdadera",E2044="Rechazar H0"),"Error tipo I",IF(AND(B2044="Ha verdadera",E2044="No rechazar H0"),"Error tipo II","Decisión correcta"))</f>
        <v>Error tipo II</v>
      </c>
    </row>
    <row r="2045" customFormat="false" ht="15" hidden="false" customHeight="false" outlineLevel="0" collapsed="false">
      <c r="A2045" s="0" t="n">
        <v>2024</v>
      </c>
      <c r="B2045" s="0" t="s">
        <v>85</v>
      </c>
      <c r="C2045" s="17" t="n">
        <v>0.119980777976986</v>
      </c>
      <c r="D2045" s="17" t="n">
        <f aca="false">(C2045-$B$4)/($B$6/SQRT($B$7))</f>
        <v>0.59990388988493</v>
      </c>
      <c r="E2045" s="0" t="str">
        <f aca="false">IF(OR(AND($B$9="superior",D2045&gt;$B$10),AND($B$9="inferior",D2045&lt;-$B$10)),"Rechazar H0","No rechazar H0")</f>
        <v>No rechazar H0</v>
      </c>
      <c r="F2045" s="0" t="str">
        <f aca="false">IF(AND(B2045="H0 verdadera",E2045="Rechazar H0"),"Error tipo I",IF(AND(B2045="Ha verdadera",E2045="No rechazar H0"),"Error tipo II","Decisión correcta"))</f>
        <v>Decisión correcta</v>
      </c>
    </row>
    <row r="2046" customFormat="false" ht="15" hidden="false" customHeight="false" outlineLevel="0" collapsed="false">
      <c r="A2046" s="0" t="n">
        <v>2025</v>
      </c>
      <c r="B2046" s="0" t="s">
        <v>86</v>
      </c>
      <c r="C2046" s="17" t="n">
        <v>-0.305708971010525</v>
      </c>
      <c r="D2046" s="17" t="n">
        <f aca="false">(C2046-$B$4)/($B$6/SQRT($B$7))</f>
        <v>-1.52854485505263</v>
      </c>
      <c r="E2046" s="0" t="str">
        <f aca="false">IF(OR(AND($B$9="superior",D2046&gt;$B$10),AND($B$9="inferior",D2046&lt;-$B$10)),"Rechazar H0","No rechazar H0")</f>
        <v>No rechazar H0</v>
      </c>
      <c r="F2046" s="0" t="str">
        <f aca="false">IF(AND(B2046="H0 verdadera",E2046="Rechazar H0"),"Error tipo I",IF(AND(B2046="Ha verdadera",E2046="No rechazar H0"),"Error tipo II","Decisión correcta"))</f>
        <v>Error tipo II</v>
      </c>
    </row>
    <row r="2047" customFormat="false" ht="15" hidden="false" customHeight="false" outlineLevel="0" collapsed="false">
      <c r="A2047" s="0" t="n">
        <v>2026</v>
      </c>
      <c r="B2047" s="0" t="s">
        <v>85</v>
      </c>
      <c r="C2047" s="17" t="n">
        <v>-0.0964928840361322</v>
      </c>
      <c r="D2047" s="17" t="n">
        <f aca="false">(C2047-$B$4)/($B$6/SQRT($B$7))</f>
        <v>-0.482464420180661</v>
      </c>
      <c r="E2047" s="0" t="str">
        <f aca="false">IF(OR(AND($B$9="superior",D2047&gt;$B$10),AND($B$9="inferior",D2047&lt;-$B$10)),"Rechazar H0","No rechazar H0")</f>
        <v>No rechazar H0</v>
      </c>
      <c r="F2047" s="0" t="str">
        <f aca="false">IF(AND(B2047="H0 verdadera",E2047="Rechazar H0"),"Error tipo I",IF(AND(B2047="Ha verdadera",E2047="No rechazar H0"),"Error tipo II","Decisión correcta"))</f>
        <v>Decisión correcta</v>
      </c>
    </row>
    <row r="2048" customFormat="false" ht="15" hidden="false" customHeight="false" outlineLevel="0" collapsed="false">
      <c r="A2048" s="0" t="n">
        <v>2027</v>
      </c>
      <c r="B2048" s="0" t="s">
        <v>85</v>
      </c>
      <c r="C2048" s="17" t="n">
        <v>-0.052196532011292</v>
      </c>
      <c r="D2048" s="17" t="n">
        <f aca="false">(C2048-$B$4)/($B$6/SQRT($B$7))</f>
        <v>-0.26098266005646</v>
      </c>
      <c r="E2048" s="0" t="str">
        <f aca="false">IF(OR(AND($B$9="superior",D2048&gt;$B$10),AND($B$9="inferior",D2048&lt;-$B$10)),"Rechazar H0","No rechazar H0")</f>
        <v>No rechazar H0</v>
      </c>
      <c r="F2048" s="0" t="str">
        <f aca="false">IF(AND(B2048="H0 verdadera",E2048="Rechazar H0"),"Error tipo I",IF(AND(B2048="Ha verdadera",E2048="No rechazar H0"),"Error tipo II","Decisión correcta"))</f>
        <v>Decisión correcta</v>
      </c>
    </row>
    <row r="2049" customFormat="false" ht="15" hidden="false" customHeight="false" outlineLevel="0" collapsed="false">
      <c r="A2049" s="0" t="n">
        <v>2028</v>
      </c>
      <c r="B2049" s="0" t="s">
        <v>86</v>
      </c>
      <c r="C2049" s="17" t="n">
        <v>-0.801547696035897</v>
      </c>
      <c r="D2049" s="17" t="n">
        <f aca="false">(C2049-$B$4)/($B$6/SQRT($B$7))</f>
        <v>-4.00773848017949</v>
      </c>
      <c r="E2049" s="0" t="str">
        <f aca="false">IF(OR(AND($B$9="superior",D2049&gt;$B$10),AND($B$9="inferior",D2049&lt;-$B$10)),"Rechazar H0","No rechazar H0")</f>
        <v>Rechazar H0</v>
      </c>
      <c r="F2049" s="0" t="str">
        <f aca="false">IF(AND(B2049="H0 verdadera",E2049="Rechazar H0"),"Error tipo I",IF(AND(B2049="Ha verdadera",E2049="No rechazar H0"),"Error tipo II","Decisión correcta"))</f>
        <v>Decisión correcta</v>
      </c>
    </row>
    <row r="2050" customFormat="false" ht="15" hidden="false" customHeight="false" outlineLevel="0" collapsed="false">
      <c r="A2050" s="0" t="n">
        <v>2029</v>
      </c>
      <c r="B2050" s="0" t="s">
        <v>86</v>
      </c>
      <c r="C2050" s="17" t="n">
        <v>-0.161713924713814</v>
      </c>
      <c r="D2050" s="17" t="n">
        <f aca="false">(C2050-$B$4)/($B$6/SQRT($B$7))</f>
        <v>-0.808569623569069</v>
      </c>
      <c r="E2050" s="0" t="str">
        <f aca="false">IF(OR(AND($B$9="superior",D2050&gt;$B$10),AND($B$9="inferior",D2050&lt;-$B$10)),"Rechazar H0","No rechazar H0")</f>
        <v>No rechazar H0</v>
      </c>
      <c r="F2050" s="0" t="str">
        <f aca="false">IF(AND(B2050="H0 verdadera",E2050="Rechazar H0"),"Error tipo I",IF(AND(B2050="Ha verdadera",E2050="No rechazar H0"),"Error tipo II","Decisión correcta"))</f>
        <v>Error tipo II</v>
      </c>
    </row>
    <row r="2051" customFormat="false" ht="15" hidden="false" customHeight="false" outlineLevel="0" collapsed="false">
      <c r="A2051" s="0" t="n">
        <v>2030</v>
      </c>
      <c r="B2051" s="0" t="s">
        <v>85</v>
      </c>
      <c r="C2051" s="17" t="n">
        <v>-0.139097728939082</v>
      </c>
      <c r="D2051" s="17" t="n">
        <f aca="false">(C2051-$B$4)/($B$6/SQRT($B$7))</f>
        <v>-0.695488644695411</v>
      </c>
      <c r="E2051" s="0" t="str">
        <f aca="false">IF(OR(AND($B$9="superior",D2051&gt;$B$10),AND($B$9="inferior",D2051&lt;-$B$10)),"Rechazar H0","No rechazar H0")</f>
        <v>No rechazar H0</v>
      </c>
      <c r="F2051" s="0" t="str">
        <f aca="false">IF(AND(B2051="H0 verdadera",E2051="Rechazar H0"),"Error tipo I",IF(AND(B2051="Ha verdadera",E2051="No rechazar H0"),"Error tipo II","Decisión correcta"))</f>
        <v>Decisión correcta</v>
      </c>
    </row>
    <row r="2052" customFormat="false" ht="15" hidden="false" customHeight="false" outlineLevel="0" collapsed="false">
      <c r="A2052" s="0" t="n">
        <v>2031</v>
      </c>
      <c r="B2052" s="0" t="s">
        <v>86</v>
      </c>
      <c r="C2052" s="17" t="n">
        <v>-0.109599691511314</v>
      </c>
      <c r="D2052" s="17" t="n">
        <f aca="false">(C2052-$B$4)/($B$6/SQRT($B$7))</f>
        <v>-0.547998457556569</v>
      </c>
      <c r="E2052" s="0" t="str">
        <f aca="false">IF(OR(AND($B$9="superior",D2052&gt;$B$10),AND($B$9="inferior",D2052&lt;-$B$10)),"Rechazar H0","No rechazar H0")</f>
        <v>No rechazar H0</v>
      </c>
      <c r="F2052" s="0" t="str">
        <f aca="false">IF(AND(B2052="H0 verdadera",E2052="Rechazar H0"),"Error tipo I",IF(AND(B2052="Ha verdadera",E2052="No rechazar H0"),"Error tipo II","Decisión correcta"))</f>
        <v>Error tipo II</v>
      </c>
    </row>
    <row r="2053" customFormat="false" ht="15" hidden="false" customHeight="false" outlineLevel="0" collapsed="false">
      <c r="A2053" s="0" t="n">
        <v>2032</v>
      </c>
      <c r="B2053" s="0" t="s">
        <v>85</v>
      </c>
      <c r="C2053" s="17" t="n">
        <v>0.099391681322864</v>
      </c>
      <c r="D2053" s="17" t="n">
        <f aca="false">(C2053-$B$4)/($B$6/SQRT($B$7))</f>
        <v>0.49695840661432</v>
      </c>
      <c r="E2053" s="0" t="str">
        <f aca="false">IF(OR(AND($B$9="superior",D2053&gt;$B$10),AND($B$9="inferior",D2053&lt;-$B$10)),"Rechazar H0","No rechazar H0")</f>
        <v>No rechazar H0</v>
      </c>
      <c r="F2053" s="0" t="str">
        <f aca="false">IF(AND(B2053="H0 verdadera",E2053="Rechazar H0"),"Error tipo I",IF(AND(B2053="Ha verdadera",E2053="No rechazar H0"),"Error tipo II","Decisión correcta"))</f>
        <v>Decisión correcta</v>
      </c>
    </row>
    <row r="2054" customFormat="false" ht="15" hidden="false" customHeight="false" outlineLevel="0" collapsed="false">
      <c r="A2054" s="0" t="n">
        <v>2033</v>
      </c>
      <c r="B2054" s="0" t="s">
        <v>86</v>
      </c>
      <c r="C2054" s="17" t="n">
        <v>-0.507911441672903</v>
      </c>
      <c r="D2054" s="17" t="n">
        <f aca="false">(C2054-$B$4)/($B$6/SQRT($B$7))</f>
        <v>-2.53955720836452</v>
      </c>
      <c r="E2054" s="0" t="str">
        <f aca="false">IF(OR(AND($B$9="superior",D2054&gt;$B$10),AND($B$9="inferior",D2054&lt;-$B$10)),"Rechazar H0","No rechazar H0")</f>
        <v>Rechazar H0</v>
      </c>
      <c r="F2054" s="0" t="str">
        <f aca="false">IF(AND(B2054="H0 verdadera",E2054="Rechazar H0"),"Error tipo I",IF(AND(B2054="Ha verdadera",E2054="No rechazar H0"),"Error tipo II","Decisión correcta"))</f>
        <v>Decisión correcta</v>
      </c>
    </row>
    <row r="2055" customFormat="false" ht="15" hidden="false" customHeight="false" outlineLevel="0" collapsed="false">
      <c r="A2055" s="0" t="n">
        <v>2034</v>
      </c>
      <c r="B2055" s="0" t="s">
        <v>86</v>
      </c>
      <c r="C2055" s="17" t="n">
        <v>-0.338965448570858</v>
      </c>
      <c r="D2055" s="17" t="n">
        <f aca="false">(C2055-$B$4)/($B$6/SQRT($B$7))</f>
        <v>-1.69482724285429</v>
      </c>
      <c r="E2055" s="0" t="str">
        <f aca="false">IF(OR(AND($B$9="superior",D2055&gt;$B$10),AND($B$9="inferior",D2055&lt;-$B$10)),"Rechazar H0","No rechazar H0")</f>
        <v>Rechazar H0</v>
      </c>
      <c r="F2055" s="0" t="str">
        <f aca="false">IF(AND(B2055="H0 verdadera",E2055="Rechazar H0"),"Error tipo I",IF(AND(B2055="Ha verdadera",E2055="No rechazar H0"),"Error tipo II","Decisión correcta"))</f>
        <v>Decisión correcta</v>
      </c>
    </row>
    <row r="2056" customFormat="false" ht="15" hidden="false" customHeight="false" outlineLevel="0" collapsed="false">
      <c r="A2056" s="0" t="n">
        <v>2035</v>
      </c>
      <c r="B2056" s="0" t="s">
        <v>85</v>
      </c>
      <c r="C2056" s="17" t="n">
        <v>-0.0510387441116471</v>
      </c>
      <c r="D2056" s="17" t="n">
        <f aca="false">(C2056-$B$4)/($B$6/SQRT($B$7))</f>
        <v>-0.255193720558236</v>
      </c>
      <c r="E2056" s="0" t="str">
        <f aca="false">IF(OR(AND($B$9="superior",D2056&gt;$B$10),AND($B$9="inferior",D2056&lt;-$B$10)),"Rechazar H0","No rechazar H0")</f>
        <v>No rechazar H0</v>
      </c>
      <c r="F2056" s="0" t="str">
        <f aca="false">IF(AND(B2056="H0 verdadera",E2056="Rechazar H0"),"Error tipo I",IF(AND(B2056="Ha verdadera",E2056="No rechazar H0"),"Error tipo II","Decisión correcta"))</f>
        <v>Decisión correcta</v>
      </c>
    </row>
    <row r="2057" customFormat="false" ht="15" hidden="false" customHeight="false" outlineLevel="0" collapsed="false">
      <c r="A2057" s="0" t="n">
        <v>2036</v>
      </c>
      <c r="B2057" s="0" t="s">
        <v>85</v>
      </c>
      <c r="C2057" s="17" t="n">
        <v>-0.21794421378072</v>
      </c>
      <c r="D2057" s="17" t="n">
        <f aca="false">(C2057-$B$4)/($B$6/SQRT($B$7))</f>
        <v>-1.0897210689036</v>
      </c>
      <c r="E2057" s="0" t="str">
        <f aca="false">IF(OR(AND($B$9="superior",D2057&gt;$B$10),AND($B$9="inferior",D2057&lt;-$B$10)),"Rechazar H0","No rechazar H0")</f>
        <v>No rechazar H0</v>
      </c>
      <c r="F2057" s="0" t="str">
        <f aca="false">IF(AND(B2057="H0 verdadera",E2057="Rechazar H0"),"Error tipo I",IF(AND(B2057="Ha verdadera",E2057="No rechazar H0"),"Error tipo II","Decisión correcta"))</f>
        <v>Decisión correcta</v>
      </c>
    </row>
    <row r="2058" customFormat="false" ht="15" hidden="false" customHeight="false" outlineLevel="0" collapsed="false">
      <c r="A2058" s="0" t="n">
        <v>2037</v>
      </c>
      <c r="B2058" s="0" t="s">
        <v>85</v>
      </c>
      <c r="C2058" s="17" t="n">
        <v>0.205363109666368</v>
      </c>
      <c r="D2058" s="17" t="n">
        <f aca="false">(C2058-$B$4)/($B$6/SQRT($B$7))</f>
        <v>1.02681554833184</v>
      </c>
      <c r="E2058" s="0" t="str">
        <f aca="false">IF(OR(AND($B$9="superior",D2058&gt;$B$10),AND($B$9="inferior",D2058&lt;-$B$10)),"Rechazar H0","No rechazar H0")</f>
        <v>No rechazar H0</v>
      </c>
      <c r="F2058" s="0" t="str">
        <f aca="false">IF(AND(B2058="H0 verdadera",E2058="Rechazar H0"),"Error tipo I",IF(AND(B2058="Ha verdadera",E2058="No rechazar H0"),"Error tipo II","Decisión correcta"))</f>
        <v>Decisión correcta</v>
      </c>
    </row>
    <row r="2059" customFormat="false" ht="15" hidden="false" customHeight="false" outlineLevel="0" collapsed="false">
      <c r="A2059" s="0" t="n">
        <v>2038</v>
      </c>
      <c r="B2059" s="0" t="s">
        <v>86</v>
      </c>
      <c r="C2059" s="17" t="n">
        <v>-0.22749210214392</v>
      </c>
      <c r="D2059" s="17" t="n">
        <f aca="false">(C2059-$B$4)/($B$6/SQRT($B$7))</f>
        <v>-1.1374605107196</v>
      </c>
      <c r="E2059" s="0" t="str">
        <f aca="false">IF(OR(AND($B$9="superior",D2059&gt;$B$10),AND($B$9="inferior",D2059&lt;-$B$10)),"Rechazar H0","No rechazar H0")</f>
        <v>No rechazar H0</v>
      </c>
      <c r="F2059" s="0" t="str">
        <f aca="false">IF(AND(B2059="H0 verdadera",E2059="Rechazar H0"),"Error tipo I",IF(AND(B2059="Ha verdadera",E2059="No rechazar H0"),"Error tipo II","Decisión correcta"))</f>
        <v>Error tipo II</v>
      </c>
    </row>
    <row r="2060" customFormat="false" ht="15" hidden="false" customHeight="false" outlineLevel="0" collapsed="false">
      <c r="A2060" s="0" t="n">
        <v>2039</v>
      </c>
      <c r="B2060" s="0" t="s">
        <v>85</v>
      </c>
      <c r="C2060" s="17" t="n">
        <v>0.599660443733322</v>
      </c>
      <c r="D2060" s="17" t="n">
        <f aca="false">(C2060-$B$4)/($B$6/SQRT($B$7))</f>
        <v>2.99830221866661</v>
      </c>
      <c r="E2060" s="0" t="str">
        <f aca="false">IF(OR(AND($B$9="superior",D2060&gt;$B$10),AND($B$9="inferior",D2060&lt;-$B$10)),"Rechazar H0","No rechazar H0")</f>
        <v>No rechazar H0</v>
      </c>
      <c r="F2060" s="0" t="str">
        <f aca="false">IF(AND(B2060="H0 verdadera",E2060="Rechazar H0"),"Error tipo I",IF(AND(B2060="Ha verdadera",E2060="No rechazar H0"),"Error tipo II","Decisión correcta"))</f>
        <v>Decisión correcta</v>
      </c>
    </row>
    <row r="2061" customFormat="false" ht="15" hidden="false" customHeight="false" outlineLevel="0" collapsed="false">
      <c r="A2061" s="0" t="n">
        <v>2040</v>
      </c>
      <c r="B2061" s="0" t="s">
        <v>86</v>
      </c>
      <c r="C2061" s="17" t="n">
        <v>0.0312098284318132</v>
      </c>
      <c r="D2061" s="17" t="n">
        <f aca="false">(C2061-$B$4)/($B$6/SQRT($B$7))</f>
        <v>0.156049142159066</v>
      </c>
      <c r="E2061" s="0" t="str">
        <f aca="false">IF(OR(AND($B$9="superior",D2061&gt;$B$10),AND($B$9="inferior",D2061&lt;-$B$10)),"Rechazar H0","No rechazar H0")</f>
        <v>No rechazar H0</v>
      </c>
      <c r="F2061" s="0" t="str">
        <f aca="false">IF(AND(B2061="H0 verdadera",E2061="Rechazar H0"),"Error tipo I",IF(AND(B2061="Ha verdadera",E2061="No rechazar H0"),"Error tipo II","Decisión correcta"))</f>
        <v>Error tipo II</v>
      </c>
    </row>
    <row r="2062" customFormat="false" ht="15" hidden="false" customHeight="false" outlineLevel="0" collapsed="false">
      <c r="A2062" s="0" t="n">
        <v>2041</v>
      </c>
      <c r="B2062" s="0" t="s">
        <v>86</v>
      </c>
      <c r="C2062" s="17" t="n">
        <v>-0.597180052136119</v>
      </c>
      <c r="D2062" s="17" t="n">
        <f aca="false">(C2062-$B$4)/($B$6/SQRT($B$7))</f>
        <v>-2.98590026068059</v>
      </c>
      <c r="E2062" s="0" t="str">
        <f aca="false">IF(OR(AND($B$9="superior",D2062&gt;$B$10),AND($B$9="inferior",D2062&lt;-$B$10)),"Rechazar H0","No rechazar H0")</f>
        <v>Rechazar H0</v>
      </c>
      <c r="F2062" s="0" t="str">
        <f aca="false">IF(AND(B2062="H0 verdadera",E2062="Rechazar H0"),"Error tipo I",IF(AND(B2062="Ha verdadera",E2062="No rechazar H0"),"Error tipo II","Decisión correcta"))</f>
        <v>Decisión correcta</v>
      </c>
    </row>
    <row r="2063" customFormat="false" ht="15" hidden="false" customHeight="false" outlineLevel="0" collapsed="false">
      <c r="A2063" s="0" t="n">
        <v>2042</v>
      </c>
      <c r="B2063" s="0" t="s">
        <v>85</v>
      </c>
      <c r="C2063" s="17" t="n">
        <v>0.0528646340581981</v>
      </c>
      <c r="D2063" s="17" t="n">
        <f aca="false">(C2063-$B$4)/($B$6/SQRT($B$7))</f>
        <v>0.26432317029099</v>
      </c>
      <c r="E2063" s="0" t="str">
        <f aca="false">IF(OR(AND($B$9="superior",D2063&gt;$B$10),AND($B$9="inferior",D2063&lt;-$B$10)),"Rechazar H0","No rechazar H0")</f>
        <v>No rechazar H0</v>
      </c>
      <c r="F2063" s="0" t="str">
        <f aca="false">IF(AND(B2063="H0 verdadera",E2063="Rechazar H0"),"Error tipo I",IF(AND(B2063="Ha verdadera",E2063="No rechazar H0"),"Error tipo II","Decisión correcta"))</f>
        <v>Decisión correcta</v>
      </c>
    </row>
    <row r="2064" customFormat="false" ht="15" hidden="false" customHeight="false" outlineLevel="0" collapsed="false">
      <c r="A2064" s="0" t="n">
        <v>2043</v>
      </c>
      <c r="B2064" s="0" t="s">
        <v>85</v>
      </c>
      <c r="C2064" s="17" t="n">
        <v>-0.0259722325763671</v>
      </c>
      <c r="D2064" s="17" t="n">
        <f aca="false">(C2064-$B$4)/($B$6/SQRT($B$7))</f>
        <v>-0.129861162881835</v>
      </c>
      <c r="E2064" s="0" t="str">
        <f aca="false">IF(OR(AND($B$9="superior",D2064&gt;$B$10),AND($B$9="inferior",D2064&lt;-$B$10)),"Rechazar H0","No rechazar H0")</f>
        <v>No rechazar H0</v>
      </c>
      <c r="F2064" s="0" t="str">
        <f aca="false">IF(AND(B2064="H0 verdadera",E2064="Rechazar H0"),"Error tipo I",IF(AND(B2064="Ha verdadera",E2064="No rechazar H0"),"Error tipo II","Decisión correcta"))</f>
        <v>Decisión correcta</v>
      </c>
    </row>
    <row r="2065" customFormat="false" ht="15" hidden="false" customHeight="false" outlineLevel="0" collapsed="false">
      <c r="A2065" s="0" t="n">
        <v>2044</v>
      </c>
      <c r="B2065" s="0" t="s">
        <v>85</v>
      </c>
      <c r="C2065" s="17" t="n">
        <v>0.142219713965319</v>
      </c>
      <c r="D2065" s="17" t="n">
        <f aca="false">(C2065-$B$4)/($B$6/SQRT($B$7))</f>
        <v>0.711098569826592</v>
      </c>
      <c r="E2065" s="0" t="str">
        <f aca="false">IF(OR(AND($B$9="superior",D2065&gt;$B$10),AND($B$9="inferior",D2065&lt;-$B$10)),"Rechazar H0","No rechazar H0")</f>
        <v>No rechazar H0</v>
      </c>
      <c r="F2065" s="0" t="str">
        <f aca="false">IF(AND(B2065="H0 verdadera",E2065="Rechazar H0"),"Error tipo I",IF(AND(B2065="Ha verdadera",E2065="No rechazar H0"),"Error tipo II","Decisión correcta"))</f>
        <v>Decisión correcta</v>
      </c>
    </row>
    <row r="2066" customFormat="false" ht="15" hidden="false" customHeight="false" outlineLevel="0" collapsed="false">
      <c r="A2066" s="0" t="n">
        <v>2045</v>
      </c>
      <c r="B2066" s="0" t="s">
        <v>86</v>
      </c>
      <c r="C2066" s="17" t="n">
        <v>-0.298857415564074</v>
      </c>
      <c r="D2066" s="17" t="n">
        <f aca="false">(C2066-$B$4)/($B$6/SQRT($B$7))</f>
        <v>-1.49428707782037</v>
      </c>
      <c r="E2066" s="0" t="str">
        <f aca="false">IF(OR(AND($B$9="superior",D2066&gt;$B$10),AND($B$9="inferior",D2066&lt;-$B$10)),"Rechazar H0","No rechazar H0")</f>
        <v>No rechazar H0</v>
      </c>
      <c r="F2066" s="0" t="str">
        <f aca="false">IF(AND(B2066="H0 verdadera",E2066="Rechazar H0"),"Error tipo I",IF(AND(B2066="Ha verdadera",E2066="No rechazar H0"),"Error tipo II","Decisión correcta"))</f>
        <v>Error tipo II</v>
      </c>
    </row>
    <row r="2067" customFormat="false" ht="15" hidden="false" customHeight="false" outlineLevel="0" collapsed="false">
      <c r="A2067" s="0" t="n">
        <v>2046</v>
      </c>
      <c r="B2067" s="0" t="s">
        <v>86</v>
      </c>
      <c r="C2067" s="17" t="n">
        <v>-0.234907344948155</v>
      </c>
      <c r="D2067" s="17" t="n">
        <f aca="false">(C2067-$B$4)/($B$6/SQRT($B$7))</f>
        <v>-1.17453672474077</v>
      </c>
      <c r="E2067" s="0" t="str">
        <f aca="false">IF(OR(AND($B$9="superior",D2067&gt;$B$10),AND($B$9="inferior",D2067&lt;-$B$10)),"Rechazar H0","No rechazar H0")</f>
        <v>No rechazar H0</v>
      </c>
      <c r="F2067" s="0" t="str">
        <f aca="false">IF(AND(B2067="H0 verdadera",E2067="Rechazar H0"),"Error tipo I",IF(AND(B2067="Ha verdadera",E2067="No rechazar H0"),"Error tipo II","Decisión correcta"))</f>
        <v>Error tipo II</v>
      </c>
    </row>
    <row r="2068" customFormat="false" ht="15" hidden="false" customHeight="false" outlineLevel="0" collapsed="false">
      <c r="A2068" s="0" t="n">
        <v>2047</v>
      </c>
      <c r="B2068" s="0" t="s">
        <v>86</v>
      </c>
      <c r="C2068" s="17" t="n">
        <v>-0.433050428174281</v>
      </c>
      <c r="D2068" s="17" t="n">
        <f aca="false">(C2068-$B$4)/($B$6/SQRT($B$7))</f>
        <v>-2.1652521408714</v>
      </c>
      <c r="E2068" s="0" t="str">
        <f aca="false">IF(OR(AND($B$9="superior",D2068&gt;$B$10),AND($B$9="inferior",D2068&lt;-$B$10)),"Rechazar H0","No rechazar H0")</f>
        <v>Rechazar H0</v>
      </c>
      <c r="F2068" s="0" t="str">
        <f aca="false">IF(AND(B2068="H0 verdadera",E2068="Rechazar H0"),"Error tipo I",IF(AND(B2068="Ha verdadera",E2068="No rechazar H0"),"Error tipo II","Decisión correcta"))</f>
        <v>Decisión correcta</v>
      </c>
    </row>
    <row r="2069" customFormat="false" ht="15" hidden="false" customHeight="false" outlineLevel="0" collapsed="false">
      <c r="A2069" s="0" t="n">
        <v>2048</v>
      </c>
      <c r="B2069" s="0" t="s">
        <v>86</v>
      </c>
      <c r="C2069" s="17" t="n">
        <v>-0.380335594122947</v>
      </c>
      <c r="D2069" s="17" t="n">
        <f aca="false">(C2069-$B$4)/($B$6/SQRT($B$7))</f>
        <v>-1.90167797061473</v>
      </c>
      <c r="E2069" s="0" t="str">
        <f aca="false">IF(OR(AND($B$9="superior",D2069&gt;$B$10),AND($B$9="inferior",D2069&lt;-$B$10)),"Rechazar H0","No rechazar H0")</f>
        <v>Rechazar H0</v>
      </c>
      <c r="F2069" s="0" t="str">
        <f aca="false">IF(AND(B2069="H0 verdadera",E2069="Rechazar H0"),"Error tipo I",IF(AND(B2069="Ha verdadera",E2069="No rechazar H0"),"Error tipo II","Decisión correcta"))</f>
        <v>Decisión correcta</v>
      </c>
    </row>
    <row r="2070" customFormat="false" ht="15" hidden="false" customHeight="false" outlineLevel="0" collapsed="false">
      <c r="A2070" s="0" t="n">
        <v>2049</v>
      </c>
      <c r="B2070" s="0" t="s">
        <v>86</v>
      </c>
      <c r="C2070" s="17" t="n">
        <v>-0.0633882800261839</v>
      </c>
      <c r="D2070" s="17" t="n">
        <f aca="false">(C2070-$B$4)/($B$6/SQRT($B$7))</f>
        <v>-0.316941400130919</v>
      </c>
      <c r="E2070" s="0" t="str">
        <f aca="false">IF(OR(AND($B$9="superior",D2070&gt;$B$10),AND($B$9="inferior",D2070&lt;-$B$10)),"Rechazar H0","No rechazar H0")</f>
        <v>No rechazar H0</v>
      </c>
      <c r="F2070" s="0" t="str">
        <f aca="false">IF(AND(B2070="H0 verdadera",E2070="Rechazar H0"),"Error tipo I",IF(AND(B2070="Ha verdadera",E2070="No rechazar H0"),"Error tipo II","Decisión correcta"))</f>
        <v>Error tipo II</v>
      </c>
    </row>
    <row r="2071" customFormat="false" ht="15" hidden="false" customHeight="false" outlineLevel="0" collapsed="false">
      <c r="A2071" s="0" t="n">
        <v>2050</v>
      </c>
      <c r="B2071" s="0" t="s">
        <v>86</v>
      </c>
      <c r="C2071" s="17" t="n">
        <v>-0.507310969023774</v>
      </c>
      <c r="D2071" s="17" t="n">
        <f aca="false">(C2071-$B$4)/($B$6/SQRT($B$7))</f>
        <v>-2.53655484511887</v>
      </c>
      <c r="E2071" s="0" t="str">
        <f aca="false">IF(OR(AND($B$9="superior",D2071&gt;$B$10),AND($B$9="inferior",D2071&lt;-$B$10)),"Rechazar H0","No rechazar H0")</f>
        <v>Rechazar H0</v>
      </c>
      <c r="F2071" s="0" t="str">
        <f aca="false">IF(AND(B2071="H0 verdadera",E2071="Rechazar H0"),"Error tipo I",IF(AND(B2071="Ha verdadera",E2071="No rechazar H0"),"Error tipo II","Decisión correcta"))</f>
        <v>Decisión correcta</v>
      </c>
    </row>
    <row r="2072" customFormat="false" ht="15" hidden="false" customHeight="false" outlineLevel="0" collapsed="false">
      <c r="A2072" s="0" t="n">
        <v>2051</v>
      </c>
      <c r="B2072" s="0" t="s">
        <v>85</v>
      </c>
      <c r="C2072" s="17" t="n">
        <v>-0.0309313420258</v>
      </c>
      <c r="D2072" s="17" t="n">
        <f aca="false">(C2072-$B$4)/($B$6/SQRT($B$7))</f>
        <v>-0.154656710129</v>
      </c>
      <c r="E2072" s="0" t="str">
        <f aca="false">IF(OR(AND($B$9="superior",D2072&gt;$B$10),AND($B$9="inferior",D2072&lt;-$B$10)),"Rechazar H0","No rechazar H0")</f>
        <v>No rechazar H0</v>
      </c>
      <c r="F2072" s="0" t="str">
        <f aca="false">IF(AND(B2072="H0 verdadera",E2072="Rechazar H0"),"Error tipo I",IF(AND(B2072="Ha verdadera",E2072="No rechazar H0"),"Error tipo II","Decisión correcta"))</f>
        <v>Decisión correcta</v>
      </c>
    </row>
    <row r="2073" customFormat="false" ht="15" hidden="false" customHeight="false" outlineLevel="0" collapsed="false">
      <c r="A2073" s="0" t="n">
        <v>2052</v>
      </c>
      <c r="B2073" s="0" t="s">
        <v>86</v>
      </c>
      <c r="C2073" s="17" t="n">
        <v>-0.449083144910371</v>
      </c>
      <c r="D2073" s="17" t="n">
        <f aca="false">(C2073-$B$4)/($B$6/SQRT($B$7))</f>
        <v>-2.24541572455186</v>
      </c>
      <c r="E2073" s="0" t="str">
        <f aca="false">IF(OR(AND($B$9="superior",D2073&gt;$B$10),AND($B$9="inferior",D2073&lt;-$B$10)),"Rechazar H0","No rechazar H0")</f>
        <v>Rechazar H0</v>
      </c>
      <c r="F2073" s="0" t="str">
        <f aca="false">IF(AND(B2073="H0 verdadera",E2073="Rechazar H0"),"Error tipo I",IF(AND(B2073="Ha verdadera",E2073="No rechazar H0"),"Error tipo II","Decisión correcta"))</f>
        <v>Decisión correcta</v>
      </c>
    </row>
    <row r="2074" customFormat="false" ht="15" hidden="false" customHeight="false" outlineLevel="0" collapsed="false">
      <c r="A2074" s="0" t="n">
        <v>2053</v>
      </c>
      <c r="B2074" s="0" t="s">
        <v>86</v>
      </c>
      <c r="C2074" s="17" t="n">
        <v>-0.520364910137508</v>
      </c>
      <c r="D2074" s="17" t="n">
        <f aca="false">(C2074-$B$4)/($B$6/SQRT($B$7))</f>
        <v>-2.60182455068754</v>
      </c>
      <c r="E2074" s="0" t="str">
        <f aca="false">IF(OR(AND($B$9="superior",D2074&gt;$B$10),AND($B$9="inferior",D2074&lt;-$B$10)),"Rechazar H0","No rechazar H0")</f>
        <v>Rechazar H0</v>
      </c>
      <c r="F2074" s="0" t="str">
        <f aca="false">IF(AND(B2074="H0 verdadera",E2074="Rechazar H0"),"Error tipo I",IF(AND(B2074="Ha verdadera",E2074="No rechazar H0"),"Error tipo II","Decisión correcta"))</f>
        <v>Decisión correcta</v>
      </c>
    </row>
    <row r="2075" customFormat="false" ht="15" hidden="false" customHeight="false" outlineLevel="0" collapsed="false">
      <c r="A2075" s="0" t="n">
        <v>2054</v>
      </c>
      <c r="B2075" s="0" t="s">
        <v>85</v>
      </c>
      <c r="C2075" s="17" t="n">
        <v>0.283829922007368</v>
      </c>
      <c r="D2075" s="17" t="n">
        <f aca="false">(C2075-$B$4)/($B$6/SQRT($B$7))</f>
        <v>1.41914961003684</v>
      </c>
      <c r="E2075" s="0" t="str">
        <f aca="false">IF(OR(AND($B$9="superior",D2075&gt;$B$10),AND($B$9="inferior",D2075&lt;-$B$10)),"Rechazar H0","No rechazar H0")</f>
        <v>No rechazar H0</v>
      </c>
      <c r="F2075" s="0" t="str">
        <f aca="false">IF(AND(B2075="H0 verdadera",E2075="Rechazar H0"),"Error tipo I",IF(AND(B2075="Ha verdadera",E2075="No rechazar H0"),"Error tipo II","Decisión correcta"))</f>
        <v>Decisión correcta</v>
      </c>
    </row>
    <row r="2076" customFormat="false" ht="15" hidden="false" customHeight="false" outlineLevel="0" collapsed="false">
      <c r="A2076" s="0" t="n">
        <v>2055</v>
      </c>
      <c r="B2076" s="0" t="s">
        <v>85</v>
      </c>
      <c r="C2076" s="17" t="n">
        <v>0.372199506500216</v>
      </c>
      <c r="D2076" s="17" t="n">
        <f aca="false">(C2076-$B$4)/($B$6/SQRT($B$7))</f>
        <v>1.86099753250108</v>
      </c>
      <c r="E2076" s="0" t="str">
        <f aca="false">IF(OR(AND($B$9="superior",D2076&gt;$B$10),AND($B$9="inferior",D2076&lt;-$B$10)),"Rechazar H0","No rechazar H0")</f>
        <v>No rechazar H0</v>
      </c>
      <c r="F2076" s="0" t="str">
        <f aca="false">IF(AND(B2076="H0 verdadera",E2076="Rechazar H0"),"Error tipo I",IF(AND(B2076="Ha verdadera",E2076="No rechazar H0"),"Error tipo II","Decisión correcta"))</f>
        <v>Decisión correcta</v>
      </c>
    </row>
    <row r="2077" customFormat="false" ht="15" hidden="false" customHeight="false" outlineLevel="0" collapsed="false">
      <c r="A2077" s="0" t="n">
        <v>2056</v>
      </c>
      <c r="B2077" s="0" t="s">
        <v>85</v>
      </c>
      <c r="C2077" s="17" t="n">
        <v>0.281450070880164</v>
      </c>
      <c r="D2077" s="17" t="n">
        <f aca="false">(C2077-$B$4)/($B$6/SQRT($B$7))</f>
        <v>1.40725035440082</v>
      </c>
      <c r="E2077" s="0" t="str">
        <f aca="false">IF(OR(AND($B$9="superior",D2077&gt;$B$10),AND($B$9="inferior",D2077&lt;-$B$10)),"Rechazar H0","No rechazar H0")</f>
        <v>No rechazar H0</v>
      </c>
      <c r="F2077" s="0" t="str">
        <f aca="false">IF(AND(B2077="H0 verdadera",E2077="Rechazar H0"),"Error tipo I",IF(AND(B2077="Ha verdadera",E2077="No rechazar H0"),"Error tipo II","Decisión correcta"))</f>
        <v>Decisión correcta</v>
      </c>
    </row>
    <row r="2078" customFormat="false" ht="15" hidden="false" customHeight="false" outlineLevel="0" collapsed="false">
      <c r="A2078" s="0" t="n">
        <v>2057</v>
      </c>
      <c r="B2078" s="0" t="s">
        <v>86</v>
      </c>
      <c r="C2078" s="17" t="n">
        <v>-0.342642159217564</v>
      </c>
      <c r="D2078" s="17" t="n">
        <f aca="false">(C2078-$B$4)/($B$6/SQRT($B$7))</f>
        <v>-1.71321079608782</v>
      </c>
      <c r="E2078" s="0" t="str">
        <f aca="false">IF(OR(AND($B$9="superior",D2078&gt;$B$10),AND($B$9="inferior",D2078&lt;-$B$10)),"Rechazar H0","No rechazar H0")</f>
        <v>Rechazar H0</v>
      </c>
      <c r="F2078" s="0" t="str">
        <f aca="false">IF(AND(B2078="H0 verdadera",E2078="Rechazar H0"),"Error tipo I",IF(AND(B2078="Ha verdadera",E2078="No rechazar H0"),"Error tipo II","Decisión correcta"))</f>
        <v>Decisión correcta</v>
      </c>
    </row>
    <row r="2079" customFormat="false" ht="15" hidden="false" customHeight="false" outlineLevel="0" collapsed="false">
      <c r="A2079" s="0" t="n">
        <v>2058</v>
      </c>
      <c r="B2079" s="0" t="s">
        <v>85</v>
      </c>
      <c r="C2079" s="17" t="n">
        <v>0.188268261562561</v>
      </c>
      <c r="D2079" s="17" t="n">
        <f aca="false">(C2079-$B$4)/($B$6/SQRT($B$7))</f>
        <v>0.941341307812807</v>
      </c>
      <c r="E2079" s="0" t="str">
        <f aca="false">IF(OR(AND($B$9="superior",D2079&gt;$B$10),AND($B$9="inferior",D2079&lt;-$B$10)),"Rechazar H0","No rechazar H0")</f>
        <v>No rechazar H0</v>
      </c>
      <c r="F2079" s="0" t="str">
        <f aca="false">IF(AND(B2079="H0 verdadera",E2079="Rechazar H0"),"Error tipo I",IF(AND(B2079="Ha verdadera",E2079="No rechazar H0"),"Error tipo II","Decisión correcta"))</f>
        <v>Decisión correcta</v>
      </c>
    </row>
    <row r="2080" customFormat="false" ht="15" hidden="false" customHeight="false" outlineLevel="0" collapsed="false">
      <c r="A2080" s="0" t="n">
        <v>2059</v>
      </c>
      <c r="B2080" s="0" t="s">
        <v>86</v>
      </c>
      <c r="C2080" s="17" t="n">
        <v>-0.877599073123402</v>
      </c>
      <c r="D2080" s="17" t="n">
        <f aca="false">(C2080-$B$4)/($B$6/SQRT($B$7))</f>
        <v>-4.38799536561701</v>
      </c>
      <c r="E2080" s="0" t="str">
        <f aca="false">IF(OR(AND($B$9="superior",D2080&gt;$B$10),AND($B$9="inferior",D2080&lt;-$B$10)),"Rechazar H0","No rechazar H0")</f>
        <v>Rechazar H0</v>
      </c>
      <c r="F2080" s="0" t="str">
        <f aca="false">IF(AND(B2080="H0 verdadera",E2080="Rechazar H0"),"Error tipo I",IF(AND(B2080="Ha verdadera",E2080="No rechazar H0"),"Error tipo II","Decisión correcta"))</f>
        <v>Decisión correcta</v>
      </c>
    </row>
    <row r="2081" customFormat="false" ht="15" hidden="false" customHeight="false" outlineLevel="0" collapsed="false">
      <c r="A2081" s="0" t="n">
        <v>2060</v>
      </c>
      <c r="B2081" s="0" t="s">
        <v>86</v>
      </c>
      <c r="C2081" s="17" t="n">
        <v>-0.562197290660154</v>
      </c>
      <c r="D2081" s="17" t="n">
        <f aca="false">(C2081-$B$4)/($B$6/SQRT($B$7))</f>
        <v>-2.81098645330077</v>
      </c>
      <c r="E2081" s="0" t="str">
        <f aca="false">IF(OR(AND($B$9="superior",D2081&gt;$B$10),AND($B$9="inferior",D2081&lt;-$B$10)),"Rechazar H0","No rechazar H0")</f>
        <v>Rechazar H0</v>
      </c>
      <c r="F2081" s="0" t="str">
        <f aca="false">IF(AND(B2081="H0 verdadera",E2081="Rechazar H0"),"Error tipo I",IF(AND(B2081="Ha verdadera",E2081="No rechazar H0"),"Error tipo II","Decisión correcta"))</f>
        <v>Decisión correcta</v>
      </c>
    </row>
    <row r="2082" customFormat="false" ht="15" hidden="false" customHeight="false" outlineLevel="0" collapsed="false">
      <c r="A2082" s="0" t="n">
        <v>2061</v>
      </c>
      <c r="B2082" s="0" t="s">
        <v>86</v>
      </c>
      <c r="C2082" s="17" t="n">
        <v>-0.28034351743083</v>
      </c>
      <c r="D2082" s="17" t="n">
        <f aca="false">(C2082-$B$4)/($B$6/SQRT($B$7))</f>
        <v>-1.40171758715415</v>
      </c>
      <c r="E2082" s="0" t="str">
        <f aca="false">IF(OR(AND($B$9="superior",D2082&gt;$B$10),AND($B$9="inferior",D2082&lt;-$B$10)),"Rechazar H0","No rechazar H0")</f>
        <v>No rechazar H0</v>
      </c>
      <c r="F2082" s="0" t="str">
        <f aca="false">IF(AND(B2082="H0 verdadera",E2082="Rechazar H0"),"Error tipo I",IF(AND(B2082="Ha verdadera",E2082="No rechazar H0"),"Error tipo II","Decisión correcta"))</f>
        <v>Error tipo II</v>
      </c>
    </row>
    <row r="2083" customFormat="false" ht="15" hidden="false" customHeight="false" outlineLevel="0" collapsed="false">
      <c r="A2083" s="0" t="n">
        <v>2062</v>
      </c>
      <c r="B2083" s="0" t="s">
        <v>85</v>
      </c>
      <c r="C2083" s="17" t="n">
        <v>0.158385303895834</v>
      </c>
      <c r="D2083" s="17" t="n">
        <f aca="false">(C2083-$B$4)/($B$6/SQRT($B$7))</f>
        <v>0.791926519479168</v>
      </c>
      <c r="E2083" s="0" t="str">
        <f aca="false">IF(OR(AND($B$9="superior",D2083&gt;$B$10),AND($B$9="inferior",D2083&lt;-$B$10)),"Rechazar H0","No rechazar H0")</f>
        <v>No rechazar H0</v>
      </c>
      <c r="F2083" s="0" t="str">
        <f aca="false">IF(AND(B2083="H0 verdadera",E2083="Rechazar H0"),"Error tipo I",IF(AND(B2083="Ha verdadera",E2083="No rechazar H0"),"Error tipo II","Decisión correcta"))</f>
        <v>Decisión correcta</v>
      </c>
    </row>
    <row r="2084" customFormat="false" ht="15" hidden="false" customHeight="false" outlineLevel="0" collapsed="false">
      <c r="A2084" s="0" t="n">
        <v>2063</v>
      </c>
      <c r="B2084" s="0" t="s">
        <v>86</v>
      </c>
      <c r="C2084" s="17" t="n">
        <v>-0.621295977038486</v>
      </c>
      <c r="D2084" s="17" t="n">
        <f aca="false">(C2084-$B$4)/($B$6/SQRT($B$7))</f>
        <v>-3.10647988519243</v>
      </c>
      <c r="E2084" s="0" t="str">
        <f aca="false">IF(OR(AND($B$9="superior",D2084&gt;$B$10),AND($B$9="inferior",D2084&lt;-$B$10)),"Rechazar H0","No rechazar H0")</f>
        <v>Rechazar H0</v>
      </c>
      <c r="F2084" s="0" t="str">
        <f aca="false">IF(AND(B2084="H0 verdadera",E2084="Rechazar H0"),"Error tipo I",IF(AND(B2084="Ha verdadera",E2084="No rechazar H0"),"Error tipo II","Decisión correcta"))</f>
        <v>Decisión correcta</v>
      </c>
    </row>
    <row r="2085" customFormat="false" ht="15" hidden="false" customHeight="false" outlineLevel="0" collapsed="false">
      <c r="A2085" s="0" t="n">
        <v>2064</v>
      </c>
      <c r="B2085" s="0" t="s">
        <v>86</v>
      </c>
      <c r="C2085" s="17" t="n">
        <v>-0.563815633388543</v>
      </c>
      <c r="D2085" s="17" t="n">
        <f aca="false">(C2085-$B$4)/($B$6/SQRT($B$7))</f>
        <v>-2.81907816694271</v>
      </c>
      <c r="E2085" s="0" t="str">
        <f aca="false">IF(OR(AND($B$9="superior",D2085&gt;$B$10),AND($B$9="inferior",D2085&lt;-$B$10)),"Rechazar H0","No rechazar H0")</f>
        <v>Rechazar H0</v>
      </c>
      <c r="F2085" s="0" t="str">
        <f aca="false">IF(AND(B2085="H0 verdadera",E2085="Rechazar H0"),"Error tipo I",IF(AND(B2085="Ha verdadera",E2085="No rechazar H0"),"Error tipo II","Decisión correcta"))</f>
        <v>Decisión correcta</v>
      </c>
    </row>
    <row r="2086" customFormat="false" ht="15" hidden="false" customHeight="false" outlineLevel="0" collapsed="false">
      <c r="A2086" s="0" t="n">
        <v>2065</v>
      </c>
      <c r="B2086" s="0" t="s">
        <v>86</v>
      </c>
      <c r="C2086" s="17" t="n">
        <v>-0.590334908778064</v>
      </c>
      <c r="D2086" s="17" t="n">
        <f aca="false">(C2086-$B$4)/($B$6/SQRT($B$7))</f>
        <v>-2.95167454389032</v>
      </c>
      <c r="E2086" s="0" t="str">
        <f aca="false">IF(OR(AND($B$9="superior",D2086&gt;$B$10),AND($B$9="inferior",D2086&lt;-$B$10)),"Rechazar H0","No rechazar H0")</f>
        <v>Rechazar H0</v>
      </c>
      <c r="F2086" s="0" t="str">
        <f aca="false">IF(AND(B2086="H0 verdadera",E2086="Rechazar H0"),"Error tipo I",IF(AND(B2086="Ha verdadera",E2086="No rechazar H0"),"Error tipo II","Decisión correcta"))</f>
        <v>Decisión correcta</v>
      </c>
    </row>
    <row r="2087" customFormat="false" ht="15" hidden="false" customHeight="false" outlineLevel="0" collapsed="false">
      <c r="A2087" s="0" t="n">
        <v>2066</v>
      </c>
      <c r="B2087" s="0" t="s">
        <v>85</v>
      </c>
      <c r="C2087" s="17" t="n">
        <v>0.00823035943322679</v>
      </c>
      <c r="D2087" s="17" t="n">
        <f aca="false">(C2087-$B$4)/($B$6/SQRT($B$7))</f>
        <v>0.0411517971661339</v>
      </c>
      <c r="E2087" s="0" t="str">
        <f aca="false">IF(OR(AND($B$9="superior",D2087&gt;$B$10),AND($B$9="inferior",D2087&lt;-$B$10)),"Rechazar H0","No rechazar H0")</f>
        <v>No rechazar H0</v>
      </c>
      <c r="F2087" s="0" t="str">
        <f aca="false">IF(AND(B2087="H0 verdadera",E2087="Rechazar H0"),"Error tipo I",IF(AND(B2087="Ha verdadera",E2087="No rechazar H0"),"Error tipo II","Decisión correcta"))</f>
        <v>Decisión correcta</v>
      </c>
    </row>
    <row r="2088" customFormat="false" ht="15" hidden="false" customHeight="false" outlineLevel="0" collapsed="false">
      <c r="A2088" s="0" t="n">
        <v>2067</v>
      </c>
      <c r="B2088" s="0" t="s">
        <v>86</v>
      </c>
      <c r="C2088" s="17" t="n">
        <v>-0.614539530032658</v>
      </c>
      <c r="D2088" s="17" t="n">
        <f aca="false">(C2088-$B$4)/($B$6/SQRT($B$7))</f>
        <v>-3.07269765016329</v>
      </c>
      <c r="E2088" s="0" t="str">
        <f aca="false">IF(OR(AND($B$9="superior",D2088&gt;$B$10),AND($B$9="inferior",D2088&lt;-$B$10)),"Rechazar H0","No rechazar H0")</f>
        <v>Rechazar H0</v>
      </c>
      <c r="F2088" s="0" t="str">
        <f aca="false">IF(AND(B2088="H0 verdadera",E2088="Rechazar H0"),"Error tipo I",IF(AND(B2088="Ha verdadera",E2088="No rechazar H0"),"Error tipo II","Decisión correcta"))</f>
        <v>Decisión correcta</v>
      </c>
    </row>
    <row r="2089" customFormat="false" ht="15" hidden="false" customHeight="false" outlineLevel="0" collapsed="false">
      <c r="A2089" s="0" t="n">
        <v>2068</v>
      </c>
      <c r="B2089" s="0" t="s">
        <v>86</v>
      </c>
      <c r="C2089" s="17" t="n">
        <v>-0.0684439260625516</v>
      </c>
      <c r="D2089" s="17" t="n">
        <f aca="false">(C2089-$B$4)/($B$6/SQRT($B$7))</f>
        <v>-0.342219630312758</v>
      </c>
      <c r="E2089" s="0" t="str">
        <f aca="false">IF(OR(AND($B$9="superior",D2089&gt;$B$10),AND($B$9="inferior",D2089&lt;-$B$10)),"Rechazar H0","No rechazar H0")</f>
        <v>No rechazar H0</v>
      </c>
      <c r="F2089" s="0" t="str">
        <f aca="false">IF(AND(B2089="H0 verdadera",E2089="Rechazar H0"),"Error tipo I",IF(AND(B2089="Ha verdadera",E2089="No rechazar H0"),"Error tipo II","Decisión correcta"))</f>
        <v>Error tipo II</v>
      </c>
    </row>
    <row r="2090" customFormat="false" ht="15" hidden="false" customHeight="false" outlineLevel="0" collapsed="false">
      <c r="A2090" s="0" t="n">
        <v>2069</v>
      </c>
      <c r="B2090" s="0" t="s">
        <v>85</v>
      </c>
      <c r="C2090" s="17" t="n">
        <v>0.348271999991697</v>
      </c>
      <c r="D2090" s="17" t="n">
        <f aca="false">(C2090-$B$4)/($B$6/SQRT($B$7))</f>
        <v>1.74135999995848</v>
      </c>
      <c r="E2090" s="0" t="str">
        <f aca="false">IF(OR(AND($B$9="superior",D2090&gt;$B$10),AND($B$9="inferior",D2090&lt;-$B$10)),"Rechazar H0","No rechazar H0")</f>
        <v>No rechazar H0</v>
      </c>
      <c r="F2090" s="0" t="str">
        <f aca="false">IF(AND(B2090="H0 verdadera",E2090="Rechazar H0"),"Error tipo I",IF(AND(B2090="Ha verdadera",E2090="No rechazar H0"),"Error tipo II","Decisión correcta"))</f>
        <v>Decisión correcta</v>
      </c>
    </row>
    <row r="2091" customFormat="false" ht="15" hidden="false" customHeight="false" outlineLevel="0" collapsed="false">
      <c r="A2091" s="0" t="n">
        <v>2070</v>
      </c>
      <c r="B2091" s="0" t="s">
        <v>85</v>
      </c>
      <c r="C2091" s="17" t="n">
        <v>0.380315122381947</v>
      </c>
      <c r="D2091" s="17" t="n">
        <f aca="false">(C2091-$B$4)/($B$6/SQRT($B$7))</f>
        <v>1.90157561190973</v>
      </c>
      <c r="E2091" s="0" t="str">
        <f aca="false">IF(OR(AND($B$9="superior",D2091&gt;$B$10),AND($B$9="inferior",D2091&lt;-$B$10)),"Rechazar H0","No rechazar H0")</f>
        <v>No rechazar H0</v>
      </c>
      <c r="F2091" s="0" t="str">
        <f aca="false">IF(AND(B2091="H0 verdadera",E2091="Rechazar H0"),"Error tipo I",IF(AND(B2091="Ha verdadera",E2091="No rechazar H0"),"Error tipo II","Decisión correcta"))</f>
        <v>Decisión correcta</v>
      </c>
    </row>
    <row r="2092" customFormat="false" ht="15" hidden="false" customHeight="false" outlineLevel="0" collapsed="false">
      <c r="A2092" s="0" t="n">
        <v>2071</v>
      </c>
      <c r="B2092" s="0" t="s">
        <v>85</v>
      </c>
      <c r="C2092" s="17" t="n">
        <v>0.490223325550801</v>
      </c>
      <c r="D2092" s="17" t="n">
        <f aca="false">(C2092-$B$4)/($B$6/SQRT($B$7))</f>
        <v>2.45111662775401</v>
      </c>
      <c r="E2092" s="0" t="str">
        <f aca="false">IF(OR(AND($B$9="superior",D2092&gt;$B$10),AND($B$9="inferior",D2092&lt;-$B$10)),"Rechazar H0","No rechazar H0")</f>
        <v>No rechazar H0</v>
      </c>
      <c r="F2092" s="0" t="str">
        <f aca="false">IF(AND(B2092="H0 verdadera",E2092="Rechazar H0"),"Error tipo I",IF(AND(B2092="Ha verdadera",E2092="No rechazar H0"),"Error tipo II","Decisión correcta"))</f>
        <v>Decisión correcta</v>
      </c>
    </row>
    <row r="2093" customFormat="false" ht="15" hidden="false" customHeight="false" outlineLevel="0" collapsed="false">
      <c r="A2093" s="0" t="n">
        <v>2072</v>
      </c>
      <c r="B2093" s="0" t="s">
        <v>85</v>
      </c>
      <c r="C2093" s="17" t="n">
        <v>-0.252711939233457</v>
      </c>
      <c r="D2093" s="17" t="n">
        <f aca="false">(C2093-$B$4)/($B$6/SQRT($B$7))</f>
        <v>-1.26355969616728</v>
      </c>
      <c r="E2093" s="0" t="str">
        <f aca="false">IF(OR(AND($B$9="superior",D2093&gt;$B$10),AND($B$9="inferior",D2093&lt;-$B$10)),"Rechazar H0","No rechazar H0")</f>
        <v>No rechazar H0</v>
      </c>
      <c r="F2093" s="0" t="str">
        <f aca="false">IF(AND(B2093="H0 verdadera",E2093="Rechazar H0"),"Error tipo I",IF(AND(B2093="Ha verdadera",E2093="No rechazar H0"),"Error tipo II","Decisión correcta"))</f>
        <v>Decisión correcta</v>
      </c>
    </row>
    <row r="2094" customFormat="false" ht="15" hidden="false" customHeight="false" outlineLevel="0" collapsed="false">
      <c r="A2094" s="0" t="n">
        <v>2073</v>
      </c>
      <c r="B2094" s="0" t="s">
        <v>85</v>
      </c>
      <c r="C2094" s="17" t="n">
        <v>0.238671945928334</v>
      </c>
      <c r="D2094" s="17" t="n">
        <f aca="false">(C2094-$B$4)/($B$6/SQRT($B$7))</f>
        <v>1.19335972964167</v>
      </c>
      <c r="E2094" s="0" t="str">
        <f aca="false">IF(OR(AND($B$9="superior",D2094&gt;$B$10),AND($B$9="inferior",D2094&lt;-$B$10)),"Rechazar H0","No rechazar H0")</f>
        <v>No rechazar H0</v>
      </c>
      <c r="F2094" s="0" t="str">
        <f aca="false">IF(AND(B2094="H0 verdadera",E2094="Rechazar H0"),"Error tipo I",IF(AND(B2094="Ha verdadera",E2094="No rechazar H0"),"Error tipo II","Decisión correcta"))</f>
        <v>Decisión correcta</v>
      </c>
    </row>
    <row r="2095" customFormat="false" ht="15" hidden="false" customHeight="false" outlineLevel="0" collapsed="false">
      <c r="A2095" s="0" t="n">
        <v>2074</v>
      </c>
      <c r="B2095" s="0" t="s">
        <v>85</v>
      </c>
      <c r="C2095" s="17" t="n">
        <v>-0.158287244541101</v>
      </c>
      <c r="D2095" s="17" t="n">
        <f aca="false">(C2095-$B$4)/($B$6/SQRT($B$7))</f>
        <v>-0.791436222705503</v>
      </c>
      <c r="E2095" s="0" t="str">
        <f aca="false">IF(OR(AND($B$9="superior",D2095&gt;$B$10),AND($B$9="inferior",D2095&lt;-$B$10)),"Rechazar H0","No rechazar H0")</f>
        <v>No rechazar H0</v>
      </c>
      <c r="F2095" s="0" t="str">
        <f aca="false">IF(AND(B2095="H0 verdadera",E2095="Rechazar H0"),"Error tipo I",IF(AND(B2095="Ha verdadera",E2095="No rechazar H0"),"Error tipo II","Decisión correcta"))</f>
        <v>Decisión correcta</v>
      </c>
    </row>
    <row r="2096" customFormat="false" ht="15" hidden="false" customHeight="false" outlineLevel="0" collapsed="false">
      <c r="A2096" s="0" t="n">
        <v>2075</v>
      </c>
      <c r="B2096" s="0" t="s">
        <v>86</v>
      </c>
      <c r="C2096" s="17" t="n">
        <v>-0.699476621108373</v>
      </c>
      <c r="D2096" s="17" t="n">
        <f aca="false">(C2096-$B$4)/($B$6/SQRT($B$7))</f>
        <v>-3.49738310554186</v>
      </c>
      <c r="E2096" s="0" t="str">
        <f aca="false">IF(OR(AND($B$9="superior",D2096&gt;$B$10),AND($B$9="inferior",D2096&lt;-$B$10)),"Rechazar H0","No rechazar H0")</f>
        <v>Rechazar H0</v>
      </c>
      <c r="F2096" s="0" t="str">
        <f aca="false">IF(AND(B2096="H0 verdadera",E2096="Rechazar H0"),"Error tipo I",IF(AND(B2096="Ha verdadera",E2096="No rechazar H0"),"Error tipo II","Decisión correcta"))</f>
        <v>Decisión correcta</v>
      </c>
    </row>
    <row r="2097" customFormat="false" ht="15" hidden="false" customHeight="false" outlineLevel="0" collapsed="false">
      <c r="A2097" s="0" t="n">
        <v>2076</v>
      </c>
      <c r="B2097" s="0" t="s">
        <v>86</v>
      </c>
      <c r="C2097" s="17" t="n">
        <v>-0.63507668583219</v>
      </c>
      <c r="D2097" s="17" t="n">
        <f aca="false">(C2097-$B$4)/($B$6/SQRT($B$7))</f>
        <v>-3.17538342916095</v>
      </c>
      <c r="E2097" s="0" t="str">
        <f aca="false">IF(OR(AND($B$9="superior",D2097&gt;$B$10),AND($B$9="inferior",D2097&lt;-$B$10)),"Rechazar H0","No rechazar H0")</f>
        <v>Rechazar H0</v>
      </c>
      <c r="F2097" s="0" t="str">
        <f aca="false">IF(AND(B2097="H0 verdadera",E2097="Rechazar H0"),"Error tipo I",IF(AND(B2097="Ha verdadera",E2097="No rechazar H0"),"Error tipo II","Decisión correcta"))</f>
        <v>Decisión correcta</v>
      </c>
    </row>
    <row r="2098" customFormat="false" ht="15" hidden="false" customHeight="false" outlineLevel="0" collapsed="false">
      <c r="A2098" s="0" t="n">
        <v>2077</v>
      </c>
      <c r="B2098" s="0" t="s">
        <v>85</v>
      </c>
      <c r="C2098" s="17" t="n">
        <v>-0.120350654853205</v>
      </c>
      <c r="D2098" s="17" t="n">
        <f aca="false">(C2098-$B$4)/($B$6/SQRT($B$7))</f>
        <v>-0.601753274266024</v>
      </c>
      <c r="E2098" s="0" t="str">
        <f aca="false">IF(OR(AND($B$9="superior",D2098&gt;$B$10),AND($B$9="inferior",D2098&lt;-$B$10)),"Rechazar H0","No rechazar H0")</f>
        <v>No rechazar H0</v>
      </c>
      <c r="F2098" s="0" t="str">
        <f aca="false">IF(AND(B2098="H0 verdadera",E2098="Rechazar H0"),"Error tipo I",IF(AND(B2098="Ha verdadera",E2098="No rechazar H0"),"Error tipo II","Decisión correcta"))</f>
        <v>Decisión correcta</v>
      </c>
    </row>
    <row r="2099" customFormat="false" ht="15" hidden="false" customHeight="false" outlineLevel="0" collapsed="false">
      <c r="A2099" s="0" t="n">
        <v>2078</v>
      </c>
      <c r="B2099" s="0" t="s">
        <v>86</v>
      </c>
      <c r="C2099" s="17" t="n">
        <v>-0.791601445231947</v>
      </c>
      <c r="D2099" s="17" t="n">
        <f aca="false">(C2099-$B$4)/($B$6/SQRT($B$7))</f>
        <v>-3.95800722615974</v>
      </c>
      <c r="E2099" s="0" t="str">
        <f aca="false">IF(OR(AND($B$9="superior",D2099&gt;$B$10),AND($B$9="inferior",D2099&lt;-$B$10)),"Rechazar H0","No rechazar H0")</f>
        <v>Rechazar H0</v>
      </c>
      <c r="F2099" s="0" t="str">
        <f aca="false">IF(AND(B2099="H0 verdadera",E2099="Rechazar H0"),"Error tipo I",IF(AND(B2099="Ha verdadera",E2099="No rechazar H0"),"Error tipo II","Decisión correcta"))</f>
        <v>Decisión correcta</v>
      </c>
    </row>
    <row r="2100" customFormat="false" ht="15" hidden="false" customHeight="false" outlineLevel="0" collapsed="false">
      <c r="A2100" s="0" t="n">
        <v>2079</v>
      </c>
      <c r="B2100" s="0" t="s">
        <v>86</v>
      </c>
      <c r="C2100" s="17" t="n">
        <v>-0.441156005966665</v>
      </c>
      <c r="D2100" s="17" t="n">
        <f aca="false">(C2100-$B$4)/($B$6/SQRT($B$7))</f>
        <v>-2.20578002983333</v>
      </c>
      <c r="E2100" s="0" t="str">
        <f aca="false">IF(OR(AND($B$9="superior",D2100&gt;$B$10),AND($B$9="inferior",D2100&lt;-$B$10)),"Rechazar H0","No rechazar H0")</f>
        <v>Rechazar H0</v>
      </c>
      <c r="F2100" s="0" t="str">
        <f aca="false">IF(AND(B2100="H0 verdadera",E2100="Rechazar H0"),"Error tipo I",IF(AND(B2100="Ha verdadera",E2100="No rechazar H0"),"Error tipo II","Decisión correcta"))</f>
        <v>Decisión correcta</v>
      </c>
    </row>
    <row r="2101" customFormat="false" ht="15" hidden="false" customHeight="false" outlineLevel="0" collapsed="false">
      <c r="A2101" s="0" t="n">
        <v>2080</v>
      </c>
      <c r="B2101" s="0" t="s">
        <v>85</v>
      </c>
      <c r="C2101" s="17" t="n">
        <v>0.286846569963339</v>
      </c>
      <c r="D2101" s="17" t="n">
        <f aca="false">(C2101-$B$4)/($B$6/SQRT($B$7))</f>
        <v>1.4342328498167</v>
      </c>
      <c r="E2101" s="0" t="str">
        <f aca="false">IF(OR(AND($B$9="superior",D2101&gt;$B$10),AND($B$9="inferior",D2101&lt;-$B$10)),"Rechazar H0","No rechazar H0")</f>
        <v>No rechazar H0</v>
      </c>
      <c r="F2101" s="0" t="str">
        <f aca="false">IF(AND(B2101="H0 verdadera",E2101="Rechazar H0"),"Error tipo I",IF(AND(B2101="Ha verdadera",E2101="No rechazar H0"),"Error tipo II","Decisión correcta"))</f>
        <v>Decisión correcta</v>
      </c>
    </row>
    <row r="2102" customFormat="false" ht="15" hidden="false" customHeight="false" outlineLevel="0" collapsed="false">
      <c r="A2102" s="0" t="n">
        <v>2081</v>
      </c>
      <c r="B2102" s="0" t="s">
        <v>85</v>
      </c>
      <c r="C2102" s="17" t="n">
        <v>0.213159867958063</v>
      </c>
      <c r="D2102" s="17" t="n">
        <f aca="false">(C2102-$B$4)/($B$6/SQRT($B$7))</f>
        <v>1.06579933979032</v>
      </c>
      <c r="E2102" s="0" t="str">
        <f aca="false">IF(OR(AND($B$9="superior",D2102&gt;$B$10),AND($B$9="inferior",D2102&lt;-$B$10)),"Rechazar H0","No rechazar H0")</f>
        <v>No rechazar H0</v>
      </c>
      <c r="F2102" s="0" t="str">
        <f aca="false">IF(AND(B2102="H0 verdadera",E2102="Rechazar H0"),"Error tipo I",IF(AND(B2102="Ha verdadera",E2102="No rechazar H0"),"Error tipo II","Decisión correcta"))</f>
        <v>Decisión correcta</v>
      </c>
    </row>
    <row r="2103" customFormat="false" ht="15" hidden="false" customHeight="false" outlineLevel="0" collapsed="false">
      <c r="A2103" s="0" t="n">
        <v>2082</v>
      </c>
      <c r="B2103" s="0" t="s">
        <v>85</v>
      </c>
      <c r="C2103" s="17" t="n">
        <v>-0.00614115703204559</v>
      </c>
      <c r="D2103" s="17" t="n">
        <f aca="false">(C2103-$B$4)/($B$6/SQRT($B$7))</f>
        <v>-0.0307057851602279</v>
      </c>
      <c r="E2103" s="0" t="str">
        <f aca="false">IF(OR(AND($B$9="superior",D2103&gt;$B$10),AND($B$9="inferior",D2103&lt;-$B$10)),"Rechazar H0","No rechazar H0")</f>
        <v>No rechazar H0</v>
      </c>
      <c r="F2103" s="0" t="str">
        <f aca="false">IF(AND(B2103="H0 verdadera",E2103="Rechazar H0"),"Error tipo I",IF(AND(B2103="Ha verdadera",E2103="No rechazar H0"),"Error tipo II","Decisión correcta"))</f>
        <v>Decisión correcta</v>
      </c>
    </row>
    <row r="2104" customFormat="false" ht="15" hidden="false" customHeight="false" outlineLevel="0" collapsed="false">
      <c r="A2104" s="0" t="n">
        <v>2083</v>
      </c>
      <c r="B2104" s="0" t="s">
        <v>85</v>
      </c>
      <c r="C2104" s="17" t="n">
        <v>-0.294139396376344</v>
      </c>
      <c r="D2104" s="17" t="n">
        <f aca="false">(C2104-$B$4)/($B$6/SQRT($B$7))</f>
        <v>-1.47069698188172</v>
      </c>
      <c r="E2104" s="0" t="str">
        <f aca="false">IF(OR(AND($B$9="superior",D2104&gt;$B$10),AND($B$9="inferior",D2104&lt;-$B$10)),"Rechazar H0","No rechazar H0")</f>
        <v>No rechazar H0</v>
      </c>
      <c r="F2104" s="0" t="str">
        <f aca="false">IF(AND(B2104="H0 verdadera",E2104="Rechazar H0"),"Error tipo I",IF(AND(B2104="Ha verdadera",E2104="No rechazar H0"),"Error tipo II","Decisión correcta"))</f>
        <v>Decisión correcta</v>
      </c>
    </row>
    <row r="2105" customFormat="false" ht="15" hidden="false" customHeight="false" outlineLevel="0" collapsed="false">
      <c r="A2105" s="0" t="n">
        <v>2084</v>
      </c>
      <c r="B2105" s="0" t="s">
        <v>85</v>
      </c>
      <c r="C2105" s="17" t="n">
        <v>-0.329126879118557</v>
      </c>
      <c r="D2105" s="17" t="n">
        <f aca="false">(C2105-$B$4)/($B$6/SQRT($B$7))</f>
        <v>-1.64563439559278</v>
      </c>
      <c r="E2105" s="0" t="str">
        <f aca="false">IF(OR(AND($B$9="superior",D2105&gt;$B$10),AND($B$9="inferior",D2105&lt;-$B$10)),"Rechazar H0","No rechazar H0")</f>
        <v>Rechazar H0</v>
      </c>
      <c r="F2105" s="0" t="str">
        <f aca="false">IF(AND(B2105="H0 verdadera",E2105="Rechazar H0"),"Error tipo I",IF(AND(B2105="Ha verdadera",E2105="No rechazar H0"),"Error tipo II","Decisión correcta"))</f>
        <v>Error tipo I</v>
      </c>
    </row>
    <row r="2106" customFormat="false" ht="15" hidden="false" customHeight="false" outlineLevel="0" collapsed="false">
      <c r="A2106" s="0" t="n">
        <v>2085</v>
      </c>
      <c r="B2106" s="0" t="s">
        <v>86</v>
      </c>
      <c r="C2106" s="17" t="n">
        <v>-0.489634087784184</v>
      </c>
      <c r="D2106" s="17" t="n">
        <f aca="false">(C2106-$B$4)/($B$6/SQRT($B$7))</f>
        <v>-2.44817043892092</v>
      </c>
      <c r="E2106" s="0" t="str">
        <f aca="false">IF(OR(AND($B$9="superior",D2106&gt;$B$10),AND($B$9="inferior",D2106&lt;-$B$10)),"Rechazar H0","No rechazar H0")</f>
        <v>Rechazar H0</v>
      </c>
      <c r="F2106" s="0" t="str">
        <f aca="false">IF(AND(B2106="H0 verdadera",E2106="Rechazar H0"),"Error tipo I",IF(AND(B2106="Ha verdadera",E2106="No rechazar H0"),"Error tipo II","Decisión correcta"))</f>
        <v>Decisión correcta</v>
      </c>
    </row>
    <row r="2107" customFormat="false" ht="15" hidden="false" customHeight="false" outlineLevel="0" collapsed="false">
      <c r="A2107" s="0" t="n">
        <v>2086</v>
      </c>
      <c r="B2107" s="0" t="s">
        <v>86</v>
      </c>
      <c r="C2107" s="17" t="n">
        <v>-0.276583348527613</v>
      </c>
      <c r="D2107" s="17" t="n">
        <f aca="false">(C2107-$B$4)/($B$6/SQRT($B$7))</f>
        <v>-1.38291674263807</v>
      </c>
      <c r="E2107" s="0" t="str">
        <f aca="false">IF(OR(AND($B$9="superior",D2107&gt;$B$10),AND($B$9="inferior",D2107&lt;-$B$10)),"Rechazar H0","No rechazar H0")</f>
        <v>No rechazar H0</v>
      </c>
      <c r="F2107" s="0" t="str">
        <f aca="false">IF(AND(B2107="H0 verdadera",E2107="Rechazar H0"),"Error tipo I",IF(AND(B2107="Ha verdadera",E2107="No rechazar H0"),"Error tipo II","Decisión correcta"))</f>
        <v>Error tipo II</v>
      </c>
    </row>
    <row r="2108" customFormat="false" ht="15" hidden="false" customHeight="false" outlineLevel="0" collapsed="false">
      <c r="A2108" s="0" t="n">
        <v>2087</v>
      </c>
      <c r="B2108" s="0" t="s">
        <v>86</v>
      </c>
      <c r="C2108" s="17" t="n">
        <v>-0.889828350456834</v>
      </c>
      <c r="D2108" s="17" t="n">
        <f aca="false">(C2108-$B$4)/($B$6/SQRT($B$7))</f>
        <v>-4.44914175228417</v>
      </c>
      <c r="E2108" s="0" t="str">
        <f aca="false">IF(OR(AND($B$9="superior",D2108&gt;$B$10),AND($B$9="inferior",D2108&lt;-$B$10)),"Rechazar H0","No rechazar H0")</f>
        <v>Rechazar H0</v>
      </c>
      <c r="F2108" s="0" t="str">
        <f aca="false">IF(AND(B2108="H0 verdadera",E2108="Rechazar H0"),"Error tipo I",IF(AND(B2108="Ha verdadera",E2108="No rechazar H0"),"Error tipo II","Decisión correcta"))</f>
        <v>Decisión correcta</v>
      </c>
    </row>
    <row r="2109" customFormat="false" ht="15" hidden="false" customHeight="false" outlineLevel="0" collapsed="false">
      <c r="A2109" s="0" t="n">
        <v>2088</v>
      </c>
      <c r="B2109" s="0" t="s">
        <v>86</v>
      </c>
      <c r="C2109" s="17" t="n">
        <v>-0.450095032147311</v>
      </c>
      <c r="D2109" s="17" t="n">
        <f aca="false">(C2109-$B$4)/($B$6/SQRT($B$7))</f>
        <v>-2.25047516073656</v>
      </c>
      <c r="E2109" s="0" t="str">
        <f aca="false">IF(OR(AND($B$9="superior",D2109&gt;$B$10),AND($B$9="inferior",D2109&lt;-$B$10)),"Rechazar H0","No rechazar H0")</f>
        <v>Rechazar H0</v>
      </c>
      <c r="F2109" s="0" t="str">
        <f aca="false">IF(AND(B2109="H0 verdadera",E2109="Rechazar H0"),"Error tipo I",IF(AND(B2109="Ha verdadera",E2109="No rechazar H0"),"Error tipo II","Decisión correcta"))</f>
        <v>Decisión correcta</v>
      </c>
    </row>
    <row r="2110" customFormat="false" ht="15" hidden="false" customHeight="false" outlineLevel="0" collapsed="false">
      <c r="A2110" s="0" t="n">
        <v>2089</v>
      </c>
      <c r="B2110" s="0" t="s">
        <v>85</v>
      </c>
      <c r="C2110" s="17" t="n">
        <v>-0.140385385766436</v>
      </c>
      <c r="D2110" s="17" t="n">
        <f aca="false">(C2110-$B$4)/($B$6/SQRT($B$7))</f>
        <v>-0.701926928832178</v>
      </c>
      <c r="E2110" s="0" t="str">
        <f aca="false">IF(OR(AND($B$9="superior",D2110&gt;$B$10),AND($B$9="inferior",D2110&lt;-$B$10)),"Rechazar H0","No rechazar H0")</f>
        <v>No rechazar H0</v>
      </c>
      <c r="F2110" s="0" t="str">
        <f aca="false">IF(AND(B2110="H0 verdadera",E2110="Rechazar H0"),"Error tipo I",IF(AND(B2110="Ha verdadera",E2110="No rechazar H0"),"Error tipo II","Decisión correcta"))</f>
        <v>Decisión correcta</v>
      </c>
    </row>
    <row r="2111" customFormat="false" ht="15" hidden="false" customHeight="false" outlineLevel="0" collapsed="false">
      <c r="A2111" s="0" t="n">
        <v>2090</v>
      </c>
      <c r="B2111" s="0" t="s">
        <v>86</v>
      </c>
      <c r="C2111" s="17" t="n">
        <v>-0.850935350979662</v>
      </c>
      <c r="D2111" s="17" t="n">
        <f aca="false">(C2111-$B$4)/($B$6/SQRT($B$7))</f>
        <v>-4.25467675489831</v>
      </c>
      <c r="E2111" s="0" t="str">
        <f aca="false">IF(OR(AND($B$9="superior",D2111&gt;$B$10),AND($B$9="inferior",D2111&lt;-$B$10)),"Rechazar H0","No rechazar H0")</f>
        <v>Rechazar H0</v>
      </c>
      <c r="F2111" s="0" t="str">
        <f aca="false">IF(AND(B2111="H0 verdadera",E2111="Rechazar H0"),"Error tipo I",IF(AND(B2111="Ha verdadera",E2111="No rechazar H0"),"Error tipo II","Decisión correcta"))</f>
        <v>Decisión correcta</v>
      </c>
    </row>
    <row r="2112" customFormat="false" ht="15" hidden="false" customHeight="false" outlineLevel="0" collapsed="false">
      <c r="A2112" s="0" t="n">
        <v>2091</v>
      </c>
      <c r="B2112" s="0" t="s">
        <v>86</v>
      </c>
      <c r="C2112" s="17" t="n">
        <v>-0.257485271802252</v>
      </c>
      <c r="D2112" s="17" t="n">
        <f aca="false">(C2112-$B$4)/($B$6/SQRT($B$7))</f>
        <v>-1.28742635901126</v>
      </c>
      <c r="E2112" s="0" t="str">
        <f aca="false">IF(OR(AND($B$9="superior",D2112&gt;$B$10),AND($B$9="inferior",D2112&lt;-$B$10)),"Rechazar H0","No rechazar H0")</f>
        <v>No rechazar H0</v>
      </c>
      <c r="F2112" s="0" t="str">
        <f aca="false">IF(AND(B2112="H0 verdadera",E2112="Rechazar H0"),"Error tipo I",IF(AND(B2112="Ha verdadera",E2112="No rechazar H0"),"Error tipo II","Decisión correcta"))</f>
        <v>Error tipo II</v>
      </c>
    </row>
    <row r="2113" customFormat="false" ht="15" hidden="false" customHeight="false" outlineLevel="0" collapsed="false">
      <c r="A2113" s="0" t="n">
        <v>2092</v>
      </c>
      <c r="B2113" s="0" t="s">
        <v>86</v>
      </c>
      <c r="C2113" s="17" t="n">
        <v>-0.448883681198539</v>
      </c>
      <c r="D2113" s="17" t="n">
        <f aca="false">(C2113-$B$4)/($B$6/SQRT($B$7))</f>
        <v>-2.24441840599269</v>
      </c>
      <c r="E2113" s="0" t="str">
        <f aca="false">IF(OR(AND($B$9="superior",D2113&gt;$B$10),AND($B$9="inferior",D2113&lt;-$B$10)),"Rechazar H0","No rechazar H0")</f>
        <v>Rechazar H0</v>
      </c>
      <c r="F2113" s="0" t="str">
        <f aca="false">IF(AND(B2113="H0 verdadera",E2113="Rechazar H0"),"Error tipo I",IF(AND(B2113="Ha verdadera",E2113="No rechazar H0"),"Error tipo II","Decisión correcta"))</f>
        <v>Decisión correcta</v>
      </c>
    </row>
    <row r="2114" customFormat="false" ht="15" hidden="false" customHeight="false" outlineLevel="0" collapsed="false">
      <c r="A2114" s="0" t="n">
        <v>2093</v>
      </c>
      <c r="B2114" s="0" t="s">
        <v>86</v>
      </c>
      <c r="C2114" s="17" t="n">
        <v>-0.472372794568748</v>
      </c>
      <c r="D2114" s="17" t="n">
        <f aca="false">(C2114-$B$4)/($B$6/SQRT($B$7))</f>
        <v>-2.36186397284374</v>
      </c>
      <c r="E2114" s="0" t="str">
        <f aca="false">IF(OR(AND($B$9="superior",D2114&gt;$B$10),AND($B$9="inferior",D2114&lt;-$B$10)),"Rechazar H0","No rechazar H0")</f>
        <v>Rechazar H0</v>
      </c>
      <c r="F2114" s="0" t="str">
        <f aca="false">IF(AND(B2114="H0 verdadera",E2114="Rechazar H0"),"Error tipo I",IF(AND(B2114="Ha verdadera",E2114="No rechazar H0"),"Error tipo II","Decisión correcta"))</f>
        <v>Decisión correcta</v>
      </c>
    </row>
    <row r="2115" customFormat="false" ht="15" hidden="false" customHeight="false" outlineLevel="0" collapsed="false">
      <c r="A2115" s="0" t="n">
        <v>2094</v>
      </c>
      <c r="B2115" s="0" t="s">
        <v>86</v>
      </c>
      <c r="C2115" s="17" t="n">
        <v>-0.657215966159012</v>
      </c>
      <c r="D2115" s="17" t="n">
        <f aca="false">(C2115-$B$4)/($B$6/SQRT($B$7))</f>
        <v>-3.28607983079506</v>
      </c>
      <c r="E2115" s="0" t="str">
        <f aca="false">IF(OR(AND($B$9="superior",D2115&gt;$B$10),AND($B$9="inferior",D2115&lt;-$B$10)),"Rechazar H0","No rechazar H0")</f>
        <v>Rechazar H0</v>
      </c>
      <c r="F2115" s="0" t="str">
        <f aca="false">IF(AND(B2115="H0 verdadera",E2115="Rechazar H0"),"Error tipo I",IF(AND(B2115="Ha verdadera",E2115="No rechazar H0"),"Error tipo II","Decisión correcta"))</f>
        <v>Decisión correcta</v>
      </c>
    </row>
    <row r="2116" customFormat="false" ht="15" hidden="false" customHeight="false" outlineLevel="0" collapsed="false">
      <c r="A2116" s="0" t="n">
        <v>2095</v>
      </c>
      <c r="B2116" s="0" t="s">
        <v>85</v>
      </c>
      <c r="C2116" s="17" t="n">
        <v>-0.288430277808176</v>
      </c>
      <c r="D2116" s="17" t="n">
        <f aca="false">(C2116-$B$4)/($B$6/SQRT($B$7))</f>
        <v>-1.44215138904088</v>
      </c>
      <c r="E2116" s="0" t="str">
        <f aca="false">IF(OR(AND($B$9="superior",D2116&gt;$B$10),AND($B$9="inferior",D2116&lt;-$B$10)),"Rechazar H0","No rechazar H0")</f>
        <v>No rechazar H0</v>
      </c>
      <c r="F2116" s="0" t="str">
        <f aca="false">IF(AND(B2116="H0 verdadera",E2116="Rechazar H0"),"Error tipo I",IF(AND(B2116="Ha verdadera",E2116="No rechazar H0"),"Error tipo II","Decisión correcta"))</f>
        <v>Decisión correcta</v>
      </c>
    </row>
    <row r="2117" customFormat="false" ht="15" hidden="false" customHeight="false" outlineLevel="0" collapsed="false">
      <c r="A2117" s="0" t="n">
        <v>2096</v>
      </c>
      <c r="B2117" s="0" t="s">
        <v>86</v>
      </c>
      <c r="C2117" s="17" t="n">
        <v>-0.449104031295296</v>
      </c>
      <c r="D2117" s="17" t="n">
        <f aca="false">(C2117-$B$4)/($B$6/SQRT($B$7))</f>
        <v>-2.24552015647648</v>
      </c>
      <c r="E2117" s="0" t="str">
        <f aca="false">IF(OR(AND($B$9="superior",D2117&gt;$B$10),AND($B$9="inferior",D2117&lt;-$B$10)),"Rechazar H0","No rechazar H0")</f>
        <v>Rechazar H0</v>
      </c>
      <c r="F2117" s="0" t="str">
        <f aca="false">IF(AND(B2117="H0 verdadera",E2117="Rechazar H0"),"Error tipo I",IF(AND(B2117="Ha verdadera",E2117="No rechazar H0"),"Error tipo II","Decisión correcta"))</f>
        <v>Decisión correcta</v>
      </c>
    </row>
    <row r="2118" customFormat="false" ht="15" hidden="false" customHeight="false" outlineLevel="0" collapsed="false">
      <c r="A2118" s="0" t="n">
        <v>2097</v>
      </c>
      <c r="B2118" s="0" t="s">
        <v>85</v>
      </c>
      <c r="C2118" s="17" t="n">
        <v>0.188064043321449</v>
      </c>
      <c r="D2118" s="17" t="n">
        <f aca="false">(C2118-$B$4)/($B$6/SQRT($B$7))</f>
        <v>0.940320216607247</v>
      </c>
      <c r="E2118" s="0" t="str">
        <f aca="false">IF(OR(AND($B$9="superior",D2118&gt;$B$10),AND($B$9="inferior",D2118&lt;-$B$10)),"Rechazar H0","No rechazar H0")</f>
        <v>No rechazar H0</v>
      </c>
      <c r="F2118" s="0" t="str">
        <f aca="false">IF(AND(B2118="H0 verdadera",E2118="Rechazar H0"),"Error tipo I",IF(AND(B2118="Ha verdadera",E2118="No rechazar H0"),"Error tipo II","Decisión correcta"))</f>
        <v>Decisión correcta</v>
      </c>
    </row>
    <row r="2119" customFormat="false" ht="15" hidden="false" customHeight="false" outlineLevel="0" collapsed="false">
      <c r="A2119" s="0" t="n">
        <v>2098</v>
      </c>
      <c r="B2119" s="0" t="s">
        <v>85</v>
      </c>
      <c r="C2119" s="17" t="n">
        <v>0.583875726900735</v>
      </c>
      <c r="D2119" s="17" t="n">
        <f aca="false">(C2119-$B$4)/($B$6/SQRT($B$7))</f>
        <v>2.91937863450368</v>
      </c>
      <c r="E2119" s="0" t="str">
        <f aca="false">IF(OR(AND($B$9="superior",D2119&gt;$B$10),AND($B$9="inferior",D2119&lt;-$B$10)),"Rechazar H0","No rechazar H0")</f>
        <v>No rechazar H0</v>
      </c>
      <c r="F2119" s="0" t="str">
        <f aca="false">IF(AND(B2119="H0 verdadera",E2119="Rechazar H0"),"Error tipo I",IF(AND(B2119="Ha verdadera",E2119="No rechazar H0"),"Error tipo II","Decisión correcta"))</f>
        <v>Decisión correcta</v>
      </c>
    </row>
    <row r="2120" customFormat="false" ht="15" hidden="false" customHeight="false" outlineLevel="0" collapsed="false">
      <c r="A2120" s="0" t="n">
        <v>2099</v>
      </c>
      <c r="B2120" s="0" t="s">
        <v>86</v>
      </c>
      <c r="C2120" s="17" t="n">
        <v>-0.421516538485592</v>
      </c>
      <c r="D2120" s="17" t="n">
        <f aca="false">(C2120-$B$4)/($B$6/SQRT($B$7))</f>
        <v>-2.10758269242796</v>
      </c>
      <c r="E2120" s="0" t="str">
        <f aca="false">IF(OR(AND($B$9="superior",D2120&gt;$B$10),AND($B$9="inferior",D2120&lt;-$B$10)),"Rechazar H0","No rechazar H0")</f>
        <v>Rechazar H0</v>
      </c>
      <c r="F2120" s="0" t="str">
        <f aca="false">IF(AND(B2120="H0 verdadera",E2120="Rechazar H0"),"Error tipo I",IF(AND(B2120="Ha verdadera",E2120="No rechazar H0"),"Error tipo II","Decisión correcta"))</f>
        <v>Decisión correcta</v>
      </c>
    </row>
    <row r="2121" customFormat="false" ht="15" hidden="false" customHeight="false" outlineLevel="0" collapsed="false">
      <c r="A2121" s="0" t="n">
        <v>2100</v>
      </c>
      <c r="B2121" s="0" t="s">
        <v>85</v>
      </c>
      <c r="C2121" s="17" t="n">
        <v>-0.109239265574621</v>
      </c>
      <c r="D2121" s="17" t="n">
        <f aca="false">(C2121-$B$4)/($B$6/SQRT($B$7))</f>
        <v>-0.546196327873104</v>
      </c>
      <c r="E2121" s="0" t="str">
        <f aca="false">IF(OR(AND($B$9="superior",D2121&gt;$B$10),AND($B$9="inferior",D2121&lt;-$B$10)),"Rechazar H0","No rechazar H0")</f>
        <v>No rechazar H0</v>
      </c>
      <c r="F2121" s="0" t="str">
        <f aca="false">IF(AND(B2121="H0 verdadera",E2121="Rechazar H0"),"Error tipo I",IF(AND(B2121="Ha verdadera",E2121="No rechazar H0"),"Error tipo II","Decisión correcta"))</f>
        <v>Decisión correcta</v>
      </c>
    </row>
    <row r="2122" customFormat="false" ht="15" hidden="false" customHeight="false" outlineLevel="0" collapsed="false">
      <c r="A2122" s="0" t="n">
        <v>2101</v>
      </c>
      <c r="B2122" s="0" t="s">
        <v>85</v>
      </c>
      <c r="C2122" s="17" t="n">
        <v>-0.199990720360048</v>
      </c>
      <c r="D2122" s="17" t="n">
        <f aca="false">(C2122-$B$4)/($B$6/SQRT($B$7))</f>
        <v>-0.999953601800242</v>
      </c>
      <c r="E2122" s="0" t="str">
        <f aca="false">IF(OR(AND($B$9="superior",D2122&gt;$B$10),AND($B$9="inferior",D2122&lt;-$B$10)),"Rechazar H0","No rechazar H0")</f>
        <v>No rechazar H0</v>
      </c>
      <c r="F2122" s="0" t="str">
        <f aca="false">IF(AND(B2122="H0 verdadera",E2122="Rechazar H0"),"Error tipo I",IF(AND(B2122="Ha verdadera",E2122="No rechazar H0"),"Error tipo II","Decisión correcta"))</f>
        <v>Decisión correcta</v>
      </c>
    </row>
    <row r="2123" customFormat="false" ht="15" hidden="false" customHeight="false" outlineLevel="0" collapsed="false">
      <c r="A2123" s="0" t="n">
        <v>2102</v>
      </c>
      <c r="B2123" s="0" t="s">
        <v>86</v>
      </c>
      <c r="C2123" s="17" t="n">
        <v>-0.494114815897408</v>
      </c>
      <c r="D2123" s="17" t="n">
        <f aca="false">(C2123-$B$4)/($B$6/SQRT($B$7))</f>
        <v>-2.47057407948704</v>
      </c>
      <c r="E2123" s="0" t="str">
        <f aca="false">IF(OR(AND($B$9="superior",D2123&gt;$B$10),AND($B$9="inferior",D2123&lt;-$B$10)),"Rechazar H0","No rechazar H0")</f>
        <v>Rechazar H0</v>
      </c>
      <c r="F2123" s="0" t="str">
        <f aca="false">IF(AND(B2123="H0 verdadera",E2123="Rechazar H0"),"Error tipo I",IF(AND(B2123="Ha verdadera",E2123="No rechazar H0"),"Error tipo II","Decisión correcta"))</f>
        <v>Decisión correcta</v>
      </c>
    </row>
    <row r="2124" customFormat="false" ht="15" hidden="false" customHeight="false" outlineLevel="0" collapsed="false">
      <c r="A2124" s="0" t="n">
        <v>2103</v>
      </c>
      <c r="B2124" s="0" t="s">
        <v>85</v>
      </c>
      <c r="C2124" s="17" t="n">
        <v>-0.0465554637077348</v>
      </c>
      <c r="D2124" s="17" t="n">
        <f aca="false">(C2124-$B$4)/($B$6/SQRT($B$7))</f>
        <v>-0.232777318538674</v>
      </c>
      <c r="E2124" s="0" t="str">
        <f aca="false">IF(OR(AND($B$9="superior",D2124&gt;$B$10),AND($B$9="inferior",D2124&lt;-$B$10)),"Rechazar H0","No rechazar H0")</f>
        <v>No rechazar H0</v>
      </c>
      <c r="F2124" s="0" t="str">
        <f aca="false">IF(AND(B2124="H0 verdadera",E2124="Rechazar H0"),"Error tipo I",IF(AND(B2124="Ha verdadera",E2124="No rechazar H0"),"Error tipo II","Decisión correcta"))</f>
        <v>Decisión correcta</v>
      </c>
    </row>
    <row r="2125" customFormat="false" ht="15" hidden="false" customHeight="false" outlineLevel="0" collapsed="false">
      <c r="A2125" s="0" t="n">
        <v>2104</v>
      </c>
      <c r="B2125" s="0" t="s">
        <v>86</v>
      </c>
      <c r="C2125" s="17" t="n">
        <v>-0.552864884300215</v>
      </c>
      <c r="D2125" s="17" t="n">
        <f aca="false">(C2125-$B$4)/($B$6/SQRT($B$7))</f>
        <v>-2.76432442150107</v>
      </c>
      <c r="E2125" s="0" t="str">
        <f aca="false">IF(OR(AND($B$9="superior",D2125&gt;$B$10),AND($B$9="inferior",D2125&lt;-$B$10)),"Rechazar H0","No rechazar H0")</f>
        <v>Rechazar H0</v>
      </c>
      <c r="F2125" s="0" t="str">
        <f aca="false">IF(AND(B2125="H0 verdadera",E2125="Rechazar H0"),"Error tipo I",IF(AND(B2125="Ha verdadera",E2125="No rechazar H0"),"Error tipo II","Decisión correcta"))</f>
        <v>Decisión correcta</v>
      </c>
    </row>
    <row r="2126" customFormat="false" ht="15" hidden="false" customHeight="false" outlineLevel="0" collapsed="false">
      <c r="A2126" s="0" t="n">
        <v>2105</v>
      </c>
      <c r="B2126" s="0" t="s">
        <v>85</v>
      </c>
      <c r="C2126" s="17" t="n">
        <v>-0.0059616653363322</v>
      </c>
      <c r="D2126" s="17" t="n">
        <f aca="false">(C2126-$B$4)/($B$6/SQRT($B$7))</f>
        <v>-0.029808326681661</v>
      </c>
      <c r="E2126" s="0" t="str">
        <f aca="false">IF(OR(AND($B$9="superior",D2126&gt;$B$10),AND($B$9="inferior",D2126&lt;-$B$10)),"Rechazar H0","No rechazar H0")</f>
        <v>No rechazar H0</v>
      </c>
      <c r="F2126" s="0" t="str">
        <f aca="false">IF(AND(B2126="H0 verdadera",E2126="Rechazar H0"),"Error tipo I",IF(AND(B2126="Ha verdadera",E2126="No rechazar H0"),"Error tipo II","Decisión correcta"))</f>
        <v>Decisión correcta</v>
      </c>
    </row>
    <row r="2127" customFormat="false" ht="15" hidden="false" customHeight="false" outlineLevel="0" collapsed="false">
      <c r="A2127" s="0" t="n">
        <v>2106</v>
      </c>
      <c r="B2127" s="0" t="s">
        <v>86</v>
      </c>
      <c r="C2127" s="17" t="n">
        <v>-0.324963759771624</v>
      </c>
      <c r="D2127" s="17" t="n">
        <f aca="false">(C2127-$B$4)/($B$6/SQRT($B$7))</f>
        <v>-1.62481879885812</v>
      </c>
      <c r="E2127" s="0" t="str">
        <f aca="false">IF(OR(AND($B$9="superior",D2127&gt;$B$10),AND($B$9="inferior",D2127&lt;-$B$10)),"Rechazar H0","No rechazar H0")</f>
        <v>No rechazar H0</v>
      </c>
      <c r="F2127" s="0" t="str">
        <f aca="false">IF(AND(B2127="H0 verdadera",E2127="Rechazar H0"),"Error tipo I",IF(AND(B2127="Ha verdadera",E2127="No rechazar H0"),"Error tipo II","Decisión correcta"))</f>
        <v>Error tipo II</v>
      </c>
    </row>
    <row r="2128" customFormat="false" ht="15" hidden="false" customHeight="false" outlineLevel="0" collapsed="false">
      <c r="A2128" s="0" t="n">
        <v>2107</v>
      </c>
      <c r="B2128" s="0" t="s">
        <v>86</v>
      </c>
      <c r="C2128" s="17" t="n">
        <v>-0.748391571140207</v>
      </c>
      <c r="D2128" s="17" t="n">
        <f aca="false">(C2128-$B$4)/($B$6/SQRT($B$7))</f>
        <v>-3.74195785570103</v>
      </c>
      <c r="E2128" s="0" t="str">
        <f aca="false">IF(OR(AND($B$9="superior",D2128&gt;$B$10),AND($B$9="inferior",D2128&lt;-$B$10)),"Rechazar H0","No rechazar H0")</f>
        <v>Rechazar H0</v>
      </c>
      <c r="F2128" s="0" t="str">
        <f aca="false">IF(AND(B2128="H0 verdadera",E2128="Rechazar H0"),"Error tipo I",IF(AND(B2128="Ha verdadera",E2128="No rechazar H0"),"Error tipo II","Decisión correcta"))</f>
        <v>Decisión correcta</v>
      </c>
    </row>
    <row r="2129" customFormat="false" ht="15" hidden="false" customHeight="false" outlineLevel="0" collapsed="false">
      <c r="A2129" s="0" t="n">
        <v>2108</v>
      </c>
      <c r="B2129" s="0" t="s">
        <v>85</v>
      </c>
      <c r="C2129" s="17" t="n">
        <v>-0.00351981470414192</v>
      </c>
      <c r="D2129" s="17" t="n">
        <f aca="false">(C2129-$B$4)/($B$6/SQRT($B$7))</f>
        <v>-0.0175990735207096</v>
      </c>
      <c r="E2129" s="0" t="str">
        <f aca="false">IF(OR(AND($B$9="superior",D2129&gt;$B$10),AND($B$9="inferior",D2129&lt;-$B$10)),"Rechazar H0","No rechazar H0")</f>
        <v>No rechazar H0</v>
      </c>
      <c r="F2129" s="0" t="str">
        <f aca="false">IF(AND(B2129="H0 verdadera",E2129="Rechazar H0"),"Error tipo I",IF(AND(B2129="Ha verdadera",E2129="No rechazar H0"),"Error tipo II","Decisión correcta"))</f>
        <v>Decisión correcta</v>
      </c>
    </row>
    <row r="2130" customFormat="false" ht="15" hidden="false" customHeight="false" outlineLevel="0" collapsed="false">
      <c r="A2130" s="0" t="n">
        <v>2109</v>
      </c>
      <c r="B2130" s="0" t="s">
        <v>86</v>
      </c>
      <c r="C2130" s="17" t="n">
        <v>-0.565646134734791</v>
      </c>
      <c r="D2130" s="17" t="n">
        <f aca="false">(C2130-$B$4)/($B$6/SQRT($B$7))</f>
        <v>-2.82823067367395</v>
      </c>
      <c r="E2130" s="0" t="str">
        <f aca="false">IF(OR(AND($B$9="superior",D2130&gt;$B$10),AND($B$9="inferior",D2130&lt;-$B$10)),"Rechazar H0","No rechazar H0")</f>
        <v>Rechazar H0</v>
      </c>
      <c r="F2130" s="0" t="str">
        <f aca="false">IF(AND(B2130="H0 verdadera",E2130="Rechazar H0"),"Error tipo I",IF(AND(B2130="Ha verdadera",E2130="No rechazar H0"),"Error tipo II","Decisión correcta"))</f>
        <v>Decisión correcta</v>
      </c>
    </row>
    <row r="2131" customFormat="false" ht="15" hidden="false" customHeight="false" outlineLevel="0" collapsed="false">
      <c r="A2131" s="0" t="n">
        <v>2110</v>
      </c>
      <c r="B2131" s="0" t="s">
        <v>86</v>
      </c>
      <c r="C2131" s="17" t="n">
        <v>-0.773384307246159</v>
      </c>
      <c r="D2131" s="17" t="n">
        <f aca="false">(C2131-$B$4)/($B$6/SQRT($B$7))</f>
        <v>-3.86692153623079</v>
      </c>
      <c r="E2131" s="0" t="str">
        <f aca="false">IF(OR(AND($B$9="superior",D2131&gt;$B$10),AND($B$9="inferior",D2131&lt;-$B$10)),"Rechazar H0","No rechazar H0")</f>
        <v>Rechazar H0</v>
      </c>
      <c r="F2131" s="0" t="str">
        <f aca="false">IF(AND(B2131="H0 verdadera",E2131="Rechazar H0"),"Error tipo I",IF(AND(B2131="Ha verdadera",E2131="No rechazar H0"),"Error tipo II","Decisión correcta"))</f>
        <v>Decisión correcta</v>
      </c>
    </row>
    <row r="2132" customFormat="false" ht="15" hidden="false" customHeight="false" outlineLevel="0" collapsed="false">
      <c r="A2132" s="0" t="n">
        <v>2111</v>
      </c>
      <c r="B2132" s="0" t="s">
        <v>86</v>
      </c>
      <c r="C2132" s="17" t="n">
        <v>-0.100727623801725</v>
      </c>
      <c r="D2132" s="17" t="n">
        <f aca="false">(C2132-$B$4)/($B$6/SQRT($B$7))</f>
        <v>-0.503638119008626</v>
      </c>
      <c r="E2132" s="0" t="str">
        <f aca="false">IF(OR(AND($B$9="superior",D2132&gt;$B$10),AND($B$9="inferior",D2132&lt;-$B$10)),"Rechazar H0","No rechazar H0")</f>
        <v>No rechazar H0</v>
      </c>
      <c r="F2132" s="0" t="str">
        <f aca="false">IF(AND(B2132="H0 verdadera",E2132="Rechazar H0"),"Error tipo I",IF(AND(B2132="Ha verdadera",E2132="No rechazar H0"),"Error tipo II","Decisión correcta"))</f>
        <v>Error tipo II</v>
      </c>
    </row>
    <row r="2133" customFormat="false" ht="15" hidden="false" customHeight="false" outlineLevel="0" collapsed="false">
      <c r="A2133" s="0" t="n">
        <v>2112</v>
      </c>
      <c r="B2133" s="0" t="s">
        <v>86</v>
      </c>
      <c r="C2133" s="17" t="n">
        <v>-0.448812008288466</v>
      </c>
      <c r="D2133" s="17" t="n">
        <f aca="false">(C2133-$B$4)/($B$6/SQRT($B$7))</f>
        <v>-2.24406004144233</v>
      </c>
      <c r="E2133" s="0" t="str">
        <f aca="false">IF(OR(AND($B$9="superior",D2133&gt;$B$10),AND($B$9="inferior",D2133&lt;-$B$10)),"Rechazar H0","No rechazar H0")</f>
        <v>Rechazar H0</v>
      </c>
      <c r="F2133" s="0" t="str">
        <f aca="false">IF(AND(B2133="H0 verdadera",E2133="Rechazar H0"),"Error tipo I",IF(AND(B2133="Ha verdadera",E2133="No rechazar H0"),"Error tipo II","Decisión correcta"))</f>
        <v>Decisión correcta</v>
      </c>
    </row>
    <row r="2134" customFormat="false" ht="15" hidden="false" customHeight="false" outlineLevel="0" collapsed="false">
      <c r="A2134" s="0" t="n">
        <v>2113</v>
      </c>
      <c r="B2134" s="0" t="s">
        <v>86</v>
      </c>
      <c r="C2134" s="17" t="n">
        <v>-0.0824604645739446</v>
      </c>
      <c r="D2134" s="17" t="n">
        <f aca="false">(C2134-$B$4)/($B$6/SQRT($B$7))</f>
        <v>-0.412302322869723</v>
      </c>
      <c r="E2134" s="0" t="str">
        <f aca="false">IF(OR(AND($B$9="superior",D2134&gt;$B$10),AND($B$9="inferior",D2134&lt;-$B$10)),"Rechazar H0","No rechazar H0")</f>
        <v>No rechazar H0</v>
      </c>
      <c r="F2134" s="0" t="str">
        <f aca="false">IF(AND(B2134="H0 verdadera",E2134="Rechazar H0"),"Error tipo I",IF(AND(B2134="Ha verdadera",E2134="No rechazar H0"),"Error tipo II","Decisión correcta"))</f>
        <v>Error tipo II</v>
      </c>
    </row>
    <row r="2135" customFormat="false" ht="15" hidden="false" customHeight="false" outlineLevel="0" collapsed="false">
      <c r="A2135" s="0" t="n">
        <v>2114</v>
      </c>
      <c r="B2135" s="0" t="s">
        <v>85</v>
      </c>
      <c r="C2135" s="17" t="n">
        <v>0.204193689208651</v>
      </c>
      <c r="D2135" s="17" t="n">
        <f aca="false">(C2135-$B$4)/($B$6/SQRT($B$7))</f>
        <v>1.02096844604325</v>
      </c>
      <c r="E2135" s="0" t="str">
        <f aca="false">IF(OR(AND($B$9="superior",D2135&gt;$B$10),AND($B$9="inferior",D2135&lt;-$B$10)),"Rechazar H0","No rechazar H0")</f>
        <v>No rechazar H0</v>
      </c>
      <c r="F2135" s="0" t="str">
        <f aca="false">IF(AND(B2135="H0 verdadera",E2135="Rechazar H0"),"Error tipo I",IF(AND(B2135="Ha verdadera",E2135="No rechazar H0"),"Error tipo II","Decisión correcta"))</f>
        <v>Decisión correcta</v>
      </c>
    </row>
    <row r="2136" customFormat="false" ht="15" hidden="false" customHeight="false" outlineLevel="0" collapsed="false">
      <c r="A2136" s="0" t="n">
        <v>2115</v>
      </c>
      <c r="B2136" s="0" t="s">
        <v>86</v>
      </c>
      <c r="C2136" s="17" t="n">
        <v>-0.298555216976187</v>
      </c>
      <c r="D2136" s="17" t="n">
        <f aca="false">(C2136-$B$4)/($B$6/SQRT($B$7))</f>
        <v>-1.49277608488094</v>
      </c>
      <c r="E2136" s="0" t="str">
        <f aca="false">IF(OR(AND($B$9="superior",D2136&gt;$B$10),AND($B$9="inferior",D2136&lt;-$B$10)),"Rechazar H0","No rechazar H0")</f>
        <v>No rechazar H0</v>
      </c>
      <c r="F2136" s="0" t="str">
        <f aca="false">IF(AND(B2136="H0 verdadera",E2136="Rechazar H0"),"Error tipo I",IF(AND(B2136="Ha verdadera",E2136="No rechazar H0"),"Error tipo II","Decisión correcta"))</f>
        <v>Error tipo II</v>
      </c>
    </row>
    <row r="2137" customFormat="false" ht="15" hidden="false" customHeight="false" outlineLevel="0" collapsed="false">
      <c r="A2137" s="0" t="n">
        <v>2116</v>
      </c>
      <c r="B2137" s="0" t="s">
        <v>85</v>
      </c>
      <c r="C2137" s="17" t="n">
        <v>0.304583180858224</v>
      </c>
      <c r="D2137" s="17" t="n">
        <f aca="false">(C2137-$B$4)/($B$6/SQRT($B$7))</f>
        <v>1.52291590429112</v>
      </c>
      <c r="E2137" s="0" t="str">
        <f aca="false">IF(OR(AND($B$9="superior",D2137&gt;$B$10),AND($B$9="inferior",D2137&lt;-$B$10)),"Rechazar H0","No rechazar H0")</f>
        <v>No rechazar H0</v>
      </c>
      <c r="F2137" s="0" t="str">
        <f aca="false">IF(AND(B2137="H0 verdadera",E2137="Rechazar H0"),"Error tipo I",IF(AND(B2137="Ha verdadera",E2137="No rechazar H0"),"Error tipo II","Decisión correcta"))</f>
        <v>Decisión correcta</v>
      </c>
    </row>
    <row r="2138" customFormat="false" ht="15" hidden="false" customHeight="false" outlineLevel="0" collapsed="false">
      <c r="A2138" s="0" t="n">
        <v>2117</v>
      </c>
      <c r="B2138" s="0" t="s">
        <v>85</v>
      </c>
      <c r="C2138" s="17" t="n">
        <v>-0.145730517158494</v>
      </c>
      <c r="D2138" s="17" t="n">
        <f aca="false">(C2138-$B$4)/($B$6/SQRT($B$7))</f>
        <v>-0.728652585792471</v>
      </c>
      <c r="E2138" s="0" t="str">
        <f aca="false">IF(OR(AND($B$9="superior",D2138&gt;$B$10),AND($B$9="inferior",D2138&lt;-$B$10)),"Rechazar H0","No rechazar H0")</f>
        <v>No rechazar H0</v>
      </c>
      <c r="F2138" s="0" t="str">
        <f aca="false">IF(AND(B2138="H0 verdadera",E2138="Rechazar H0"),"Error tipo I",IF(AND(B2138="Ha verdadera",E2138="No rechazar H0"),"Error tipo II","Decisión correcta"))</f>
        <v>Decisión correcta</v>
      </c>
    </row>
    <row r="2139" customFormat="false" ht="15" hidden="false" customHeight="false" outlineLevel="0" collapsed="false">
      <c r="A2139" s="0" t="n">
        <v>2118</v>
      </c>
      <c r="B2139" s="0" t="s">
        <v>85</v>
      </c>
      <c r="C2139" s="17" t="n">
        <v>-0.0503679391040014</v>
      </c>
      <c r="D2139" s="17" t="n">
        <f aca="false">(C2139-$B$4)/($B$6/SQRT($B$7))</f>
        <v>-0.251839695520007</v>
      </c>
      <c r="E2139" s="0" t="str">
        <f aca="false">IF(OR(AND($B$9="superior",D2139&gt;$B$10),AND($B$9="inferior",D2139&lt;-$B$10)),"Rechazar H0","No rechazar H0")</f>
        <v>No rechazar H0</v>
      </c>
      <c r="F2139" s="0" t="str">
        <f aca="false">IF(AND(B2139="H0 verdadera",E2139="Rechazar H0"),"Error tipo I",IF(AND(B2139="Ha verdadera",E2139="No rechazar H0"),"Error tipo II","Decisión correcta"))</f>
        <v>Decisión correcta</v>
      </c>
    </row>
    <row r="2140" customFormat="false" ht="15" hidden="false" customHeight="false" outlineLevel="0" collapsed="false">
      <c r="A2140" s="0" t="n">
        <v>2119</v>
      </c>
      <c r="B2140" s="0" t="s">
        <v>85</v>
      </c>
      <c r="C2140" s="17" t="n">
        <v>0.0800072283286796</v>
      </c>
      <c r="D2140" s="17" t="n">
        <f aca="false">(C2140-$B$4)/($B$6/SQRT($B$7))</f>
        <v>0.400036141643398</v>
      </c>
      <c r="E2140" s="0" t="str">
        <f aca="false">IF(OR(AND($B$9="superior",D2140&gt;$B$10),AND($B$9="inferior",D2140&lt;-$B$10)),"Rechazar H0","No rechazar H0")</f>
        <v>No rechazar H0</v>
      </c>
      <c r="F2140" s="0" t="str">
        <f aca="false">IF(AND(B2140="H0 verdadera",E2140="Rechazar H0"),"Error tipo I",IF(AND(B2140="Ha verdadera",E2140="No rechazar H0"),"Error tipo II","Decisión correcta"))</f>
        <v>Decisión correcta</v>
      </c>
    </row>
    <row r="2141" customFormat="false" ht="15" hidden="false" customHeight="false" outlineLevel="0" collapsed="false">
      <c r="A2141" s="0" t="n">
        <v>2120</v>
      </c>
      <c r="B2141" s="0" t="s">
        <v>86</v>
      </c>
      <c r="C2141" s="17" t="n">
        <v>-0.576561351266727</v>
      </c>
      <c r="D2141" s="17" t="n">
        <f aca="false">(C2141-$B$4)/($B$6/SQRT($B$7))</f>
        <v>-2.88280675633364</v>
      </c>
      <c r="E2141" s="0" t="str">
        <f aca="false">IF(OR(AND($B$9="superior",D2141&gt;$B$10),AND($B$9="inferior",D2141&lt;-$B$10)),"Rechazar H0","No rechazar H0")</f>
        <v>Rechazar H0</v>
      </c>
      <c r="F2141" s="0" t="str">
        <f aca="false">IF(AND(B2141="H0 verdadera",E2141="Rechazar H0"),"Error tipo I",IF(AND(B2141="Ha verdadera",E2141="No rechazar H0"),"Error tipo II","Decisión correcta"))</f>
        <v>Decisión correcta</v>
      </c>
    </row>
    <row r="2142" customFormat="false" ht="15" hidden="false" customHeight="false" outlineLevel="0" collapsed="false">
      <c r="A2142" s="0" t="n">
        <v>2121</v>
      </c>
      <c r="B2142" s="0" t="s">
        <v>85</v>
      </c>
      <c r="C2142" s="17" t="n">
        <v>-0.10033920926089</v>
      </c>
      <c r="D2142" s="17" t="n">
        <f aca="false">(C2142-$B$4)/($B$6/SQRT($B$7))</f>
        <v>-0.50169604630445</v>
      </c>
      <c r="E2142" s="0" t="str">
        <f aca="false">IF(OR(AND($B$9="superior",D2142&gt;$B$10),AND($B$9="inferior",D2142&lt;-$B$10)),"Rechazar H0","No rechazar H0")</f>
        <v>No rechazar H0</v>
      </c>
      <c r="F2142" s="0" t="str">
        <f aca="false">IF(AND(B2142="H0 verdadera",E2142="Rechazar H0"),"Error tipo I",IF(AND(B2142="Ha verdadera",E2142="No rechazar H0"),"Error tipo II","Decisión correcta"))</f>
        <v>Decisión correcta</v>
      </c>
    </row>
    <row r="2143" customFormat="false" ht="15" hidden="false" customHeight="false" outlineLevel="0" collapsed="false">
      <c r="A2143" s="0" t="n">
        <v>2122</v>
      </c>
      <c r="B2143" s="0" t="s">
        <v>85</v>
      </c>
      <c r="C2143" s="17" t="n">
        <v>0.427672057244923</v>
      </c>
      <c r="D2143" s="17" t="n">
        <f aca="false">(C2143-$B$4)/($B$6/SQRT($B$7))</f>
        <v>2.13836028622461</v>
      </c>
      <c r="E2143" s="0" t="str">
        <f aca="false">IF(OR(AND($B$9="superior",D2143&gt;$B$10),AND($B$9="inferior",D2143&lt;-$B$10)),"Rechazar H0","No rechazar H0")</f>
        <v>No rechazar H0</v>
      </c>
      <c r="F2143" s="0" t="str">
        <f aca="false">IF(AND(B2143="H0 verdadera",E2143="Rechazar H0"),"Error tipo I",IF(AND(B2143="Ha verdadera",E2143="No rechazar H0"),"Error tipo II","Decisión correcta"))</f>
        <v>Decisión correcta</v>
      </c>
    </row>
    <row r="2144" customFormat="false" ht="15" hidden="false" customHeight="false" outlineLevel="0" collapsed="false">
      <c r="A2144" s="0" t="n">
        <v>2123</v>
      </c>
      <c r="B2144" s="0" t="s">
        <v>86</v>
      </c>
      <c r="C2144" s="17" t="n">
        <v>-0.478793391843728</v>
      </c>
      <c r="D2144" s="17" t="n">
        <f aca="false">(C2144-$B$4)/($B$6/SQRT($B$7))</f>
        <v>-2.39396695921864</v>
      </c>
      <c r="E2144" s="0" t="str">
        <f aca="false">IF(OR(AND($B$9="superior",D2144&gt;$B$10),AND($B$9="inferior",D2144&lt;-$B$10)),"Rechazar H0","No rechazar H0")</f>
        <v>Rechazar H0</v>
      </c>
      <c r="F2144" s="0" t="str">
        <f aca="false">IF(AND(B2144="H0 verdadera",E2144="Rechazar H0"),"Error tipo I",IF(AND(B2144="Ha verdadera",E2144="No rechazar H0"),"Error tipo II","Decisión correcta"))</f>
        <v>Decisión correcta</v>
      </c>
    </row>
    <row r="2145" customFormat="false" ht="15" hidden="false" customHeight="false" outlineLevel="0" collapsed="false">
      <c r="A2145" s="0" t="n">
        <v>2124</v>
      </c>
      <c r="B2145" s="0" t="s">
        <v>86</v>
      </c>
      <c r="C2145" s="17" t="n">
        <v>-0.360883669950099</v>
      </c>
      <c r="D2145" s="17" t="n">
        <f aca="false">(C2145-$B$4)/($B$6/SQRT($B$7))</f>
        <v>-1.80441834975049</v>
      </c>
      <c r="E2145" s="0" t="str">
        <f aca="false">IF(OR(AND($B$9="superior",D2145&gt;$B$10),AND($B$9="inferior",D2145&lt;-$B$10)),"Rechazar H0","No rechazar H0")</f>
        <v>Rechazar H0</v>
      </c>
      <c r="F2145" s="0" t="str">
        <f aca="false">IF(AND(B2145="H0 verdadera",E2145="Rechazar H0"),"Error tipo I",IF(AND(B2145="Ha verdadera",E2145="No rechazar H0"),"Error tipo II","Decisión correcta"))</f>
        <v>Decisión correcta</v>
      </c>
    </row>
    <row r="2146" customFormat="false" ht="15" hidden="false" customHeight="false" outlineLevel="0" collapsed="false">
      <c r="A2146" s="0" t="n">
        <v>2125</v>
      </c>
      <c r="B2146" s="0" t="s">
        <v>85</v>
      </c>
      <c r="C2146" s="17" t="n">
        <v>-0.04479663082491</v>
      </c>
      <c r="D2146" s="17" t="n">
        <f aca="false">(C2146-$B$4)/($B$6/SQRT($B$7))</f>
        <v>-0.22398315412455</v>
      </c>
      <c r="E2146" s="0" t="str">
        <f aca="false">IF(OR(AND($B$9="superior",D2146&gt;$B$10),AND($B$9="inferior",D2146&lt;-$B$10)),"Rechazar H0","No rechazar H0")</f>
        <v>No rechazar H0</v>
      </c>
      <c r="F2146" s="0" t="str">
        <f aca="false">IF(AND(B2146="H0 verdadera",E2146="Rechazar H0"),"Error tipo I",IF(AND(B2146="Ha verdadera",E2146="No rechazar H0"),"Error tipo II","Decisión correcta"))</f>
        <v>Decisión correcta</v>
      </c>
    </row>
    <row r="2147" customFormat="false" ht="15" hidden="false" customHeight="false" outlineLevel="0" collapsed="false">
      <c r="A2147" s="0" t="n">
        <v>2126</v>
      </c>
      <c r="B2147" s="0" t="s">
        <v>86</v>
      </c>
      <c r="C2147" s="17" t="n">
        <v>0.00346330134883738</v>
      </c>
      <c r="D2147" s="17" t="n">
        <f aca="false">(C2147-$B$4)/($B$6/SQRT($B$7))</f>
        <v>0.0173165067441869</v>
      </c>
      <c r="E2147" s="0" t="str">
        <f aca="false">IF(OR(AND($B$9="superior",D2147&gt;$B$10),AND($B$9="inferior",D2147&lt;-$B$10)),"Rechazar H0","No rechazar H0")</f>
        <v>No rechazar H0</v>
      </c>
      <c r="F2147" s="0" t="str">
        <f aca="false">IF(AND(B2147="H0 verdadera",E2147="Rechazar H0"),"Error tipo I",IF(AND(B2147="Ha verdadera",E2147="No rechazar H0"),"Error tipo II","Decisión correcta"))</f>
        <v>Error tipo II</v>
      </c>
    </row>
    <row r="2148" customFormat="false" ht="15" hidden="false" customHeight="false" outlineLevel="0" collapsed="false">
      <c r="A2148" s="0" t="n">
        <v>2127</v>
      </c>
      <c r="B2148" s="0" t="s">
        <v>85</v>
      </c>
      <c r="C2148" s="17" t="n">
        <v>0.125450420711344</v>
      </c>
      <c r="D2148" s="17" t="n">
        <f aca="false">(C2148-$B$4)/($B$6/SQRT($B$7))</f>
        <v>0.62725210355672</v>
      </c>
      <c r="E2148" s="0" t="str">
        <f aca="false">IF(OR(AND($B$9="superior",D2148&gt;$B$10),AND($B$9="inferior",D2148&lt;-$B$10)),"Rechazar H0","No rechazar H0")</f>
        <v>No rechazar H0</v>
      </c>
      <c r="F2148" s="0" t="str">
        <f aca="false">IF(AND(B2148="H0 verdadera",E2148="Rechazar H0"),"Error tipo I",IF(AND(B2148="Ha verdadera",E2148="No rechazar H0"),"Error tipo II","Decisión correcta"))</f>
        <v>Decisión correcta</v>
      </c>
    </row>
    <row r="2149" customFormat="false" ht="15" hidden="false" customHeight="false" outlineLevel="0" collapsed="false">
      <c r="A2149" s="0" t="n">
        <v>2128</v>
      </c>
      <c r="B2149" s="0" t="s">
        <v>86</v>
      </c>
      <c r="C2149" s="17" t="n">
        <v>-0.117780559544003</v>
      </c>
      <c r="D2149" s="17" t="n">
        <f aca="false">(C2149-$B$4)/($B$6/SQRT($B$7))</f>
        <v>-0.588902797720013</v>
      </c>
      <c r="E2149" s="0" t="str">
        <f aca="false">IF(OR(AND($B$9="superior",D2149&gt;$B$10),AND($B$9="inferior",D2149&lt;-$B$10)),"Rechazar H0","No rechazar H0")</f>
        <v>No rechazar H0</v>
      </c>
      <c r="F2149" s="0" t="str">
        <f aca="false">IF(AND(B2149="H0 verdadera",E2149="Rechazar H0"),"Error tipo I",IF(AND(B2149="Ha verdadera",E2149="No rechazar H0"),"Error tipo II","Decisión correcta"))</f>
        <v>Error tipo II</v>
      </c>
    </row>
    <row r="2150" customFormat="false" ht="15" hidden="false" customHeight="false" outlineLevel="0" collapsed="false">
      <c r="A2150" s="0" t="n">
        <v>2129</v>
      </c>
      <c r="B2150" s="0" t="s">
        <v>85</v>
      </c>
      <c r="C2150" s="17" t="n">
        <v>0.0887421189003567</v>
      </c>
      <c r="D2150" s="17" t="n">
        <f aca="false">(C2150-$B$4)/($B$6/SQRT($B$7))</f>
        <v>0.443710594501783</v>
      </c>
      <c r="E2150" s="0" t="str">
        <f aca="false">IF(OR(AND($B$9="superior",D2150&gt;$B$10),AND($B$9="inferior",D2150&lt;-$B$10)),"Rechazar H0","No rechazar H0")</f>
        <v>No rechazar H0</v>
      </c>
      <c r="F2150" s="0" t="str">
        <f aca="false">IF(AND(B2150="H0 verdadera",E2150="Rechazar H0"),"Error tipo I",IF(AND(B2150="Ha verdadera",E2150="No rechazar H0"),"Error tipo II","Decisión correcta"))</f>
        <v>Decisión correcta</v>
      </c>
    </row>
    <row r="2151" customFormat="false" ht="15" hidden="false" customHeight="false" outlineLevel="0" collapsed="false">
      <c r="A2151" s="0" t="n">
        <v>2130</v>
      </c>
      <c r="B2151" s="0" t="s">
        <v>85</v>
      </c>
      <c r="C2151" s="17" t="n">
        <v>-0.173437269326812</v>
      </c>
      <c r="D2151" s="17" t="n">
        <f aca="false">(C2151-$B$4)/($B$6/SQRT($B$7))</f>
        <v>-0.867186346634061</v>
      </c>
      <c r="E2151" s="0" t="str">
        <f aca="false">IF(OR(AND($B$9="superior",D2151&gt;$B$10),AND($B$9="inferior",D2151&lt;-$B$10)),"Rechazar H0","No rechazar H0")</f>
        <v>No rechazar H0</v>
      </c>
      <c r="F2151" s="0" t="str">
        <f aca="false">IF(AND(B2151="H0 verdadera",E2151="Rechazar H0"),"Error tipo I",IF(AND(B2151="Ha verdadera",E2151="No rechazar H0"),"Error tipo II","Decisión correcta"))</f>
        <v>Decisión correcta</v>
      </c>
    </row>
    <row r="2152" customFormat="false" ht="15" hidden="false" customHeight="false" outlineLevel="0" collapsed="false">
      <c r="A2152" s="0" t="n">
        <v>2131</v>
      </c>
      <c r="B2152" s="0" t="s">
        <v>86</v>
      </c>
      <c r="C2152" s="17" t="n">
        <v>-0.631336343895565</v>
      </c>
      <c r="D2152" s="17" t="n">
        <f aca="false">(C2152-$B$4)/($B$6/SQRT($B$7))</f>
        <v>-3.15668171947782</v>
      </c>
      <c r="E2152" s="0" t="str">
        <f aca="false">IF(OR(AND($B$9="superior",D2152&gt;$B$10),AND($B$9="inferior",D2152&lt;-$B$10)),"Rechazar H0","No rechazar H0")</f>
        <v>Rechazar H0</v>
      </c>
      <c r="F2152" s="0" t="str">
        <f aca="false">IF(AND(B2152="H0 verdadera",E2152="Rechazar H0"),"Error tipo I",IF(AND(B2152="Ha verdadera",E2152="No rechazar H0"),"Error tipo II","Decisión correcta"))</f>
        <v>Decisión correcta</v>
      </c>
    </row>
    <row r="2153" customFormat="false" ht="15" hidden="false" customHeight="false" outlineLevel="0" collapsed="false">
      <c r="A2153" s="0" t="n">
        <v>2132</v>
      </c>
      <c r="B2153" s="0" t="s">
        <v>86</v>
      </c>
      <c r="C2153" s="17" t="n">
        <v>-0.26653515391124</v>
      </c>
      <c r="D2153" s="17" t="n">
        <f aca="false">(C2153-$B$4)/($B$6/SQRT($B$7))</f>
        <v>-1.3326757695562</v>
      </c>
      <c r="E2153" s="0" t="str">
        <f aca="false">IF(OR(AND($B$9="superior",D2153&gt;$B$10),AND($B$9="inferior",D2153&lt;-$B$10)),"Rechazar H0","No rechazar H0")</f>
        <v>No rechazar H0</v>
      </c>
      <c r="F2153" s="0" t="str">
        <f aca="false">IF(AND(B2153="H0 verdadera",E2153="Rechazar H0"),"Error tipo I",IF(AND(B2153="Ha verdadera",E2153="No rechazar H0"),"Error tipo II","Decisión correcta"))</f>
        <v>Error tipo II</v>
      </c>
    </row>
    <row r="2154" customFormat="false" ht="15" hidden="false" customHeight="false" outlineLevel="0" collapsed="false">
      <c r="A2154" s="0" t="n">
        <v>2133</v>
      </c>
      <c r="B2154" s="0" t="s">
        <v>86</v>
      </c>
      <c r="C2154" s="17" t="n">
        <v>-0.170093391659866</v>
      </c>
      <c r="D2154" s="17" t="n">
        <f aca="false">(C2154-$B$4)/($B$6/SQRT($B$7))</f>
        <v>-0.85046695829933</v>
      </c>
      <c r="E2154" s="0" t="str">
        <f aca="false">IF(OR(AND($B$9="superior",D2154&gt;$B$10),AND($B$9="inferior",D2154&lt;-$B$10)),"Rechazar H0","No rechazar H0")</f>
        <v>No rechazar H0</v>
      </c>
      <c r="F2154" s="0" t="str">
        <f aca="false">IF(AND(B2154="H0 verdadera",E2154="Rechazar H0"),"Error tipo I",IF(AND(B2154="Ha verdadera",E2154="No rechazar H0"),"Error tipo II","Decisión correcta"))</f>
        <v>Error tipo II</v>
      </c>
    </row>
    <row r="2155" customFormat="false" ht="15" hidden="false" customHeight="false" outlineLevel="0" collapsed="false">
      <c r="A2155" s="0" t="n">
        <v>2134</v>
      </c>
      <c r="B2155" s="0" t="s">
        <v>85</v>
      </c>
      <c r="C2155" s="17" t="n">
        <v>0.0323557704919292</v>
      </c>
      <c r="D2155" s="17" t="n">
        <f aca="false">(C2155-$B$4)/($B$6/SQRT($B$7))</f>
        <v>0.161778852459646</v>
      </c>
      <c r="E2155" s="0" t="str">
        <f aca="false">IF(OR(AND($B$9="superior",D2155&gt;$B$10),AND($B$9="inferior",D2155&lt;-$B$10)),"Rechazar H0","No rechazar H0")</f>
        <v>No rechazar H0</v>
      </c>
      <c r="F2155" s="0" t="str">
        <f aca="false">IF(AND(B2155="H0 verdadera",E2155="Rechazar H0"),"Error tipo I",IF(AND(B2155="Ha verdadera",E2155="No rechazar H0"),"Error tipo II","Decisión correcta"))</f>
        <v>Decisión correcta</v>
      </c>
    </row>
    <row r="2156" customFormat="false" ht="15" hidden="false" customHeight="false" outlineLevel="0" collapsed="false">
      <c r="A2156" s="0" t="n">
        <v>2135</v>
      </c>
      <c r="B2156" s="0" t="s">
        <v>86</v>
      </c>
      <c r="C2156" s="17" t="n">
        <v>-0.290215048023756</v>
      </c>
      <c r="D2156" s="17" t="n">
        <f aca="false">(C2156-$B$4)/($B$6/SQRT($B$7))</f>
        <v>-1.45107524011878</v>
      </c>
      <c r="E2156" s="0" t="str">
        <f aca="false">IF(OR(AND($B$9="superior",D2156&gt;$B$10),AND($B$9="inferior",D2156&lt;-$B$10)),"Rechazar H0","No rechazar H0")</f>
        <v>No rechazar H0</v>
      </c>
      <c r="F2156" s="0" t="str">
        <f aca="false">IF(AND(B2156="H0 verdadera",E2156="Rechazar H0"),"Error tipo I",IF(AND(B2156="Ha verdadera",E2156="No rechazar H0"),"Error tipo II","Decisión correcta"))</f>
        <v>Error tipo II</v>
      </c>
    </row>
    <row r="2157" customFormat="false" ht="15" hidden="false" customHeight="false" outlineLevel="0" collapsed="false">
      <c r="A2157" s="0" t="n">
        <v>2136</v>
      </c>
      <c r="B2157" s="0" t="s">
        <v>85</v>
      </c>
      <c r="C2157" s="17" t="n">
        <v>0.0167546613912601</v>
      </c>
      <c r="D2157" s="17" t="n">
        <f aca="false">(C2157-$B$4)/($B$6/SQRT($B$7))</f>
        <v>0.0837733069563006</v>
      </c>
      <c r="E2157" s="0" t="str">
        <f aca="false">IF(OR(AND($B$9="superior",D2157&gt;$B$10),AND($B$9="inferior",D2157&lt;-$B$10)),"Rechazar H0","No rechazar H0")</f>
        <v>No rechazar H0</v>
      </c>
      <c r="F2157" s="0" t="str">
        <f aca="false">IF(AND(B2157="H0 verdadera",E2157="Rechazar H0"),"Error tipo I",IF(AND(B2157="Ha verdadera",E2157="No rechazar H0"),"Error tipo II","Decisión correcta"))</f>
        <v>Decisión correcta</v>
      </c>
    </row>
    <row r="2158" customFormat="false" ht="15" hidden="false" customHeight="false" outlineLevel="0" collapsed="false">
      <c r="A2158" s="0" t="n">
        <v>2137</v>
      </c>
      <c r="B2158" s="0" t="s">
        <v>86</v>
      </c>
      <c r="C2158" s="17" t="n">
        <v>0.0256322943503548</v>
      </c>
      <c r="D2158" s="17" t="n">
        <f aca="false">(C2158-$B$4)/($B$6/SQRT($B$7))</f>
        <v>0.128161471751774</v>
      </c>
      <c r="E2158" s="0" t="str">
        <f aca="false">IF(OR(AND($B$9="superior",D2158&gt;$B$10),AND($B$9="inferior",D2158&lt;-$B$10)),"Rechazar H0","No rechazar H0")</f>
        <v>No rechazar H0</v>
      </c>
      <c r="F2158" s="0" t="str">
        <f aca="false">IF(AND(B2158="H0 verdadera",E2158="Rechazar H0"),"Error tipo I",IF(AND(B2158="Ha verdadera",E2158="No rechazar H0"),"Error tipo II","Decisión correcta"))</f>
        <v>Error tipo II</v>
      </c>
    </row>
    <row r="2159" customFormat="false" ht="15" hidden="false" customHeight="false" outlineLevel="0" collapsed="false">
      <c r="A2159" s="0" t="n">
        <v>2138</v>
      </c>
      <c r="B2159" s="0" t="s">
        <v>85</v>
      </c>
      <c r="C2159" s="17" t="n">
        <v>-0.148521118255021</v>
      </c>
      <c r="D2159" s="17" t="n">
        <f aca="false">(C2159-$B$4)/($B$6/SQRT($B$7))</f>
        <v>-0.742605591275105</v>
      </c>
      <c r="E2159" s="0" t="str">
        <f aca="false">IF(OR(AND($B$9="superior",D2159&gt;$B$10),AND($B$9="inferior",D2159&lt;-$B$10)),"Rechazar H0","No rechazar H0")</f>
        <v>No rechazar H0</v>
      </c>
      <c r="F2159" s="0" t="str">
        <f aca="false">IF(AND(B2159="H0 verdadera",E2159="Rechazar H0"),"Error tipo I",IF(AND(B2159="Ha verdadera",E2159="No rechazar H0"),"Error tipo II","Decisión correcta"))</f>
        <v>Decisión correcta</v>
      </c>
    </row>
    <row r="2160" customFormat="false" ht="15" hidden="false" customHeight="false" outlineLevel="0" collapsed="false">
      <c r="A2160" s="0" t="n">
        <v>2139</v>
      </c>
      <c r="B2160" s="0" t="s">
        <v>86</v>
      </c>
      <c r="C2160" s="17" t="n">
        <v>-0.598584275502014</v>
      </c>
      <c r="D2160" s="17" t="n">
        <f aca="false">(C2160-$B$4)/($B$6/SQRT($B$7))</f>
        <v>-2.99292137751007</v>
      </c>
      <c r="E2160" s="0" t="str">
        <f aca="false">IF(OR(AND($B$9="superior",D2160&gt;$B$10),AND($B$9="inferior",D2160&lt;-$B$10)),"Rechazar H0","No rechazar H0")</f>
        <v>Rechazar H0</v>
      </c>
      <c r="F2160" s="0" t="str">
        <f aca="false">IF(AND(B2160="H0 verdadera",E2160="Rechazar H0"),"Error tipo I",IF(AND(B2160="Ha verdadera",E2160="No rechazar H0"),"Error tipo II","Decisión correcta"))</f>
        <v>Decisión correcta</v>
      </c>
    </row>
    <row r="2161" customFormat="false" ht="15" hidden="false" customHeight="false" outlineLevel="0" collapsed="false">
      <c r="A2161" s="0" t="n">
        <v>2140</v>
      </c>
      <c r="B2161" s="0" t="s">
        <v>85</v>
      </c>
      <c r="C2161" s="17" t="n">
        <v>0.0164960115426113</v>
      </c>
      <c r="D2161" s="17" t="n">
        <f aca="false">(C2161-$B$4)/($B$6/SQRT($B$7))</f>
        <v>0.0824800577130565</v>
      </c>
      <c r="E2161" s="0" t="str">
        <f aca="false">IF(OR(AND($B$9="superior",D2161&gt;$B$10),AND($B$9="inferior",D2161&lt;-$B$10)),"Rechazar H0","No rechazar H0")</f>
        <v>No rechazar H0</v>
      </c>
      <c r="F2161" s="0" t="str">
        <f aca="false">IF(AND(B2161="H0 verdadera",E2161="Rechazar H0"),"Error tipo I",IF(AND(B2161="Ha verdadera",E2161="No rechazar H0"),"Error tipo II","Decisión correcta"))</f>
        <v>Decisión correcta</v>
      </c>
    </row>
    <row r="2162" customFormat="false" ht="15" hidden="false" customHeight="false" outlineLevel="0" collapsed="false">
      <c r="A2162" s="0" t="n">
        <v>2141</v>
      </c>
      <c r="B2162" s="0" t="s">
        <v>85</v>
      </c>
      <c r="C2162" s="17" t="n">
        <v>0.178450863571801</v>
      </c>
      <c r="D2162" s="17" t="n">
        <f aca="false">(C2162-$B$4)/($B$6/SQRT($B$7))</f>
        <v>0.892254317859007</v>
      </c>
      <c r="E2162" s="0" t="str">
        <f aca="false">IF(OR(AND($B$9="superior",D2162&gt;$B$10),AND($B$9="inferior",D2162&lt;-$B$10)),"Rechazar H0","No rechazar H0")</f>
        <v>No rechazar H0</v>
      </c>
      <c r="F2162" s="0" t="str">
        <f aca="false">IF(AND(B2162="H0 verdadera",E2162="Rechazar H0"),"Error tipo I",IF(AND(B2162="Ha verdadera",E2162="No rechazar H0"),"Error tipo II","Decisión correcta"))</f>
        <v>Decisión correcta</v>
      </c>
    </row>
    <row r="2163" customFormat="false" ht="15" hidden="false" customHeight="false" outlineLevel="0" collapsed="false">
      <c r="A2163" s="0" t="n">
        <v>2142</v>
      </c>
      <c r="B2163" s="0" t="s">
        <v>85</v>
      </c>
      <c r="C2163" s="17" t="n">
        <v>0.314994782583719</v>
      </c>
      <c r="D2163" s="17" t="n">
        <f aca="false">(C2163-$B$4)/($B$6/SQRT($B$7))</f>
        <v>1.5749739129186</v>
      </c>
      <c r="E2163" s="0" t="str">
        <f aca="false">IF(OR(AND($B$9="superior",D2163&gt;$B$10),AND($B$9="inferior",D2163&lt;-$B$10)),"Rechazar H0","No rechazar H0")</f>
        <v>No rechazar H0</v>
      </c>
      <c r="F2163" s="0" t="str">
        <f aca="false">IF(AND(B2163="H0 verdadera",E2163="Rechazar H0"),"Error tipo I",IF(AND(B2163="Ha verdadera",E2163="No rechazar H0"),"Error tipo II","Decisión correcta"))</f>
        <v>Decisión correcta</v>
      </c>
    </row>
    <row r="2164" customFormat="false" ht="15" hidden="false" customHeight="false" outlineLevel="0" collapsed="false">
      <c r="A2164" s="0" t="n">
        <v>2143</v>
      </c>
      <c r="B2164" s="0" t="s">
        <v>86</v>
      </c>
      <c r="C2164" s="17" t="n">
        <v>-0.271525542604168</v>
      </c>
      <c r="D2164" s="17" t="n">
        <f aca="false">(C2164-$B$4)/($B$6/SQRT($B$7))</f>
        <v>-1.35762771302084</v>
      </c>
      <c r="E2164" s="0" t="str">
        <f aca="false">IF(OR(AND($B$9="superior",D2164&gt;$B$10),AND($B$9="inferior",D2164&lt;-$B$10)),"Rechazar H0","No rechazar H0")</f>
        <v>No rechazar H0</v>
      </c>
      <c r="F2164" s="0" t="str">
        <f aca="false">IF(AND(B2164="H0 verdadera",E2164="Rechazar H0"),"Error tipo I",IF(AND(B2164="Ha verdadera",E2164="No rechazar H0"),"Error tipo II","Decisión correcta"))</f>
        <v>Error tipo II</v>
      </c>
    </row>
    <row r="2165" customFormat="false" ht="15" hidden="false" customHeight="false" outlineLevel="0" collapsed="false">
      <c r="A2165" s="0" t="n">
        <v>2144</v>
      </c>
      <c r="B2165" s="0" t="s">
        <v>86</v>
      </c>
      <c r="C2165" s="17" t="n">
        <v>-0.67304677054674</v>
      </c>
      <c r="D2165" s="17" t="n">
        <f aca="false">(C2165-$B$4)/($B$6/SQRT($B$7))</f>
        <v>-3.3652338527337</v>
      </c>
      <c r="E2165" s="0" t="str">
        <f aca="false">IF(OR(AND($B$9="superior",D2165&gt;$B$10),AND($B$9="inferior",D2165&lt;-$B$10)),"Rechazar H0","No rechazar H0")</f>
        <v>Rechazar H0</v>
      </c>
      <c r="F2165" s="0" t="str">
        <f aca="false">IF(AND(B2165="H0 verdadera",E2165="Rechazar H0"),"Error tipo I",IF(AND(B2165="Ha verdadera",E2165="No rechazar H0"),"Error tipo II","Decisión correcta"))</f>
        <v>Decisión correcta</v>
      </c>
    </row>
    <row r="2166" customFormat="false" ht="15" hidden="false" customHeight="false" outlineLevel="0" collapsed="false">
      <c r="A2166" s="0" t="n">
        <v>2145</v>
      </c>
      <c r="B2166" s="0" t="s">
        <v>86</v>
      </c>
      <c r="C2166" s="17" t="n">
        <v>-0.543201983533351</v>
      </c>
      <c r="D2166" s="17" t="n">
        <f aca="false">(C2166-$B$4)/($B$6/SQRT($B$7))</f>
        <v>-2.71600991766676</v>
      </c>
      <c r="E2166" s="0" t="str">
        <f aca="false">IF(OR(AND($B$9="superior",D2166&gt;$B$10),AND($B$9="inferior",D2166&lt;-$B$10)),"Rechazar H0","No rechazar H0")</f>
        <v>Rechazar H0</v>
      </c>
      <c r="F2166" s="0" t="str">
        <f aca="false">IF(AND(B2166="H0 verdadera",E2166="Rechazar H0"),"Error tipo I",IF(AND(B2166="Ha verdadera",E2166="No rechazar H0"),"Error tipo II","Decisión correcta"))</f>
        <v>Decisión correcta</v>
      </c>
    </row>
    <row r="2167" customFormat="false" ht="15" hidden="false" customHeight="false" outlineLevel="0" collapsed="false">
      <c r="A2167" s="0" t="n">
        <v>2146</v>
      </c>
      <c r="B2167" s="0" t="s">
        <v>86</v>
      </c>
      <c r="C2167" s="17" t="n">
        <v>-0.0442244139438736</v>
      </c>
      <c r="D2167" s="17" t="n">
        <f aca="false">(C2167-$B$4)/($B$6/SQRT($B$7))</f>
        <v>-0.221122069719368</v>
      </c>
      <c r="E2167" s="0" t="str">
        <f aca="false">IF(OR(AND($B$9="superior",D2167&gt;$B$10),AND($B$9="inferior",D2167&lt;-$B$10)),"Rechazar H0","No rechazar H0")</f>
        <v>No rechazar H0</v>
      </c>
      <c r="F2167" s="0" t="str">
        <f aca="false">IF(AND(B2167="H0 verdadera",E2167="Rechazar H0"),"Error tipo I",IF(AND(B2167="Ha verdadera",E2167="No rechazar H0"),"Error tipo II","Decisión correcta"))</f>
        <v>Error tipo II</v>
      </c>
    </row>
    <row r="2168" customFormat="false" ht="15" hidden="false" customHeight="false" outlineLevel="0" collapsed="false">
      <c r="A2168" s="0" t="n">
        <v>2147</v>
      </c>
      <c r="B2168" s="0" t="s">
        <v>85</v>
      </c>
      <c r="C2168" s="17" t="n">
        <v>0.298001363464612</v>
      </c>
      <c r="D2168" s="17" t="n">
        <f aca="false">(C2168-$B$4)/($B$6/SQRT($B$7))</f>
        <v>1.49000681732306</v>
      </c>
      <c r="E2168" s="0" t="str">
        <f aca="false">IF(OR(AND($B$9="superior",D2168&gt;$B$10),AND($B$9="inferior",D2168&lt;-$B$10)),"Rechazar H0","No rechazar H0")</f>
        <v>No rechazar H0</v>
      </c>
      <c r="F2168" s="0" t="str">
        <f aca="false">IF(AND(B2168="H0 verdadera",E2168="Rechazar H0"),"Error tipo I",IF(AND(B2168="Ha verdadera",E2168="No rechazar H0"),"Error tipo II","Decisión correcta"))</f>
        <v>Decisión correcta</v>
      </c>
    </row>
    <row r="2169" customFormat="false" ht="15" hidden="false" customHeight="false" outlineLevel="0" collapsed="false">
      <c r="A2169" s="0" t="n">
        <v>2148</v>
      </c>
      <c r="B2169" s="0" t="s">
        <v>86</v>
      </c>
      <c r="C2169" s="17" t="n">
        <v>-0.588516938717621</v>
      </c>
      <c r="D2169" s="17" t="n">
        <f aca="false">(C2169-$B$4)/($B$6/SQRT($B$7))</f>
        <v>-2.94258469358811</v>
      </c>
      <c r="E2169" s="0" t="str">
        <f aca="false">IF(OR(AND($B$9="superior",D2169&gt;$B$10),AND($B$9="inferior",D2169&lt;-$B$10)),"Rechazar H0","No rechazar H0")</f>
        <v>Rechazar H0</v>
      </c>
      <c r="F2169" s="0" t="str">
        <f aca="false">IF(AND(B2169="H0 verdadera",E2169="Rechazar H0"),"Error tipo I",IF(AND(B2169="Ha verdadera",E2169="No rechazar H0"),"Error tipo II","Decisión correcta"))</f>
        <v>Decisión correcta</v>
      </c>
    </row>
    <row r="2170" customFormat="false" ht="15" hidden="false" customHeight="false" outlineLevel="0" collapsed="false">
      <c r="A2170" s="0" t="n">
        <v>2149</v>
      </c>
      <c r="B2170" s="0" t="s">
        <v>86</v>
      </c>
      <c r="C2170" s="17" t="n">
        <v>-0.25495865583248</v>
      </c>
      <c r="D2170" s="17" t="n">
        <f aca="false">(C2170-$B$4)/($B$6/SQRT($B$7))</f>
        <v>-1.2747932791624</v>
      </c>
      <c r="E2170" s="0" t="str">
        <f aca="false">IF(OR(AND($B$9="superior",D2170&gt;$B$10),AND($B$9="inferior",D2170&lt;-$B$10)),"Rechazar H0","No rechazar H0")</f>
        <v>No rechazar H0</v>
      </c>
      <c r="F2170" s="0" t="str">
        <f aca="false">IF(AND(B2170="H0 verdadera",E2170="Rechazar H0"),"Error tipo I",IF(AND(B2170="Ha verdadera",E2170="No rechazar H0"),"Error tipo II","Decisión correcta"))</f>
        <v>Error tipo II</v>
      </c>
    </row>
    <row r="2171" customFormat="false" ht="15" hidden="false" customHeight="false" outlineLevel="0" collapsed="false">
      <c r="A2171" s="0" t="n">
        <v>2150</v>
      </c>
      <c r="B2171" s="0" t="s">
        <v>85</v>
      </c>
      <c r="C2171" s="17" t="n">
        <v>-0.27397030391204</v>
      </c>
      <c r="D2171" s="17" t="n">
        <f aca="false">(C2171-$B$4)/($B$6/SQRT($B$7))</f>
        <v>-1.3698515195602</v>
      </c>
      <c r="E2171" s="0" t="str">
        <f aca="false">IF(OR(AND($B$9="superior",D2171&gt;$B$10),AND($B$9="inferior",D2171&lt;-$B$10)),"Rechazar H0","No rechazar H0")</f>
        <v>No rechazar H0</v>
      </c>
      <c r="F2171" s="0" t="str">
        <f aca="false">IF(AND(B2171="H0 verdadera",E2171="Rechazar H0"),"Error tipo I",IF(AND(B2171="Ha verdadera",E2171="No rechazar H0"),"Error tipo II","Decisión correcta"))</f>
        <v>Decisión correcta</v>
      </c>
    </row>
    <row r="2172" customFormat="false" ht="15" hidden="false" customHeight="false" outlineLevel="0" collapsed="false">
      <c r="A2172" s="0" t="n">
        <v>2151</v>
      </c>
      <c r="B2172" s="0" t="s">
        <v>86</v>
      </c>
      <c r="C2172" s="17" t="n">
        <v>-0.192044006158548</v>
      </c>
      <c r="D2172" s="17" t="n">
        <f aca="false">(C2172-$B$4)/($B$6/SQRT($B$7))</f>
        <v>-0.960220030792739</v>
      </c>
      <c r="E2172" s="0" t="str">
        <f aca="false">IF(OR(AND($B$9="superior",D2172&gt;$B$10),AND($B$9="inferior",D2172&lt;-$B$10)),"Rechazar H0","No rechazar H0")</f>
        <v>No rechazar H0</v>
      </c>
      <c r="F2172" s="0" t="str">
        <f aca="false">IF(AND(B2172="H0 verdadera",E2172="Rechazar H0"),"Error tipo I",IF(AND(B2172="Ha verdadera",E2172="No rechazar H0"),"Error tipo II","Decisión correcta"))</f>
        <v>Error tipo II</v>
      </c>
    </row>
    <row r="2173" customFormat="false" ht="15" hidden="false" customHeight="false" outlineLevel="0" collapsed="false">
      <c r="A2173" s="0" t="n">
        <v>2152</v>
      </c>
      <c r="B2173" s="0" t="s">
        <v>85</v>
      </c>
      <c r="C2173" s="17" t="n">
        <v>0.0646328509779587</v>
      </c>
      <c r="D2173" s="17" t="n">
        <f aca="false">(C2173-$B$4)/($B$6/SQRT($B$7))</f>
        <v>0.323164254889793</v>
      </c>
      <c r="E2173" s="0" t="str">
        <f aca="false">IF(OR(AND($B$9="superior",D2173&gt;$B$10),AND($B$9="inferior",D2173&lt;-$B$10)),"Rechazar H0","No rechazar H0")</f>
        <v>No rechazar H0</v>
      </c>
      <c r="F2173" s="0" t="str">
        <f aca="false">IF(AND(B2173="H0 verdadera",E2173="Rechazar H0"),"Error tipo I",IF(AND(B2173="Ha verdadera",E2173="No rechazar H0"),"Error tipo II","Decisión correcta"))</f>
        <v>Decisión correcta</v>
      </c>
    </row>
    <row r="2174" customFormat="false" ht="15" hidden="false" customHeight="false" outlineLevel="0" collapsed="false">
      <c r="A2174" s="0" t="n">
        <v>2153</v>
      </c>
      <c r="B2174" s="0" t="s">
        <v>85</v>
      </c>
      <c r="C2174" s="17" t="n">
        <v>-0.0961708641861508</v>
      </c>
      <c r="D2174" s="17" t="n">
        <f aca="false">(C2174-$B$4)/($B$6/SQRT($B$7))</f>
        <v>-0.480854320930754</v>
      </c>
      <c r="E2174" s="0" t="str">
        <f aca="false">IF(OR(AND($B$9="superior",D2174&gt;$B$10),AND($B$9="inferior",D2174&lt;-$B$10)),"Rechazar H0","No rechazar H0")</f>
        <v>No rechazar H0</v>
      </c>
      <c r="F2174" s="0" t="str">
        <f aca="false">IF(AND(B2174="H0 verdadera",E2174="Rechazar H0"),"Error tipo I",IF(AND(B2174="Ha verdadera",E2174="No rechazar H0"),"Error tipo II","Decisión correcta"))</f>
        <v>Decisión correcta</v>
      </c>
    </row>
    <row r="2175" customFormat="false" ht="15" hidden="false" customHeight="false" outlineLevel="0" collapsed="false">
      <c r="A2175" s="0" t="n">
        <v>2154</v>
      </c>
      <c r="B2175" s="0" t="s">
        <v>85</v>
      </c>
      <c r="C2175" s="17" t="n">
        <v>-0.268927621341924</v>
      </c>
      <c r="D2175" s="17" t="n">
        <f aca="false">(C2175-$B$4)/($B$6/SQRT($B$7))</f>
        <v>-1.34463810670962</v>
      </c>
      <c r="E2175" s="0" t="str">
        <f aca="false">IF(OR(AND($B$9="superior",D2175&gt;$B$10),AND($B$9="inferior",D2175&lt;-$B$10)),"Rechazar H0","No rechazar H0")</f>
        <v>No rechazar H0</v>
      </c>
      <c r="F2175" s="0" t="str">
        <f aca="false">IF(AND(B2175="H0 verdadera",E2175="Rechazar H0"),"Error tipo I",IF(AND(B2175="Ha verdadera",E2175="No rechazar H0"),"Error tipo II","Decisión correcta"))</f>
        <v>Decisión correcta</v>
      </c>
    </row>
    <row r="2176" customFormat="false" ht="15" hidden="false" customHeight="false" outlineLevel="0" collapsed="false">
      <c r="A2176" s="0" t="n">
        <v>2155</v>
      </c>
      <c r="B2176" s="0" t="s">
        <v>86</v>
      </c>
      <c r="C2176" s="17" t="n">
        <v>-0.338890268852976</v>
      </c>
      <c r="D2176" s="17" t="n">
        <f aca="false">(C2176-$B$4)/($B$6/SQRT($B$7))</f>
        <v>-1.69445134426488</v>
      </c>
      <c r="E2176" s="0" t="str">
        <f aca="false">IF(OR(AND($B$9="superior",D2176&gt;$B$10),AND($B$9="inferior",D2176&lt;-$B$10)),"Rechazar H0","No rechazar H0")</f>
        <v>Rechazar H0</v>
      </c>
      <c r="F2176" s="0" t="str">
        <f aca="false">IF(AND(B2176="H0 verdadera",E2176="Rechazar H0"),"Error tipo I",IF(AND(B2176="Ha verdadera",E2176="No rechazar H0"),"Error tipo II","Decisión correcta"))</f>
        <v>Decisión correcta</v>
      </c>
    </row>
    <row r="2177" customFormat="false" ht="15" hidden="false" customHeight="false" outlineLevel="0" collapsed="false">
      <c r="A2177" s="0" t="n">
        <v>2156</v>
      </c>
      <c r="B2177" s="0" t="s">
        <v>85</v>
      </c>
      <c r="C2177" s="17" t="n">
        <v>-0.238598636518796</v>
      </c>
      <c r="D2177" s="17" t="n">
        <f aca="false">(C2177-$B$4)/($B$6/SQRT($B$7))</f>
        <v>-1.19299318259398</v>
      </c>
      <c r="E2177" s="0" t="str">
        <f aca="false">IF(OR(AND($B$9="superior",D2177&gt;$B$10),AND($B$9="inferior",D2177&lt;-$B$10)),"Rechazar H0","No rechazar H0")</f>
        <v>No rechazar H0</v>
      </c>
      <c r="F2177" s="0" t="str">
        <f aca="false">IF(AND(B2177="H0 verdadera",E2177="Rechazar H0"),"Error tipo I",IF(AND(B2177="Ha verdadera",E2177="No rechazar H0"),"Error tipo II","Decisión correcta"))</f>
        <v>Decisión correcta</v>
      </c>
    </row>
    <row r="2178" customFormat="false" ht="15" hidden="false" customHeight="false" outlineLevel="0" collapsed="false">
      <c r="A2178" s="0" t="n">
        <v>2157</v>
      </c>
      <c r="B2178" s="0" t="s">
        <v>86</v>
      </c>
      <c r="C2178" s="17" t="n">
        <v>-0.702563625931427</v>
      </c>
      <c r="D2178" s="17" t="n">
        <f aca="false">(C2178-$B$4)/($B$6/SQRT($B$7))</f>
        <v>-3.51281812965714</v>
      </c>
      <c r="E2178" s="0" t="str">
        <f aca="false">IF(OR(AND($B$9="superior",D2178&gt;$B$10),AND($B$9="inferior",D2178&lt;-$B$10)),"Rechazar H0","No rechazar H0")</f>
        <v>Rechazar H0</v>
      </c>
      <c r="F2178" s="0" t="str">
        <f aca="false">IF(AND(B2178="H0 verdadera",E2178="Rechazar H0"),"Error tipo I",IF(AND(B2178="Ha verdadera",E2178="No rechazar H0"),"Error tipo II","Decisión correcta"))</f>
        <v>Decisión correcta</v>
      </c>
    </row>
    <row r="2179" customFormat="false" ht="15" hidden="false" customHeight="false" outlineLevel="0" collapsed="false">
      <c r="A2179" s="0" t="n">
        <v>2158</v>
      </c>
      <c r="B2179" s="0" t="s">
        <v>86</v>
      </c>
      <c r="C2179" s="17" t="n">
        <v>-0.417392700521759</v>
      </c>
      <c r="D2179" s="17" t="n">
        <f aca="false">(C2179-$B$4)/($B$6/SQRT($B$7))</f>
        <v>-2.0869635026088</v>
      </c>
      <c r="E2179" s="0" t="str">
        <f aca="false">IF(OR(AND($B$9="superior",D2179&gt;$B$10),AND($B$9="inferior",D2179&lt;-$B$10)),"Rechazar H0","No rechazar H0")</f>
        <v>Rechazar H0</v>
      </c>
      <c r="F2179" s="0" t="str">
        <f aca="false">IF(AND(B2179="H0 verdadera",E2179="Rechazar H0"),"Error tipo I",IF(AND(B2179="Ha verdadera",E2179="No rechazar H0"),"Error tipo II","Decisión correcta"))</f>
        <v>Decisión correcta</v>
      </c>
    </row>
    <row r="2180" customFormat="false" ht="15" hidden="false" customHeight="false" outlineLevel="0" collapsed="false">
      <c r="A2180" s="0" t="n">
        <v>2159</v>
      </c>
      <c r="B2180" s="0" t="s">
        <v>85</v>
      </c>
      <c r="C2180" s="17" t="n">
        <v>-0.274485167529431</v>
      </c>
      <c r="D2180" s="17" t="n">
        <f aca="false">(C2180-$B$4)/($B$6/SQRT($B$7))</f>
        <v>-1.37242583764716</v>
      </c>
      <c r="E2180" s="0" t="str">
        <f aca="false">IF(OR(AND($B$9="superior",D2180&gt;$B$10),AND($B$9="inferior",D2180&lt;-$B$10)),"Rechazar H0","No rechazar H0")</f>
        <v>No rechazar H0</v>
      </c>
      <c r="F2180" s="0" t="str">
        <f aca="false">IF(AND(B2180="H0 verdadera",E2180="Rechazar H0"),"Error tipo I",IF(AND(B2180="Ha verdadera",E2180="No rechazar H0"),"Error tipo II","Decisión correcta"))</f>
        <v>Decisión correcta</v>
      </c>
    </row>
    <row r="2181" customFormat="false" ht="15" hidden="false" customHeight="false" outlineLevel="0" collapsed="false">
      <c r="A2181" s="0" t="n">
        <v>2160</v>
      </c>
      <c r="B2181" s="0" t="s">
        <v>86</v>
      </c>
      <c r="C2181" s="17" t="n">
        <v>-0.243245888886007</v>
      </c>
      <c r="D2181" s="17" t="n">
        <f aca="false">(C2181-$B$4)/($B$6/SQRT($B$7))</f>
        <v>-1.21622944443003</v>
      </c>
      <c r="E2181" s="0" t="str">
        <f aca="false">IF(OR(AND($B$9="superior",D2181&gt;$B$10),AND($B$9="inferior",D2181&lt;-$B$10)),"Rechazar H0","No rechazar H0")</f>
        <v>No rechazar H0</v>
      </c>
      <c r="F2181" s="0" t="str">
        <f aca="false">IF(AND(B2181="H0 verdadera",E2181="Rechazar H0"),"Error tipo I",IF(AND(B2181="Ha verdadera",E2181="No rechazar H0"),"Error tipo II","Decisión correcta"))</f>
        <v>Error tipo II</v>
      </c>
    </row>
    <row r="2182" customFormat="false" ht="15" hidden="false" customHeight="false" outlineLevel="0" collapsed="false">
      <c r="A2182" s="0" t="n">
        <v>2161</v>
      </c>
      <c r="B2182" s="0" t="s">
        <v>86</v>
      </c>
      <c r="C2182" s="17" t="n">
        <v>-0.719733821209862</v>
      </c>
      <c r="D2182" s="17" t="n">
        <f aca="false">(C2182-$B$4)/($B$6/SQRT($B$7))</f>
        <v>-3.59866910604931</v>
      </c>
      <c r="E2182" s="0" t="str">
        <f aca="false">IF(OR(AND($B$9="superior",D2182&gt;$B$10),AND($B$9="inferior",D2182&lt;-$B$10)),"Rechazar H0","No rechazar H0")</f>
        <v>Rechazar H0</v>
      </c>
      <c r="F2182" s="0" t="str">
        <f aca="false">IF(AND(B2182="H0 verdadera",E2182="Rechazar H0"),"Error tipo I",IF(AND(B2182="Ha verdadera",E2182="No rechazar H0"),"Error tipo II","Decisión correcta"))</f>
        <v>Decisión correcta</v>
      </c>
    </row>
    <row r="2183" customFormat="false" ht="15" hidden="false" customHeight="false" outlineLevel="0" collapsed="false">
      <c r="A2183" s="0" t="n">
        <v>2162</v>
      </c>
      <c r="B2183" s="0" t="s">
        <v>85</v>
      </c>
      <c r="C2183" s="17" t="n">
        <v>-0.169180520169091</v>
      </c>
      <c r="D2183" s="17" t="n">
        <f aca="false">(C2183-$B$4)/($B$6/SQRT($B$7))</f>
        <v>-0.845902600845452</v>
      </c>
      <c r="E2183" s="0" t="str">
        <f aca="false">IF(OR(AND($B$9="superior",D2183&gt;$B$10),AND($B$9="inferior",D2183&lt;-$B$10)),"Rechazar H0","No rechazar H0")</f>
        <v>No rechazar H0</v>
      </c>
      <c r="F2183" s="0" t="str">
        <f aca="false">IF(AND(B2183="H0 verdadera",E2183="Rechazar H0"),"Error tipo I",IF(AND(B2183="Ha verdadera",E2183="No rechazar H0"),"Error tipo II","Decisión correcta"))</f>
        <v>Decisión correcta</v>
      </c>
    </row>
    <row r="2184" customFormat="false" ht="15" hidden="false" customHeight="false" outlineLevel="0" collapsed="false">
      <c r="A2184" s="0" t="n">
        <v>2163</v>
      </c>
      <c r="B2184" s="0" t="s">
        <v>86</v>
      </c>
      <c r="C2184" s="17" t="n">
        <v>-0.596364871292477</v>
      </c>
      <c r="D2184" s="17" t="n">
        <f aca="false">(C2184-$B$4)/($B$6/SQRT($B$7))</f>
        <v>-2.98182435646238</v>
      </c>
      <c r="E2184" s="0" t="str">
        <f aca="false">IF(OR(AND($B$9="superior",D2184&gt;$B$10),AND($B$9="inferior",D2184&lt;-$B$10)),"Rechazar H0","No rechazar H0")</f>
        <v>Rechazar H0</v>
      </c>
      <c r="F2184" s="0" t="str">
        <f aca="false">IF(AND(B2184="H0 verdadera",E2184="Rechazar H0"),"Error tipo I",IF(AND(B2184="Ha verdadera",E2184="No rechazar H0"),"Error tipo II","Decisión correcta"))</f>
        <v>Decisión correcta</v>
      </c>
    </row>
    <row r="2185" customFormat="false" ht="15" hidden="false" customHeight="false" outlineLevel="0" collapsed="false">
      <c r="A2185" s="0" t="n">
        <v>2164</v>
      </c>
      <c r="B2185" s="0" t="s">
        <v>85</v>
      </c>
      <c r="C2185" s="17" t="n">
        <v>-0.0713770666588532</v>
      </c>
      <c r="D2185" s="17" t="n">
        <f aca="false">(C2185-$B$4)/($B$6/SQRT($B$7))</f>
        <v>-0.356885333294266</v>
      </c>
      <c r="E2185" s="0" t="str">
        <f aca="false">IF(OR(AND($B$9="superior",D2185&gt;$B$10),AND($B$9="inferior",D2185&lt;-$B$10)),"Rechazar H0","No rechazar H0")</f>
        <v>No rechazar H0</v>
      </c>
      <c r="F2185" s="0" t="str">
        <f aca="false">IF(AND(B2185="H0 verdadera",E2185="Rechazar H0"),"Error tipo I",IF(AND(B2185="Ha verdadera",E2185="No rechazar H0"),"Error tipo II","Decisión correcta"))</f>
        <v>Decisión correcta</v>
      </c>
    </row>
    <row r="2186" customFormat="false" ht="15" hidden="false" customHeight="false" outlineLevel="0" collapsed="false">
      <c r="A2186" s="0" t="n">
        <v>2165</v>
      </c>
      <c r="B2186" s="0" t="s">
        <v>86</v>
      </c>
      <c r="C2186" s="17" t="n">
        <v>-0.377149750562596</v>
      </c>
      <c r="D2186" s="17" t="n">
        <f aca="false">(C2186-$B$4)/($B$6/SQRT($B$7))</f>
        <v>-1.88574875281298</v>
      </c>
      <c r="E2186" s="0" t="str">
        <f aca="false">IF(OR(AND($B$9="superior",D2186&gt;$B$10),AND($B$9="inferior",D2186&lt;-$B$10)),"Rechazar H0","No rechazar H0")</f>
        <v>Rechazar H0</v>
      </c>
      <c r="F2186" s="0" t="str">
        <f aca="false">IF(AND(B2186="H0 verdadera",E2186="Rechazar H0"),"Error tipo I",IF(AND(B2186="Ha verdadera",E2186="No rechazar H0"),"Error tipo II","Decisión correcta"))</f>
        <v>Decisión correcta</v>
      </c>
    </row>
    <row r="2187" customFormat="false" ht="15" hidden="false" customHeight="false" outlineLevel="0" collapsed="false">
      <c r="A2187" s="0" t="n">
        <v>2166</v>
      </c>
      <c r="B2187" s="0" t="s">
        <v>86</v>
      </c>
      <c r="C2187" s="17" t="n">
        <v>-0.370969706184572</v>
      </c>
      <c r="D2187" s="17" t="n">
        <f aca="false">(C2187-$B$4)/($B$6/SQRT($B$7))</f>
        <v>-1.85484853092286</v>
      </c>
      <c r="E2187" s="0" t="str">
        <f aca="false">IF(OR(AND($B$9="superior",D2187&gt;$B$10),AND($B$9="inferior",D2187&lt;-$B$10)),"Rechazar H0","No rechazar H0")</f>
        <v>Rechazar H0</v>
      </c>
      <c r="F2187" s="0" t="str">
        <f aca="false">IF(AND(B2187="H0 verdadera",E2187="Rechazar H0"),"Error tipo I",IF(AND(B2187="Ha verdadera",E2187="No rechazar H0"),"Error tipo II","Decisión correcta"))</f>
        <v>Decisión correcta</v>
      </c>
    </row>
    <row r="2188" customFormat="false" ht="15" hidden="false" customHeight="false" outlineLevel="0" collapsed="false">
      <c r="A2188" s="0" t="n">
        <v>2167</v>
      </c>
      <c r="B2188" s="0" t="s">
        <v>85</v>
      </c>
      <c r="C2188" s="17" t="n">
        <v>-0.252746002338694</v>
      </c>
      <c r="D2188" s="17" t="n">
        <f aca="false">(C2188-$B$4)/($B$6/SQRT($B$7))</f>
        <v>-1.26373001169347</v>
      </c>
      <c r="E2188" s="0" t="str">
        <f aca="false">IF(OR(AND($B$9="superior",D2188&gt;$B$10),AND($B$9="inferior",D2188&lt;-$B$10)),"Rechazar H0","No rechazar H0")</f>
        <v>No rechazar H0</v>
      </c>
      <c r="F2188" s="0" t="str">
        <f aca="false">IF(AND(B2188="H0 verdadera",E2188="Rechazar H0"),"Error tipo I",IF(AND(B2188="Ha verdadera",E2188="No rechazar H0"),"Error tipo II","Decisión correcta"))</f>
        <v>Decisión correcta</v>
      </c>
    </row>
    <row r="2189" customFormat="false" ht="15" hidden="false" customHeight="false" outlineLevel="0" collapsed="false">
      <c r="A2189" s="0" t="n">
        <v>2168</v>
      </c>
      <c r="B2189" s="0" t="s">
        <v>85</v>
      </c>
      <c r="C2189" s="17" t="n">
        <v>0.287294949921873</v>
      </c>
      <c r="D2189" s="17" t="n">
        <f aca="false">(C2189-$B$4)/($B$6/SQRT($B$7))</f>
        <v>1.43647474960936</v>
      </c>
      <c r="E2189" s="0" t="str">
        <f aca="false">IF(OR(AND($B$9="superior",D2189&gt;$B$10),AND($B$9="inferior",D2189&lt;-$B$10)),"Rechazar H0","No rechazar H0")</f>
        <v>No rechazar H0</v>
      </c>
      <c r="F2189" s="0" t="str">
        <f aca="false">IF(AND(B2189="H0 verdadera",E2189="Rechazar H0"),"Error tipo I",IF(AND(B2189="Ha verdadera",E2189="No rechazar H0"),"Error tipo II","Decisión correcta"))</f>
        <v>Decisión correcta</v>
      </c>
    </row>
    <row r="2190" customFormat="false" ht="15" hidden="false" customHeight="false" outlineLevel="0" collapsed="false">
      <c r="A2190" s="0" t="n">
        <v>2169</v>
      </c>
      <c r="B2190" s="0" t="s">
        <v>85</v>
      </c>
      <c r="C2190" s="17" t="n">
        <v>0.0146437891922114</v>
      </c>
      <c r="D2190" s="17" t="n">
        <f aca="false">(C2190-$B$4)/($B$6/SQRT($B$7))</f>
        <v>0.073218945961057</v>
      </c>
      <c r="E2190" s="0" t="str">
        <f aca="false">IF(OR(AND($B$9="superior",D2190&gt;$B$10),AND($B$9="inferior",D2190&lt;-$B$10)),"Rechazar H0","No rechazar H0")</f>
        <v>No rechazar H0</v>
      </c>
      <c r="F2190" s="0" t="str">
        <f aca="false">IF(AND(B2190="H0 verdadera",E2190="Rechazar H0"),"Error tipo I",IF(AND(B2190="Ha verdadera",E2190="No rechazar H0"),"Error tipo II","Decisión correcta"))</f>
        <v>Decisión correcta</v>
      </c>
    </row>
    <row r="2191" customFormat="false" ht="15" hidden="false" customHeight="false" outlineLevel="0" collapsed="false">
      <c r="A2191" s="0" t="n">
        <v>2170</v>
      </c>
      <c r="B2191" s="0" t="s">
        <v>85</v>
      </c>
      <c r="C2191" s="17" t="n">
        <v>-0.0906257578312991</v>
      </c>
      <c r="D2191" s="17" t="n">
        <f aca="false">(C2191-$B$4)/($B$6/SQRT($B$7))</f>
        <v>-0.453128789156495</v>
      </c>
      <c r="E2191" s="0" t="str">
        <f aca="false">IF(OR(AND($B$9="superior",D2191&gt;$B$10),AND($B$9="inferior",D2191&lt;-$B$10)),"Rechazar H0","No rechazar H0")</f>
        <v>No rechazar H0</v>
      </c>
      <c r="F2191" s="0" t="str">
        <f aca="false">IF(AND(B2191="H0 verdadera",E2191="Rechazar H0"),"Error tipo I",IF(AND(B2191="Ha verdadera",E2191="No rechazar H0"),"Error tipo II","Decisión correcta"))</f>
        <v>Decisión correcta</v>
      </c>
    </row>
    <row r="2192" customFormat="false" ht="15" hidden="false" customHeight="false" outlineLevel="0" collapsed="false">
      <c r="A2192" s="0" t="n">
        <v>2171</v>
      </c>
      <c r="B2192" s="0" t="s">
        <v>85</v>
      </c>
      <c r="C2192" s="17" t="n">
        <v>0.0493872685757783</v>
      </c>
      <c r="D2192" s="17" t="n">
        <f aca="false">(C2192-$B$4)/($B$6/SQRT($B$7))</f>
        <v>0.246936342878892</v>
      </c>
      <c r="E2192" s="0" t="str">
        <f aca="false">IF(OR(AND($B$9="superior",D2192&gt;$B$10),AND($B$9="inferior",D2192&lt;-$B$10)),"Rechazar H0","No rechazar H0")</f>
        <v>No rechazar H0</v>
      </c>
      <c r="F2192" s="0" t="str">
        <f aca="false">IF(AND(B2192="H0 verdadera",E2192="Rechazar H0"),"Error tipo I",IF(AND(B2192="Ha verdadera",E2192="No rechazar H0"),"Error tipo II","Decisión correcta"))</f>
        <v>Decisión correcta</v>
      </c>
    </row>
    <row r="2193" customFormat="false" ht="15" hidden="false" customHeight="false" outlineLevel="0" collapsed="false">
      <c r="A2193" s="0" t="n">
        <v>2172</v>
      </c>
      <c r="B2193" s="0" t="s">
        <v>86</v>
      </c>
      <c r="C2193" s="17" t="n">
        <v>-0.340713619489366</v>
      </c>
      <c r="D2193" s="17" t="n">
        <f aca="false">(C2193-$B$4)/($B$6/SQRT($B$7))</f>
        <v>-1.70356809744683</v>
      </c>
      <c r="E2193" s="0" t="str">
        <f aca="false">IF(OR(AND($B$9="superior",D2193&gt;$B$10),AND($B$9="inferior",D2193&lt;-$B$10)),"Rechazar H0","No rechazar H0")</f>
        <v>Rechazar H0</v>
      </c>
      <c r="F2193" s="0" t="str">
        <f aca="false">IF(AND(B2193="H0 verdadera",E2193="Rechazar H0"),"Error tipo I",IF(AND(B2193="Ha verdadera",E2193="No rechazar H0"),"Error tipo II","Decisión correcta"))</f>
        <v>Decisión correcta</v>
      </c>
    </row>
    <row r="2194" customFormat="false" ht="15" hidden="false" customHeight="false" outlineLevel="0" collapsed="false">
      <c r="A2194" s="0" t="n">
        <v>2173</v>
      </c>
      <c r="B2194" s="0" t="s">
        <v>85</v>
      </c>
      <c r="C2194" s="17" t="n">
        <v>0.162819764273511</v>
      </c>
      <c r="D2194" s="17" t="n">
        <f aca="false">(C2194-$B$4)/($B$6/SQRT($B$7))</f>
        <v>0.814098821367557</v>
      </c>
      <c r="E2194" s="0" t="str">
        <f aca="false">IF(OR(AND($B$9="superior",D2194&gt;$B$10),AND($B$9="inferior",D2194&lt;-$B$10)),"Rechazar H0","No rechazar H0")</f>
        <v>No rechazar H0</v>
      </c>
      <c r="F2194" s="0" t="str">
        <f aca="false">IF(AND(B2194="H0 verdadera",E2194="Rechazar H0"),"Error tipo I",IF(AND(B2194="Ha verdadera",E2194="No rechazar H0"),"Error tipo II","Decisión correcta"))</f>
        <v>Decisión correcta</v>
      </c>
    </row>
    <row r="2195" customFormat="false" ht="15" hidden="false" customHeight="false" outlineLevel="0" collapsed="false">
      <c r="A2195" s="0" t="n">
        <v>2174</v>
      </c>
      <c r="B2195" s="0" t="s">
        <v>86</v>
      </c>
      <c r="C2195" s="17" t="n">
        <v>-0.278235202878709</v>
      </c>
      <c r="D2195" s="17" t="n">
        <f aca="false">(C2195-$B$4)/($B$6/SQRT($B$7))</f>
        <v>-1.39117601439355</v>
      </c>
      <c r="E2195" s="0" t="str">
        <f aca="false">IF(OR(AND($B$9="superior",D2195&gt;$B$10),AND($B$9="inferior",D2195&lt;-$B$10)),"Rechazar H0","No rechazar H0")</f>
        <v>No rechazar H0</v>
      </c>
      <c r="F2195" s="0" t="str">
        <f aca="false">IF(AND(B2195="H0 verdadera",E2195="Rechazar H0"),"Error tipo I",IF(AND(B2195="Ha verdadera",E2195="No rechazar H0"),"Error tipo II","Decisión correcta"))</f>
        <v>Error tipo II</v>
      </c>
    </row>
    <row r="2196" customFormat="false" ht="15" hidden="false" customHeight="false" outlineLevel="0" collapsed="false">
      <c r="A2196" s="0" t="n">
        <v>2175</v>
      </c>
      <c r="B2196" s="0" t="s">
        <v>85</v>
      </c>
      <c r="C2196" s="17" t="n">
        <v>-0.209274364600401</v>
      </c>
      <c r="D2196" s="17" t="n">
        <f aca="false">(C2196-$B$4)/($B$6/SQRT($B$7))</f>
        <v>-1.046371823002</v>
      </c>
      <c r="E2196" s="0" t="str">
        <f aca="false">IF(OR(AND($B$9="superior",D2196&gt;$B$10),AND($B$9="inferior",D2196&lt;-$B$10)),"Rechazar H0","No rechazar H0")</f>
        <v>No rechazar H0</v>
      </c>
      <c r="F2196" s="0" t="str">
        <f aca="false">IF(AND(B2196="H0 verdadera",E2196="Rechazar H0"),"Error tipo I",IF(AND(B2196="Ha verdadera",E2196="No rechazar H0"),"Error tipo II","Decisión correcta"))</f>
        <v>Decisión correcta</v>
      </c>
    </row>
    <row r="2197" customFormat="false" ht="15" hidden="false" customHeight="false" outlineLevel="0" collapsed="false">
      <c r="A2197" s="0" t="n">
        <v>2176</v>
      </c>
      <c r="B2197" s="0" t="s">
        <v>85</v>
      </c>
      <c r="C2197" s="17" t="n">
        <v>-0.160617687358345</v>
      </c>
      <c r="D2197" s="17" t="n">
        <f aca="false">(C2197-$B$4)/($B$6/SQRT($B$7))</f>
        <v>-0.803088436791723</v>
      </c>
      <c r="E2197" s="0" t="str">
        <f aca="false">IF(OR(AND($B$9="superior",D2197&gt;$B$10),AND($B$9="inferior",D2197&lt;-$B$10)),"Rechazar H0","No rechazar H0")</f>
        <v>No rechazar H0</v>
      </c>
      <c r="F2197" s="0" t="str">
        <f aca="false">IF(AND(B2197="H0 verdadera",E2197="Rechazar H0"),"Error tipo I",IF(AND(B2197="Ha verdadera",E2197="No rechazar H0"),"Error tipo II","Decisión correcta"))</f>
        <v>Decisión correcta</v>
      </c>
    </row>
    <row r="2198" customFormat="false" ht="15" hidden="false" customHeight="false" outlineLevel="0" collapsed="false">
      <c r="A2198" s="0" t="n">
        <v>2177</v>
      </c>
      <c r="B2198" s="0" t="s">
        <v>86</v>
      </c>
      <c r="C2198" s="17" t="n">
        <v>-0.483195905235905</v>
      </c>
      <c r="D2198" s="17" t="n">
        <f aca="false">(C2198-$B$4)/($B$6/SQRT($B$7))</f>
        <v>-2.41597952617952</v>
      </c>
      <c r="E2198" s="0" t="str">
        <f aca="false">IF(OR(AND($B$9="superior",D2198&gt;$B$10),AND($B$9="inferior",D2198&lt;-$B$10)),"Rechazar H0","No rechazar H0")</f>
        <v>Rechazar H0</v>
      </c>
      <c r="F2198" s="0" t="str">
        <f aca="false">IF(AND(B2198="H0 verdadera",E2198="Rechazar H0"),"Error tipo I",IF(AND(B2198="Ha verdadera",E2198="No rechazar H0"),"Error tipo II","Decisión correcta"))</f>
        <v>Decisión correcta</v>
      </c>
    </row>
    <row r="2199" customFormat="false" ht="15" hidden="false" customHeight="false" outlineLevel="0" collapsed="false">
      <c r="A2199" s="0" t="n">
        <v>2178</v>
      </c>
      <c r="B2199" s="0" t="s">
        <v>86</v>
      </c>
      <c r="C2199" s="17" t="n">
        <v>-0.22026228311535</v>
      </c>
      <c r="D2199" s="17" t="n">
        <f aca="false">(C2199-$B$4)/($B$6/SQRT($B$7))</f>
        <v>-1.10131141557675</v>
      </c>
      <c r="E2199" s="0" t="str">
        <f aca="false">IF(OR(AND($B$9="superior",D2199&gt;$B$10),AND($B$9="inferior",D2199&lt;-$B$10)),"Rechazar H0","No rechazar H0")</f>
        <v>No rechazar H0</v>
      </c>
      <c r="F2199" s="0" t="str">
        <f aca="false">IF(AND(B2199="H0 verdadera",E2199="Rechazar H0"),"Error tipo I",IF(AND(B2199="Ha verdadera",E2199="No rechazar H0"),"Error tipo II","Decisión correcta"))</f>
        <v>Error tipo II</v>
      </c>
    </row>
    <row r="2200" customFormat="false" ht="15" hidden="false" customHeight="false" outlineLevel="0" collapsed="false">
      <c r="A2200" s="0" t="n">
        <v>2179</v>
      </c>
      <c r="B2200" s="0" t="s">
        <v>85</v>
      </c>
      <c r="C2200" s="17" t="n">
        <v>-0.319712840952648</v>
      </c>
      <c r="D2200" s="17" t="n">
        <f aca="false">(C2200-$B$4)/($B$6/SQRT($B$7))</f>
        <v>-1.59856420476324</v>
      </c>
      <c r="E2200" s="0" t="str">
        <f aca="false">IF(OR(AND($B$9="superior",D2200&gt;$B$10),AND($B$9="inferior",D2200&lt;-$B$10)),"Rechazar H0","No rechazar H0")</f>
        <v>No rechazar H0</v>
      </c>
      <c r="F2200" s="0" t="str">
        <f aca="false">IF(AND(B2200="H0 verdadera",E2200="Rechazar H0"),"Error tipo I",IF(AND(B2200="Ha verdadera",E2200="No rechazar H0"),"Error tipo II","Decisión correcta"))</f>
        <v>Decisión correcta</v>
      </c>
    </row>
    <row r="2201" customFormat="false" ht="15" hidden="false" customHeight="false" outlineLevel="0" collapsed="false">
      <c r="A2201" s="0" t="n">
        <v>2180</v>
      </c>
      <c r="B2201" s="0" t="s">
        <v>85</v>
      </c>
      <c r="C2201" s="17" t="n">
        <v>-0.077827236700097</v>
      </c>
      <c r="D2201" s="17" t="n">
        <f aca="false">(C2201-$B$4)/($B$6/SQRT($B$7))</f>
        <v>-0.389136183500485</v>
      </c>
      <c r="E2201" s="0" t="str">
        <f aca="false">IF(OR(AND($B$9="superior",D2201&gt;$B$10),AND($B$9="inferior",D2201&lt;-$B$10)),"Rechazar H0","No rechazar H0")</f>
        <v>No rechazar H0</v>
      </c>
      <c r="F2201" s="0" t="str">
        <f aca="false">IF(AND(B2201="H0 verdadera",E2201="Rechazar H0"),"Error tipo I",IF(AND(B2201="Ha verdadera",E2201="No rechazar H0"),"Error tipo II","Decisión correcta"))</f>
        <v>Decisión correcta</v>
      </c>
    </row>
    <row r="2202" customFormat="false" ht="15" hidden="false" customHeight="false" outlineLevel="0" collapsed="false">
      <c r="A2202" s="0" t="n">
        <v>2181</v>
      </c>
      <c r="B2202" s="0" t="s">
        <v>86</v>
      </c>
      <c r="C2202" s="17" t="n">
        <v>-0.335077279448353</v>
      </c>
      <c r="D2202" s="17" t="n">
        <f aca="false">(C2202-$B$4)/($B$6/SQRT($B$7))</f>
        <v>-1.67538639724176</v>
      </c>
      <c r="E2202" s="0" t="str">
        <f aca="false">IF(OR(AND($B$9="superior",D2202&gt;$B$10),AND($B$9="inferior",D2202&lt;-$B$10)),"Rechazar H0","No rechazar H0")</f>
        <v>Rechazar H0</v>
      </c>
      <c r="F2202" s="0" t="str">
        <f aca="false">IF(AND(B2202="H0 verdadera",E2202="Rechazar H0"),"Error tipo I",IF(AND(B2202="Ha verdadera",E2202="No rechazar H0"),"Error tipo II","Decisión correcta"))</f>
        <v>Decisión correcta</v>
      </c>
    </row>
    <row r="2203" customFormat="false" ht="15" hidden="false" customHeight="false" outlineLevel="0" collapsed="false">
      <c r="A2203" s="0" t="n">
        <v>2182</v>
      </c>
      <c r="B2203" s="0" t="s">
        <v>85</v>
      </c>
      <c r="C2203" s="17" t="n">
        <v>-0.119836065998096</v>
      </c>
      <c r="D2203" s="17" t="n">
        <f aca="false">(C2203-$B$4)/($B$6/SQRT($B$7))</f>
        <v>-0.599180329990482</v>
      </c>
      <c r="E2203" s="0" t="str">
        <f aca="false">IF(OR(AND($B$9="superior",D2203&gt;$B$10),AND($B$9="inferior",D2203&lt;-$B$10)),"Rechazar H0","No rechazar H0")</f>
        <v>No rechazar H0</v>
      </c>
      <c r="F2203" s="0" t="str">
        <f aca="false">IF(AND(B2203="H0 verdadera",E2203="Rechazar H0"),"Error tipo I",IF(AND(B2203="Ha verdadera",E2203="No rechazar H0"),"Error tipo II","Decisión correcta"))</f>
        <v>Decisión correcta</v>
      </c>
    </row>
    <row r="2204" customFormat="false" ht="15" hidden="false" customHeight="false" outlineLevel="0" collapsed="false">
      <c r="A2204" s="0" t="n">
        <v>2183</v>
      </c>
      <c r="B2204" s="0" t="s">
        <v>85</v>
      </c>
      <c r="C2204" s="17" t="n">
        <v>0.141947173184118</v>
      </c>
      <c r="D2204" s="17" t="n">
        <f aca="false">(C2204-$B$4)/($B$6/SQRT($B$7))</f>
        <v>0.709735865920589</v>
      </c>
      <c r="E2204" s="0" t="str">
        <f aca="false">IF(OR(AND($B$9="superior",D2204&gt;$B$10),AND($B$9="inferior",D2204&lt;-$B$10)),"Rechazar H0","No rechazar H0")</f>
        <v>No rechazar H0</v>
      </c>
      <c r="F2204" s="0" t="str">
        <f aca="false">IF(AND(B2204="H0 verdadera",E2204="Rechazar H0"),"Error tipo I",IF(AND(B2204="Ha verdadera",E2204="No rechazar H0"),"Error tipo II","Decisión correcta"))</f>
        <v>Decisión correcta</v>
      </c>
    </row>
    <row r="2205" customFormat="false" ht="15" hidden="false" customHeight="false" outlineLevel="0" collapsed="false">
      <c r="A2205" s="0" t="n">
        <v>2184</v>
      </c>
      <c r="B2205" s="0" t="s">
        <v>85</v>
      </c>
      <c r="C2205" s="17" t="n">
        <v>-0.00299620773603075</v>
      </c>
      <c r="D2205" s="17" t="n">
        <f aca="false">(C2205-$B$4)/($B$6/SQRT($B$7))</f>
        <v>-0.0149810386801537</v>
      </c>
      <c r="E2205" s="0" t="str">
        <f aca="false">IF(OR(AND($B$9="superior",D2205&gt;$B$10),AND($B$9="inferior",D2205&lt;-$B$10)),"Rechazar H0","No rechazar H0")</f>
        <v>No rechazar H0</v>
      </c>
      <c r="F2205" s="0" t="str">
        <f aca="false">IF(AND(B2205="H0 verdadera",E2205="Rechazar H0"),"Error tipo I",IF(AND(B2205="Ha verdadera",E2205="No rechazar H0"),"Error tipo II","Decisión correcta"))</f>
        <v>Decisión correcta</v>
      </c>
    </row>
    <row r="2206" customFormat="false" ht="15" hidden="false" customHeight="false" outlineLevel="0" collapsed="false">
      <c r="A2206" s="0" t="n">
        <v>2185</v>
      </c>
      <c r="B2206" s="0" t="s">
        <v>85</v>
      </c>
      <c r="C2206" s="17" t="n">
        <v>-0.115701755173088</v>
      </c>
      <c r="D2206" s="17" t="n">
        <f aca="false">(C2206-$B$4)/($B$6/SQRT($B$7))</f>
        <v>-0.578508775865441</v>
      </c>
      <c r="E2206" s="0" t="str">
        <f aca="false">IF(OR(AND($B$9="superior",D2206&gt;$B$10),AND($B$9="inferior",D2206&lt;-$B$10)),"Rechazar H0","No rechazar H0")</f>
        <v>No rechazar H0</v>
      </c>
      <c r="F2206" s="0" t="str">
        <f aca="false">IF(AND(B2206="H0 verdadera",E2206="Rechazar H0"),"Error tipo I",IF(AND(B2206="Ha verdadera",E2206="No rechazar H0"),"Error tipo II","Decisión correcta"))</f>
        <v>Decisión correcta</v>
      </c>
    </row>
    <row r="2207" customFormat="false" ht="15" hidden="false" customHeight="false" outlineLevel="0" collapsed="false">
      <c r="A2207" s="0" t="n">
        <v>2186</v>
      </c>
      <c r="B2207" s="0" t="s">
        <v>86</v>
      </c>
      <c r="C2207" s="17" t="n">
        <v>-0.0200613117800985</v>
      </c>
      <c r="D2207" s="17" t="n">
        <f aca="false">(C2207-$B$4)/($B$6/SQRT($B$7))</f>
        <v>-0.100306558900492</v>
      </c>
      <c r="E2207" s="0" t="str">
        <f aca="false">IF(OR(AND($B$9="superior",D2207&gt;$B$10),AND($B$9="inferior",D2207&lt;-$B$10)),"Rechazar H0","No rechazar H0")</f>
        <v>No rechazar H0</v>
      </c>
      <c r="F2207" s="0" t="str">
        <f aca="false">IF(AND(B2207="H0 verdadera",E2207="Rechazar H0"),"Error tipo I",IF(AND(B2207="Ha verdadera",E2207="No rechazar H0"),"Error tipo II","Decisión correcta"))</f>
        <v>Error tipo II</v>
      </c>
    </row>
    <row r="2208" customFormat="false" ht="15" hidden="false" customHeight="false" outlineLevel="0" collapsed="false">
      <c r="A2208" s="0" t="n">
        <v>2187</v>
      </c>
      <c r="B2208" s="0" t="s">
        <v>86</v>
      </c>
      <c r="C2208" s="17" t="n">
        <v>-0.194194955357435</v>
      </c>
      <c r="D2208" s="17" t="n">
        <f aca="false">(C2208-$B$4)/($B$6/SQRT($B$7))</f>
        <v>-0.970974776787174</v>
      </c>
      <c r="E2208" s="0" t="str">
        <f aca="false">IF(OR(AND($B$9="superior",D2208&gt;$B$10),AND($B$9="inferior",D2208&lt;-$B$10)),"Rechazar H0","No rechazar H0")</f>
        <v>No rechazar H0</v>
      </c>
      <c r="F2208" s="0" t="str">
        <f aca="false">IF(AND(B2208="H0 verdadera",E2208="Rechazar H0"),"Error tipo I",IF(AND(B2208="Ha verdadera",E2208="No rechazar H0"),"Error tipo II","Decisión correcta"))</f>
        <v>Error tipo II</v>
      </c>
    </row>
    <row r="2209" customFormat="false" ht="15" hidden="false" customHeight="false" outlineLevel="0" collapsed="false">
      <c r="A2209" s="0" t="n">
        <v>2188</v>
      </c>
      <c r="B2209" s="0" t="s">
        <v>86</v>
      </c>
      <c r="C2209" s="17" t="n">
        <v>-0.453265382519256</v>
      </c>
      <c r="D2209" s="17" t="n">
        <f aca="false">(C2209-$B$4)/($B$6/SQRT($B$7))</f>
        <v>-2.26632691259628</v>
      </c>
      <c r="E2209" s="0" t="str">
        <f aca="false">IF(OR(AND($B$9="superior",D2209&gt;$B$10),AND($B$9="inferior",D2209&lt;-$B$10)),"Rechazar H0","No rechazar H0")</f>
        <v>Rechazar H0</v>
      </c>
      <c r="F2209" s="0" t="str">
        <f aca="false">IF(AND(B2209="H0 verdadera",E2209="Rechazar H0"),"Error tipo I",IF(AND(B2209="Ha verdadera",E2209="No rechazar H0"),"Error tipo II","Decisión correcta"))</f>
        <v>Decisión correcta</v>
      </c>
    </row>
    <row r="2210" customFormat="false" ht="15" hidden="false" customHeight="false" outlineLevel="0" collapsed="false">
      <c r="A2210" s="0" t="n">
        <v>2189</v>
      </c>
      <c r="B2210" s="0" t="s">
        <v>85</v>
      </c>
      <c r="C2210" s="17" t="n">
        <v>-0.0276888699567942</v>
      </c>
      <c r="D2210" s="17" t="n">
        <f aca="false">(C2210-$B$4)/($B$6/SQRT($B$7))</f>
        <v>-0.138444349783971</v>
      </c>
      <c r="E2210" s="0" t="str">
        <f aca="false">IF(OR(AND($B$9="superior",D2210&gt;$B$10),AND($B$9="inferior",D2210&lt;-$B$10)),"Rechazar H0","No rechazar H0")</f>
        <v>No rechazar H0</v>
      </c>
      <c r="F2210" s="0" t="str">
        <f aca="false">IF(AND(B2210="H0 verdadera",E2210="Rechazar H0"),"Error tipo I",IF(AND(B2210="Ha verdadera",E2210="No rechazar H0"),"Error tipo II","Decisión correcta"))</f>
        <v>Decisión correcta</v>
      </c>
    </row>
    <row r="2211" customFormat="false" ht="15" hidden="false" customHeight="false" outlineLevel="0" collapsed="false">
      <c r="A2211" s="0" t="n">
        <v>2190</v>
      </c>
      <c r="B2211" s="0" t="s">
        <v>86</v>
      </c>
      <c r="C2211" s="17" t="n">
        <v>-0.151845418298402</v>
      </c>
      <c r="D2211" s="17" t="n">
        <f aca="false">(C2211-$B$4)/($B$6/SQRT($B$7))</f>
        <v>-0.759227091492011</v>
      </c>
      <c r="E2211" s="0" t="str">
        <f aca="false">IF(OR(AND($B$9="superior",D2211&gt;$B$10),AND($B$9="inferior",D2211&lt;-$B$10)),"Rechazar H0","No rechazar H0")</f>
        <v>No rechazar H0</v>
      </c>
      <c r="F2211" s="0" t="str">
        <f aca="false">IF(AND(B2211="H0 verdadera",E2211="Rechazar H0"),"Error tipo I",IF(AND(B2211="Ha verdadera",E2211="No rechazar H0"),"Error tipo II","Decisión correcta"))</f>
        <v>Error tipo II</v>
      </c>
    </row>
    <row r="2212" customFormat="false" ht="15" hidden="false" customHeight="false" outlineLevel="0" collapsed="false">
      <c r="A2212" s="0" t="n">
        <v>2191</v>
      </c>
      <c r="B2212" s="0" t="s">
        <v>86</v>
      </c>
      <c r="C2212" s="17" t="n">
        <v>-0.0713965218487501</v>
      </c>
      <c r="D2212" s="17" t="n">
        <f aca="false">(C2212-$B$4)/($B$6/SQRT($B$7))</f>
        <v>-0.356982609243751</v>
      </c>
      <c r="E2212" s="0" t="str">
        <f aca="false">IF(OR(AND($B$9="superior",D2212&gt;$B$10),AND($B$9="inferior",D2212&lt;-$B$10)),"Rechazar H0","No rechazar H0")</f>
        <v>No rechazar H0</v>
      </c>
      <c r="F2212" s="0" t="str">
        <f aca="false">IF(AND(B2212="H0 verdadera",E2212="Rechazar H0"),"Error tipo I",IF(AND(B2212="Ha verdadera",E2212="No rechazar H0"),"Error tipo II","Decisión correcta"))</f>
        <v>Error tipo II</v>
      </c>
    </row>
    <row r="2213" customFormat="false" ht="15" hidden="false" customHeight="false" outlineLevel="0" collapsed="false">
      <c r="A2213" s="0" t="n">
        <v>2192</v>
      </c>
      <c r="B2213" s="0" t="s">
        <v>86</v>
      </c>
      <c r="C2213" s="17" t="n">
        <v>-0.305513136434495</v>
      </c>
      <c r="D2213" s="17" t="n">
        <f aca="false">(C2213-$B$4)/($B$6/SQRT($B$7))</f>
        <v>-1.52756568217248</v>
      </c>
      <c r="E2213" s="0" t="str">
        <f aca="false">IF(OR(AND($B$9="superior",D2213&gt;$B$10),AND($B$9="inferior",D2213&lt;-$B$10)),"Rechazar H0","No rechazar H0")</f>
        <v>No rechazar H0</v>
      </c>
      <c r="F2213" s="0" t="str">
        <f aca="false">IF(AND(B2213="H0 verdadera",E2213="Rechazar H0"),"Error tipo I",IF(AND(B2213="Ha verdadera",E2213="No rechazar H0"),"Error tipo II","Decisión correcta"))</f>
        <v>Error tipo II</v>
      </c>
    </row>
    <row r="2214" customFormat="false" ht="15" hidden="false" customHeight="false" outlineLevel="0" collapsed="false">
      <c r="A2214" s="0" t="n">
        <v>2193</v>
      </c>
      <c r="B2214" s="0" t="s">
        <v>86</v>
      </c>
      <c r="C2214" s="17" t="n">
        <v>-0.547769577983229</v>
      </c>
      <c r="D2214" s="17" t="n">
        <f aca="false">(C2214-$B$4)/($B$6/SQRT($B$7))</f>
        <v>-2.73884788991614</v>
      </c>
      <c r="E2214" s="0" t="str">
        <f aca="false">IF(OR(AND($B$9="superior",D2214&gt;$B$10),AND($B$9="inferior",D2214&lt;-$B$10)),"Rechazar H0","No rechazar H0")</f>
        <v>Rechazar H0</v>
      </c>
      <c r="F2214" s="0" t="str">
        <f aca="false">IF(AND(B2214="H0 verdadera",E2214="Rechazar H0"),"Error tipo I",IF(AND(B2214="Ha verdadera",E2214="No rechazar H0"),"Error tipo II","Decisión correcta"))</f>
        <v>Decisión correcta</v>
      </c>
    </row>
    <row r="2215" customFormat="false" ht="15" hidden="false" customHeight="false" outlineLevel="0" collapsed="false">
      <c r="A2215" s="0" t="n">
        <v>2194</v>
      </c>
      <c r="B2215" s="0" t="s">
        <v>85</v>
      </c>
      <c r="C2215" s="17" t="n">
        <v>-0.110467176492685</v>
      </c>
      <c r="D2215" s="17" t="n">
        <f aca="false">(C2215-$B$4)/($B$6/SQRT($B$7))</f>
        <v>-0.552335882463424</v>
      </c>
      <c r="E2215" s="0" t="str">
        <f aca="false">IF(OR(AND($B$9="superior",D2215&gt;$B$10),AND($B$9="inferior",D2215&lt;-$B$10)),"Rechazar H0","No rechazar H0")</f>
        <v>No rechazar H0</v>
      </c>
      <c r="F2215" s="0" t="str">
        <f aca="false">IF(AND(B2215="H0 verdadera",E2215="Rechazar H0"),"Error tipo I",IF(AND(B2215="Ha verdadera",E2215="No rechazar H0"),"Error tipo II","Decisión correcta"))</f>
        <v>Decisión correcta</v>
      </c>
    </row>
    <row r="2216" customFormat="false" ht="15" hidden="false" customHeight="false" outlineLevel="0" collapsed="false">
      <c r="A2216" s="0" t="n">
        <v>2195</v>
      </c>
      <c r="B2216" s="0" t="s">
        <v>85</v>
      </c>
      <c r="C2216" s="17" t="n">
        <v>0.141935288590275</v>
      </c>
      <c r="D2216" s="17" t="n">
        <f aca="false">(C2216-$B$4)/($B$6/SQRT($B$7))</f>
        <v>0.709676442951375</v>
      </c>
      <c r="E2216" s="0" t="str">
        <f aca="false">IF(OR(AND($B$9="superior",D2216&gt;$B$10),AND($B$9="inferior",D2216&lt;-$B$10)),"Rechazar H0","No rechazar H0")</f>
        <v>No rechazar H0</v>
      </c>
      <c r="F2216" s="0" t="str">
        <f aca="false">IF(AND(B2216="H0 verdadera",E2216="Rechazar H0"),"Error tipo I",IF(AND(B2216="Ha verdadera",E2216="No rechazar H0"),"Error tipo II","Decisión correcta"))</f>
        <v>Decisión correcta</v>
      </c>
    </row>
    <row r="2217" customFormat="false" ht="15" hidden="false" customHeight="false" outlineLevel="0" collapsed="false">
      <c r="A2217" s="0" t="n">
        <v>2196</v>
      </c>
      <c r="B2217" s="0" t="s">
        <v>86</v>
      </c>
      <c r="C2217" s="17" t="n">
        <v>-0.18504224190294</v>
      </c>
      <c r="D2217" s="17" t="n">
        <f aca="false">(C2217-$B$4)/($B$6/SQRT($B$7))</f>
        <v>-0.925211209514702</v>
      </c>
      <c r="E2217" s="0" t="str">
        <f aca="false">IF(OR(AND($B$9="superior",D2217&gt;$B$10),AND($B$9="inferior",D2217&lt;-$B$10)),"Rechazar H0","No rechazar H0")</f>
        <v>No rechazar H0</v>
      </c>
      <c r="F2217" s="0" t="str">
        <f aca="false">IF(AND(B2217="H0 verdadera",E2217="Rechazar H0"),"Error tipo I",IF(AND(B2217="Ha verdadera",E2217="No rechazar H0"),"Error tipo II","Decisión correcta"))</f>
        <v>Error tipo II</v>
      </c>
    </row>
    <row r="2218" customFormat="false" ht="15" hidden="false" customHeight="false" outlineLevel="0" collapsed="false">
      <c r="A2218" s="0" t="n">
        <v>2197</v>
      </c>
      <c r="B2218" s="0" t="s">
        <v>85</v>
      </c>
      <c r="C2218" s="17" t="n">
        <v>0.335845821391117</v>
      </c>
      <c r="D2218" s="17" t="n">
        <f aca="false">(C2218-$B$4)/($B$6/SQRT($B$7))</f>
        <v>1.67922910695559</v>
      </c>
      <c r="E2218" s="0" t="str">
        <f aca="false">IF(OR(AND($B$9="superior",D2218&gt;$B$10),AND($B$9="inferior",D2218&lt;-$B$10)),"Rechazar H0","No rechazar H0")</f>
        <v>No rechazar H0</v>
      </c>
      <c r="F2218" s="0" t="str">
        <f aca="false">IF(AND(B2218="H0 verdadera",E2218="Rechazar H0"),"Error tipo I",IF(AND(B2218="Ha verdadera",E2218="No rechazar H0"),"Error tipo II","Decisión correcta"))</f>
        <v>Decisión correcta</v>
      </c>
    </row>
    <row r="2219" customFormat="false" ht="15" hidden="false" customHeight="false" outlineLevel="0" collapsed="false">
      <c r="A2219" s="0" t="n">
        <v>2198</v>
      </c>
      <c r="B2219" s="0" t="s">
        <v>86</v>
      </c>
      <c r="C2219" s="17" t="n">
        <v>-0.299328092454918</v>
      </c>
      <c r="D2219" s="17" t="n">
        <f aca="false">(C2219-$B$4)/($B$6/SQRT($B$7))</f>
        <v>-1.49664046227459</v>
      </c>
      <c r="E2219" s="0" t="str">
        <f aca="false">IF(OR(AND($B$9="superior",D2219&gt;$B$10),AND($B$9="inferior",D2219&lt;-$B$10)),"Rechazar H0","No rechazar H0")</f>
        <v>No rechazar H0</v>
      </c>
      <c r="F2219" s="0" t="str">
        <f aca="false">IF(AND(B2219="H0 verdadera",E2219="Rechazar H0"),"Error tipo I",IF(AND(B2219="Ha verdadera",E2219="No rechazar H0"),"Error tipo II","Decisión correcta"))</f>
        <v>Error tipo II</v>
      </c>
    </row>
    <row r="2220" customFormat="false" ht="15" hidden="false" customHeight="false" outlineLevel="0" collapsed="false">
      <c r="A2220" s="0" t="n">
        <v>2199</v>
      </c>
      <c r="B2220" s="0" t="s">
        <v>86</v>
      </c>
      <c r="C2220" s="17" t="n">
        <v>-0.397397561770428</v>
      </c>
      <c r="D2220" s="17" t="n">
        <f aca="false">(C2220-$B$4)/($B$6/SQRT($B$7))</f>
        <v>-1.98698780885214</v>
      </c>
      <c r="E2220" s="0" t="str">
        <f aca="false">IF(OR(AND($B$9="superior",D2220&gt;$B$10),AND($B$9="inferior",D2220&lt;-$B$10)),"Rechazar H0","No rechazar H0")</f>
        <v>Rechazar H0</v>
      </c>
      <c r="F2220" s="0" t="str">
        <f aca="false">IF(AND(B2220="H0 verdadera",E2220="Rechazar H0"),"Error tipo I",IF(AND(B2220="Ha verdadera",E2220="No rechazar H0"),"Error tipo II","Decisión correcta"))</f>
        <v>Decisión correcta</v>
      </c>
    </row>
    <row r="2221" customFormat="false" ht="15" hidden="false" customHeight="false" outlineLevel="0" collapsed="false">
      <c r="A2221" s="0" t="n">
        <v>2200</v>
      </c>
      <c r="B2221" s="0" t="s">
        <v>86</v>
      </c>
      <c r="C2221" s="17" t="n">
        <v>-0.542566335961437</v>
      </c>
      <c r="D2221" s="17" t="n">
        <f aca="false">(C2221-$B$4)/($B$6/SQRT($B$7))</f>
        <v>-2.71283167980718</v>
      </c>
      <c r="E2221" s="0" t="str">
        <f aca="false">IF(OR(AND($B$9="superior",D2221&gt;$B$10),AND($B$9="inferior",D2221&lt;-$B$10)),"Rechazar H0","No rechazar H0")</f>
        <v>Rechazar H0</v>
      </c>
      <c r="F2221" s="0" t="str">
        <f aca="false">IF(AND(B2221="H0 verdadera",E2221="Rechazar H0"),"Error tipo I",IF(AND(B2221="Ha verdadera",E2221="No rechazar H0"),"Error tipo II","Decisión correcta"))</f>
        <v>Decisión correcta</v>
      </c>
    </row>
    <row r="2222" customFormat="false" ht="15" hidden="false" customHeight="false" outlineLevel="0" collapsed="false">
      <c r="A2222" s="0" t="n">
        <v>2201</v>
      </c>
      <c r="B2222" s="0" t="s">
        <v>85</v>
      </c>
      <c r="C2222" s="17" t="n">
        <v>0.219789057789991</v>
      </c>
      <c r="D2222" s="17" t="n">
        <f aca="false">(C2222-$B$4)/($B$6/SQRT($B$7))</f>
        <v>1.09894528894995</v>
      </c>
      <c r="E2222" s="0" t="str">
        <f aca="false">IF(OR(AND($B$9="superior",D2222&gt;$B$10),AND($B$9="inferior",D2222&lt;-$B$10)),"Rechazar H0","No rechazar H0")</f>
        <v>No rechazar H0</v>
      </c>
      <c r="F2222" s="0" t="str">
        <f aca="false">IF(AND(B2222="H0 verdadera",E2222="Rechazar H0"),"Error tipo I",IF(AND(B2222="Ha verdadera",E2222="No rechazar H0"),"Error tipo II","Decisión correcta"))</f>
        <v>Decisión correcta</v>
      </c>
    </row>
    <row r="2223" customFormat="false" ht="15" hidden="false" customHeight="false" outlineLevel="0" collapsed="false">
      <c r="A2223" s="0" t="n">
        <v>2202</v>
      </c>
      <c r="B2223" s="0" t="s">
        <v>86</v>
      </c>
      <c r="C2223" s="17" t="n">
        <v>-0.523497994858434</v>
      </c>
      <c r="D2223" s="17" t="n">
        <f aca="false">(C2223-$B$4)/($B$6/SQRT($B$7))</f>
        <v>-2.61748997429217</v>
      </c>
      <c r="E2223" s="0" t="str">
        <f aca="false">IF(OR(AND($B$9="superior",D2223&gt;$B$10),AND($B$9="inferior",D2223&lt;-$B$10)),"Rechazar H0","No rechazar H0")</f>
        <v>Rechazar H0</v>
      </c>
      <c r="F2223" s="0" t="str">
        <f aca="false">IF(AND(B2223="H0 verdadera",E2223="Rechazar H0"),"Error tipo I",IF(AND(B2223="Ha verdadera",E2223="No rechazar H0"),"Error tipo II","Decisión correcta"))</f>
        <v>Decisión correcta</v>
      </c>
    </row>
    <row r="2224" customFormat="false" ht="15" hidden="false" customHeight="false" outlineLevel="0" collapsed="false">
      <c r="A2224" s="0" t="n">
        <v>2203</v>
      </c>
      <c r="B2224" s="0" t="s">
        <v>85</v>
      </c>
      <c r="C2224" s="17" t="n">
        <v>-0.0942522819448561</v>
      </c>
      <c r="D2224" s="17" t="n">
        <f aca="false">(C2224-$B$4)/($B$6/SQRT($B$7))</f>
        <v>-0.471261409724281</v>
      </c>
      <c r="E2224" s="0" t="str">
        <f aca="false">IF(OR(AND($B$9="superior",D2224&gt;$B$10),AND($B$9="inferior",D2224&lt;-$B$10)),"Rechazar H0","No rechazar H0")</f>
        <v>No rechazar H0</v>
      </c>
      <c r="F2224" s="0" t="str">
        <f aca="false">IF(AND(B2224="H0 verdadera",E2224="Rechazar H0"),"Error tipo I",IF(AND(B2224="Ha verdadera",E2224="No rechazar H0"),"Error tipo II","Decisión correcta"))</f>
        <v>Decisión correcta</v>
      </c>
    </row>
    <row r="2225" customFormat="false" ht="15" hidden="false" customHeight="false" outlineLevel="0" collapsed="false">
      <c r="A2225" s="0" t="n">
        <v>2204</v>
      </c>
      <c r="B2225" s="0" t="s">
        <v>85</v>
      </c>
      <c r="C2225" s="17" t="n">
        <v>0.0421951120703102</v>
      </c>
      <c r="D2225" s="17" t="n">
        <f aca="false">(C2225-$B$4)/($B$6/SQRT($B$7))</f>
        <v>0.210975560351551</v>
      </c>
      <c r="E2225" s="0" t="str">
        <f aca="false">IF(OR(AND($B$9="superior",D2225&gt;$B$10),AND($B$9="inferior",D2225&lt;-$B$10)),"Rechazar H0","No rechazar H0")</f>
        <v>No rechazar H0</v>
      </c>
      <c r="F2225" s="0" t="str">
        <f aca="false">IF(AND(B2225="H0 verdadera",E2225="Rechazar H0"),"Error tipo I",IF(AND(B2225="Ha verdadera",E2225="No rechazar H0"),"Error tipo II","Decisión correcta"))</f>
        <v>Decisión correcta</v>
      </c>
    </row>
    <row r="2226" customFormat="false" ht="15" hidden="false" customHeight="false" outlineLevel="0" collapsed="false">
      <c r="A2226" s="0" t="n">
        <v>2205</v>
      </c>
      <c r="B2226" s="0" t="s">
        <v>86</v>
      </c>
      <c r="C2226" s="17" t="n">
        <v>-0.705637890129911</v>
      </c>
      <c r="D2226" s="17" t="n">
        <f aca="false">(C2226-$B$4)/($B$6/SQRT($B$7))</f>
        <v>-3.52818945064956</v>
      </c>
      <c r="E2226" s="0" t="str">
        <f aca="false">IF(OR(AND($B$9="superior",D2226&gt;$B$10),AND($B$9="inferior",D2226&lt;-$B$10)),"Rechazar H0","No rechazar H0")</f>
        <v>Rechazar H0</v>
      </c>
      <c r="F2226" s="0" t="str">
        <f aca="false">IF(AND(B2226="H0 verdadera",E2226="Rechazar H0"),"Error tipo I",IF(AND(B2226="Ha verdadera",E2226="No rechazar H0"),"Error tipo II","Decisión correcta"))</f>
        <v>Decisión correcta</v>
      </c>
    </row>
    <row r="2227" customFormat="false" ht="15" hidden="false" customHeight="false" outlineLevel="0" collapsed="false">
      <c r="A2227" s="0" t="n">
        <v>2206</v>
      </c>
      <c r="B2227" s="0" t="s">
        <v>85</v>
      </c>
      <c r="C2227" s="17" t="n">
        <v>0.0290362294774959</v>
      </c>
      <c r="D2227" s="17" t="n">
        <f aca="false">(C2227-$B$4)/($B$6/SQRT($B$7))</f>
        <v>0.14518114738748</v>
      </c>
      <c r="E2227" s="0" t="str">
        <f aca="false">IF(OR(AND($B$9="superior",D2227&gt;$B$10),AND($B$9="inferior",D2227&lt;-$B$10)),"Rechazar H0","No rechazar H0")</f>
        <v>No rechazar H0</v>
      </c>
      <c r="F2227" s="0" t="str">
        <f aca="false">IF(AND(B2227="H0 verdadera",E2227="Rechazar H0"),"Error tipo I",IF(AND(B2227="Ha verdadera",E2227="No rechazar H0"),"Error tipo II","Decisión correcta"))</f>
        <v>Decisión correcta</v>
      </c>
    </row>
    <row r="2228" customFormat="false" ht="15" hidden="false" customHeight="false" outlineLevel="0" collapsed="false">
      <c r="A2228" s="0" t="n">
        <v>2207</v>
      </c>
      <c r="B2228" s="0" t="s">
        <v>86</v>
      </c>
      <c r="C2228" s="17" t="n">
        <v>-0.368388808091623</v>
      </c>
      <c r="D2228" s="17" t="n">
        <f aca="false">(C2228-$B$4)/($B$6/SQRT($B$7))</f>
        <v>-1.84194404045812</v>
      </c>
      <c r="E2228" s="0" t="str">
        <f aca="false">IF(OR(AND($B$9="superior",D2228&gt;$B$10),AND($B$9="inferior",D2228&lt;-$B$10)),"Rechazar H0","No rechazar H0")</f>
        <v>Rechazar H0</v>
      </c>
      <c r="F2228" s="0" t="str">
        <f aca="false">IF(AND(B2228="H0 verdadera",E2228="Rechazar H0"),"Error tipo I",IF(AND(B2228="Ha verdadera",E2228="No rechazar H0"),"Error tipo II","Decisión correcta"))</f>
        <v>Decisión correcta</v>
      </c>
    </row>
    <row r="2229" customFormat="false" ht="15" hidden="false" customHeight="false" outlineLevel="0" collapsed="false">
      <c r="A2229" s="0" t="n">
        <v>2208</v>
      </c>
      <c r="B2229" s="0" t="s">
        <v>85</v>
      </c>
      <c r="C2229" s="17" t="n">
        <v>-0.0600143373088364</v>
      </c>
      <c r="D2229" s="17" t="n">
        <f aca="false">(C2229-$B$4)/($B$6/SQRT($B$7))</f>
        <v>-0.300071686544182</v>
      </c>
      <c r="E2229" s="0" t="str">
        <f aca="false">IF(OR(AND($B$9="superior",D2229&gt;$B$10),AND($B$9="inferior",D2229&lt;-$B$10)),"Rechazar H0","No rechazar H0")</f>
        <v>No rechazar H0</v>
      </c>
      <c r="F2229" s="0" t="str">
        <f aca="false">IF(AND(B2229="H0 verdadera",E2229="Rechazar H0"),"Error tipo I",IF(AND(B2229="Ha verdadera",E2229="No rechazar H0"),"Error tipo II","Decisión correcta"))</f>
        <v>Decisión correcta</v>
      </c>
    </row>
    <row r="2230" customFormat="false" ht="15" hidden="false" customHeight="false" outlineLevel="0" collapsed="false">
      <c r="A2230" s="0" t="n">
        <v>2209</v>
      </c>
      <c r="B2230" s="0" t="s">
        <v>85</v>
      </c>
      <c r="C2230" s="17" t="n">
        <v>0.0666479474111671</v>
      </c>
      <c r="D2230" s="17" t="n">
        <f aca="false">(C2230-$B$4)/($B$6/SQRT($B$7))</f>
        <v>0.333239737055835</v>
      </c>
      <c r="E2230" s="0" t="str">
        <f aca="false">IF(OR(AND($B$9="superior",D2230&gt;$B$10),AND($B$9="inferior",D2230&lt;-$B$10)),"Rechazar H0","No rechazar H0")</f>
        <v>No rechazar H0</v>
      </c>
      <c r="F2230" s="0" t="str">
        <f aca="false">IF(AND(B2230="H0 verdadera",E2230="Rechazar H0"),"Error tipo I",IF(AND(B2230="Ha verdadera",E2230="No rechazar H0"),"Error tipo II","Decisión correcta"))</f>
        <v>Decisión correcta</v>
      </c>
    </row>
    <row r="2231" customFormat="false" ht="15" hidden="false" customHeight="false" outlineLevel="0" collapsed="false">
      <c r="A2231" s="0" t="n">
        <v>2210</v>
      </c>
      <c r="B2231" s="0" t="s">
        <v>86</v>
      </c>
      <c r="C2231" s="17" t="n">
        <v>-0.105260417668896</v>
      </c>
      <c r="D2231" s="17" t="n">
        <f aca="false">(C2231-$B$4)/($B$6/SQRT($B$7))</f>
        <v>-0.526302088344478</v>
      </c>
      <c r="E2231" s="0" t="str">
        <f aca="false">IF(OR(AND($B$9="superior",D2231&gt;$B$10),AND($B$9="inferior",D2231&lt;-$B$10)),"Rechazar H0","No rechazar H0")</f>
        <v>No rechazar H0</v>
      </c>
      <c r="F2231" s="0" t="str">
        <f aca="false">IF(AND(B2231="H0 verdadera",E2231="Rechazar H0"),"Error tipo I",IF(AND(B2231="Ha verdadera",E2231="No rechazar H0"),"Error tipo II","Decisión correcta"))</f>
        <v>Error tipo II</v>
      </c>
    </row>
    <row r="2232" customFormat="false" ht="15" hidden="false" customHeight="false" outlineLevel="0" collapsed="false">
      <c r="A2232" s="0" t="n">
        <v>2211</v>
      </c>
      <c r="B2232" s="0" t="s">
        <v>86</v>
      </c>
      <c r="C2232" s="17" t="n">
        <v>-0.392920623727337</v>
      </c>
      <c r="D2232" s="17" t="n">
        <f aca="false">(C2232-$B$4)/($B$6/SQRT($B$7))</f>
        <v>-1.96460311863669</v>
      </c>
      <c r="E2232" s="0" t="str">
        <f aca="false">IF(OR(AND($B$9="superior",D2232&gt;$B$10),AND($B$9="inferior",D2232&lt;-$B$10)),"Rechazar H0","No rechazar H0")</f>
        <v>Rechazar H0</v>
      </c>
      <c r="F2232" s="0" t="str">
        <f aca="false">IF(AND(B2232="H0 verdadera",E2232="Rechazar H0"),"Error tipo I",IF(AND(B2232="Ha verdadera",E2232="No rechazar H0"),"Error tipo II","Decisión correcta"))</f>
        <v>Decisión correcta</v>
      </c>
    </row>
    <row r="2233" customFormat="false" ht="15" hidden="false" customHeight="false" outlineLevel="0" collapsed="false">
      <c r="A2233" s="0" t="n">
        <v>2212</v>
      </c>
      <c r="B2233" s="0" t="s">
        <v>85</v>
      </c>
      <c r="C2233" s="17" t="n">
        <v>-0.10972391906572</v>
      </c>
      <c r="D2233" s="17" t="n">
        <f aca="false">(C2233-$B$4)/($B$6/SQRT($B$7))</f>
        <v>-0.5486195953286</v>
      </c>
      <c r="E2233" s="0" t="str">
        <f aca="false">IF(OR(AND($B$9="superior",D2233&gt;$B$10),AND($B$9="inferior",D2233&lt;-$B$10)),"Rechazar H0","No rechazar H0")</f>
        <v>No rechazar H0</v>
      </c>
      <c r="F2233" s="0" t="str">
        <f aca="false">IF(AND(B2233="H0 verdadera",E2233="Rechazar H0"),"Error tipo I",IF(AND(B2233="Ha verdadera",E2233="No rechazar H0"),"Error tipo II","Decisión correcta"))</f>
        <v>Decisión correcta</v>
      </c>
    </row>
    <row r="2234" customFormat="false" ht="15" hidden="false" customHeight="false" outlineLevel="0" collapsed="false">
      <c r="A2234" s="0" t="n">
        <v>2213</v>
      </c>
      <c r="B2234" s="0" t="s">
        <v>86</v>
      </c>
      <c r="C2234" s="17" t="n">
        <v>-0.142857513582759</v>
      </c>
      <c r="D2234" s="17" t="n">
        <f aca="false">(C2234-$B$4)/($B$6/SQRT($B$7))</f>
        <v>-0.714287567913796</v>
      </c>
      <c r="E2234" s="0" t="str">
        <f aca="false">IF(OR(AND($B$9="superior",D2234&gt;$B$10),AND($B$9="inferior",D2234&lt;-$B$10)),"Rechazar H0","No rechazar H0")</f>
        <v>No rechazar H0</v>
      </c>
      <c r="F2234" s="0" t="str">
        <f aca="false">IF(AND(B2234="H0 verdadera",E2234="Rechazar H0"),"Error tipo I",IF(AND(B2234="Ha verdadera",E2234="No rechazar H0"),"Error tipo II","Decisión correcta"))</f>
        <v>Error tipo II</v>
      </c>
    </row>
    <row r="2235" customFormat="false" ht="15" hidden="false" customHeight="false" outlineLevel="0" collapsed="false">
      <c r="A2235" s="0" t="n">
        <v>2214</v>
      </c>
      <c r="B2235" s="0" t="s">
        <v>85</v>
      </c>
      <c r="C2235" s="17" t="n">
        <v>0.134723337077994</v>
      </c>
      <c r="D2235" s="17" t="n">
        <f aca="false">(C2235-$B$4)/($B$6/SQRT($B$7))</f>
        <v>0.673616685389969</v>
      </c>
      <c r="E2235" s="0" t="str">
        <f aca="false">IF(OR(AND($B$9="superior",D2235&gt;$B$10),AND($B$9="inferior",D2235&lt;-$B$10)),"Rechazar H0","No rechazar H0")</f>
        <v>No rechazar H0</v>
      </c>
      <c r="F2235" s="0" t="str">
        <f aca="false">IF(AND(B2235="H0 verdadera",E2235="Rechazar H0"),"Error tipo I",IF(AND(B2235="Ha verdadera",E2235="No rechazar H0"),"Error tipo II","Decisión correcta"))</f>
        <v>Decisión correcta</v>
      </c>
    </row>
    <row r="2236" customFormat="false" ht="15" hidden="false" customHeight="false" outlineLevel="0" collapsed="false">
      <c r="A2236" s="0" t="n">
        <v>2215</v>
      </c>
      <c r="B2236" s="0" t="s">
        <v>85</v>
      </c>
      <c r="C2236" s="17" t="n">
        <v>0.0872682331856183</v>
      </c>
      <c r="D2236" s="17" t="n">
        <f aca="false">(C2236-$B$4)/($B$6/SQRT($B$7))</f>
        <v>0.436341165928092</v>
      </c>
      <c r="E2236" s="0" t="str">
        <f aca="false">IF(OR(AND($B$9="superior",D2236&gt;$B$10),AND($B$9="inferior",D2236&lt;-$B$10)),"Rechazar H0","No rechazar H0")</f>
        <v>No rechazar H0</v>
      </c>
      <c r="F2236" s="0" t="str">
        <f aca="false">IF(AND(B2236="H0 verdadera",E2236="Rechazar H0"),"Error tipo I",IF(AND(B2236="Ha verdadera",E2236="No rechazar H0"),"Error tipo II","Decisión correcta"))</f>
        <v>Decisión correcta</v>
      </c>
    </row>
    <row r="2237" customFormat="false" ht="15" hidden="false" customHeight="false" outlineLevel="0" collapsed="false">
      <c r="A2237" s="0" t="n">
        <v>2216</v>
      </c>
      <c r="B2237" s="0" t="s">
        <v>85</v>
      </c>
      <c r="C2237" s="17" t="n">
        <v>0.251838198718995</v>
      </c>
      <c r="D2237" s="17" t="n">
        <f aca="false">(C2237-$B$4)/($B$6/SQRT($B$7))</f>
        <v>1.25919099359497</v>
      </c>
      <c r="E2237" s="0" t="str">
        <f aca="false">IF(OR(AND($B$9="superior",D2237&gt;$B$10),AND($B$9="inferior",D2237&lt;-$B$10)),"Rechazar H0","No rechazar H0")</f>
        <v>No rechazar H0</v>
      </c>
      <c r="F2237" s="0" t="str">
        <f aca="false">IF(AND(B2237="H0 verdadera",E2237="Rechazar H0"),"Error tipo I",IF(AND(B2237="Ha verdadera",E2237="No rechazar H0"),"Error tipo II","Decisión correcta"))</f>
        <v>Decisión correcta</v>
      </c>
    </row>
    <row r="2238" customFormat="false" ht="15" hidden="false" customHeight="false" outlineLevel="0" collapsed="false">
      <c r="A2238" s="0" t="n">
        <v>2217</v>
      </c>
      <c r="B2238" s="0" t="s">
        <v>86</v>
      </c>
      <c r="C2238" s="17" t="n">
        <v>-0.431938381276116</v>
      </c>
      <c r="D2238" s="17" t="n">
        <f aca="false">(C2238-$B$4)/($B$6/SQRT($B$7))</f>
        <v>-2.15969190638058</v>
      </c>
      <c r="E2238" s="0" t="str">
        <f aca="false">IF(OR(AND($B$9="superior",D2238&gt;$B$10),AND($B$9="inferior",D2238&lt;-$B$10)),"Rechazar H0","No rechazar H0")</f>
        <v>Rechazar H0</v>
      </c>
      <c r="F2238" s="0" t="str">
        <f aca="false">IF(AND(B2238="H0 verdadera",E2238="Rechazar H0"),"Error tipo I",IF(AND(B2238="Ha verdadera",E2238="No rechazar H0"),"Error tipo II","Decisión correcta"))</f>
        <v>Decisión correcta</v>
      </c>
    </row>
    <row r="2239" customFormat="false" ht="15" hidden="false" customHeight="false" outlineLevel="0" collapsed="false">
      <c r="A2239" s="0" t="n">
        <v>2218</v>
      </c>
      <c r="B2239" s="0" t="s">
        <v>86</v>
      </c>
      <c r="C2239" s="17" t="n">
        <v>-0.536047372721692</v>
      </c>
      <c r="D2239" s="17" t="n">
        <f aca="false">(C2239-$B$4)/($B$6/SQRT($B$7))</f>
        <v>-2.68023686360846</v>
      </c>
      <c r="E2239" s="0" t="str">
        <f aca="false">IF(OR(AND($B$9="superior",D2239&gt;$B$10),AND($B$9="inferior",D2239&lt;-$B$10)),"Rechazar H0","No rechazar H0")</f>
        <v>Rechazar H0</v>
      </c>
      <c r="F2239" s="0" t="str">
        <f aca="false">IF(AND(B2239="H0 verdadera",E2239="Rechazar H0"),"Error tipo I",IF(AND(B2239="Ha verdadera",E2239="No rechazar H0"),"Error tipo II","Decisión correcta"))</f>
        <v>Decisión correcta</v>
      </c>
    </row>
    <row r="2240" customFormat="false" ht="15" hidden="false" customHeight="false" outlineLevel="0" collapsed="false">
      <c r="A2240" s="0" t="n">
        <v>2219</v>
      </c>
      <c r="B2240" s="0" t="s">
        <v>85</v>
      </c>
      <c r="C2240" s="17" t="n">
        <v>-0.174450213579235</v>
      </c>
      <c r="D2240" s="17" t="n">
        <f aca="false">(C2240-$B$4)/($B$6/SQRT($B$7))</f>
        <v>-0.872251067896175</v>
      </c>
      <c r="E2240" s="0" t="str">
        <f aca="false">IF(OR(AND($B$9="superior",D2240&gt;$B$10),AND($B$9="inferior",D2240&lt;-$B$10)),"Rechazar H0","No rechazar H0")</f>
        <v>No rechazar H0</v>
      </c>
      <c r="F2240" s="0" t="str">
        <f aca="false">IF(AND(B2240="H0 verdadera",E2240="Rechazar H0"),"Error tipo I",IF(AND(B2240="Ha verdadera",E2240="No rechazar H0"),"Error tipo II","Decisión correcta"))</f>
        <v>Decisión correcta</v>
      </c>
    </row>
    <row r="2241" customFormat="false" ht="15" hidden="false" customHeight="false" outlineLevel="0" collapsed="false">
      <c r="A2241" s="0" t="n">
        <v>2220</v>
      </c>
      <c r="B2241" s="0" t="s">
        <v>85</v>
      </c>
      <c r="C2241" s="17" t="n">
        <v>0.0110278244713259</v>
      </c>
      <c r="D2241" s="17" t="n">
        <f aca="false">(C2241-$B$4)/($B$6/SQRT($B$7))</f>
        <v>0.0551391223566295</v>
      </c>
      <c r="E2241" s="0" t="str">
        <f aca="false">IF(OR(AND($B$9="superior",D2241&gt;$B$10),AND($B$9="inferior",D2241&lt;-$B$10)),"Rechazar H0","No rechazar H0")</f>
        <v>No rechazar H0</v>
      </c>
      <c r="F2241" s="0" t="str">
        <f aca="false">IF(AND(B2241="H0 verdadera",E2241="Rechazar H0"),"Error tipo I",IF(AND(B2241="Ha verdadera",E2241="No rechazar H0"),"Error tipo II","Decisión correcta"))</f>
        <v>Decisión correcta</v>
      </c>
    </row>
    <row r="2242" customFormat="false" ht="15" hidden="false" customHeight="false" outlineLevel="0" collapsed="false">
      <c r="A2242" s="0" t="n">
        <v>2221</v>
      </c>
      <c r="B2242" s="0" t="s">
        <v>85</v>
      </c>
      <c r="C2242" s="17" t="n">
        <v>0.209626752391098</v>
      </c>
      <c r="D2242" s="17" t="n">
        <f aca="false">(C2242-$B$4)/($B$6/SQRT($B$7))</f>
        <v>1.04813376195549</v>
      </c>
      <c r="E2242" s="0" t="str">
        <f aca="false">IF(OR(AND($B$9="superior",D2242&gt;$B$10),AND($B$9="inferior",D2242&lt;-$B$10)),"Rechazar H0","No rechazar H0")</f>
        <v>No rechazar H0</v>
      </c>
      <c r="F2242" s="0" t="str">
        <f aca="false">IF(AND(B2242="H0 verdadera",E2242="Rechazar H0"),"Error tipo I",IF(AND(B2242="Ha verdadera",E2242="No rechazar H0"),"Error tipo II","Decisión correcta"))</f>
        <v>Decisión correcta</v>
      </c>
    </row>
    <row r="2243" customFormat="false" ht="15" hidden="false" customHeight="false" outlineLevel="0" collapsed="false">
      <c r="A2243" s="0" t="n">
        <v>2222</v>
      </c>
      <c r="B2243" s="0" t="s">
        <v>85</v>
      </c>
      <c r="C2243" s="17" t="n">
        <v>-0.187822759581008</v>
      </c>
      <c r="D2243" s="17" t="n">
        <f aca="false">(C2243-$B$4)/($B$6/SQRT($B$7))</f>
        <v>-0.939113797905039</v>
      </c>
      <c r="E2243" s="0" t="str">
        <f aca="false">IF(OR(AND($B$9="superior",D2243&gt;$B$10),AND($B$9="inferior",D2243&lt;-$B$10)),"Rechazar H0","No rechazar H0")</f>
        <v>No rechazar H0</v>
      </c>
      <c r="F2243" s="0" t="str">
        <f aca="false">IF(AND(B2243="H0 verdadera",E2243="Rechazar H0"),"Error tipo I",IF(AND(B2243="Ha verdadera",E2243="No rechazar H0"),"Error tipo II","Decisión correcta"))</f>
        <v>Decisión correcta</v>
      </c>
    </row>
    <row r="2244" customFormat="false" ht="15" hidden="false" customHeight="false" outlineLevel="0" collapsed="false">
      <c r="A2244" s="0" t="n">
        <v>2223</v>
      </c>
      <c r="B2244" s="0" t="s">
        <v>86</v>
      </c>
      <c r="C2244" s="17" t="n">
        <v>-0.191650339129272</v>
      </c>
      <c r="D2244" s="17" t="n">
        <f aca="false">(C2244-$B$4)/($B$6/SQRT($B$7))</f>
        <v>-0.958251695646361</v>
      </c>
      <c r="E2244" s="0" t="str">
        <f aca="false">IF(OR(AND($B$9="superior",D2244&gt;$B$10),AND($B$9="inferior",D2244&lt;-$B$10)),"Rechazar H0","No rechazar H0")</f>
        <v>No rechazar H0</v>
      </c>
      <c r="F2244" s="0" t="str">
        <f aca="false">IF(AND(B2244="H0 verdadera",E2244="Rechazar H0"),"Error tipo I",IF(AND(B2244="Ha verdadera",E2244="No rechazar H0"),"Error tipo II","Decisión correcta"))</f>
        <v>Error tipo II</v>
      </c>
    </row>
    <row r="2245" customFormat="false" ht="15" hidden="false" customHeight="false" outlineLevel="0" collapsed="false">
      <c r="A2245" s="0" t="n">
        <v>2224</v>
      </c>
      <c r="B2245" s="0" t="s">
        <v>85</v>
      </c>
      <c r="C2245" s="17" t="n">
        <v>0.237252884973525</v>
      </c>
      <c r="D2245" s="17" t="n">
        <f aca="false">(C2245-$B$4)/($B$6/SQRT($B$7))</f>
        <v>1.18626442486763</v>
      </c>
      <c r="E2245" s="0" t="str">
        <f aca="false">IF(OR(AND($B$9="superior",D2245&gt;$B$10),AND($B$9="inferior",D2245&lt;-$B$10)),"Rechazar H0","No rechazar H0")</f>
        <v>No rechazar H0</v>
      </c>
      <c r="F2245" s="0" t="str">
        <f aca="false">IF(AND(B2245="H0 verdadera",E2245="Rechazar H0"),"Error tipo I",IF(AND(B2245="Ha verdadera",E2245="No rechazar H0"),"Error tipo II","Decisión correcta"))</f>
        <v>Decisión correcta</v>
      </c>
    </row>
    <row r="2246" customFormat="false" ht="15" hidden="false" customHeight="false" outlineLevel="0" collapsed="false">
      <c r="A2246" s="0" t="n">
        <v>2225</v>
      </c>
      <c r="B2246" s="0" t="s">
        <v>85</v>
      </c>
      <c r="C2246" s="17" t="n">
        <v>0.373029755622465</v>
      </c>
      <c r="D2246" s="17" t="n">
        <f aca="false">(C2246-$B$4)/($B$6/SQRT($B$7))</f>
        <v>1.86514877811233</v>
      </c>
      <c r="E2246" s="0" t="str">
        <f aca="false">IF(OR(AND($B$9="superior",D2246&gt;$B$10),AND($B$9="inferior",D2246&lt;-$B$10)),"Rechazar H0","No rechazar H0")</f>
        <v>No rechazar H0</v>
      </c>
      <c r="F2246" s="0" t="str">
        <f aca="false">IF(AND(B2246="H0 verdadera",E2246="Rechazar H0"),"Error tipo I",IF(AND(B2246="Ha verdadera",E2246="No rechazar H0"),"Error tipo II","Decisión correcta"))</f>
        <v>Decisión correcta</v>
      </c>
    </row>
    <row r="2247" customFormat="false" ht="15" hidden="false" customHeight="false" outlineLevel="0" collapsed="false">
      <c r="A2247" s="0" t="n">
        <v>2226</v>
      </c>
      <c r="B2247" s="0" t="s">
        <v>86</v>
      </c>
      <c r="C2247" s="17" t="n">
        <v>-0.203860821763843</v>
      </c>
      <c r="D2247" s="17" t="n">
        <f aca="false">(C2247-$B$4)/($B$6/SQRT($B$7))</f>
        <v>-1.01930410881922</v>
      </c>
      <c r="E2247" s="0" t="str">
        <f aca="false">IF(OR(AND($B$9="superior",D2247&gt;$B$10),AND($B$9="inferior",D2247&lt;-$B$10)),"Rechazar H0","No rechazar H0")</f>
        <v>No rechazar H0</v>
      </c>
      <c r="F2247" s="0" t="str">
        <f aca="false">IF(AND(B2247="H0 verdadera",E2247="Rechazar H0"),"Error tipo I",IF(AND(B2247="Ha verdadera",E2247="No rechazar H0"),"Error tipo II","Decisión correcta"))</f>
        <v>Error tipo II</v>
      </c>
    </row>
    <row r="2248" customFormat="false" ht="15" hidden="false" customHeight="false" outlineLevel="0" collapsed="false">
      <c r="A2248" s="0" t="n">
        <v>2227</v>
      </c>
      <c r="B2248" s="0" t="s">
        <v>86</v>
      </c>
      <c r="C2248" s="17" t="n">
        <v>-0.532636975510481</v>
      </c>
      <c r="D2248" s="17" t="n">
        <f aca="false">(C2248-$B$4)/($B$6/SQRT($B$7))</f>
        <v>-2.66318487755241</v>
      </c>
      <c r="E2248" s="0" t="str">
        <f aca="false">IF(OR(AND($B$9="superior",D2248&gt;$B$10),AND($B$9="inferior",D2248&lt;-$B$10)),"Rechazar H0","No rechazar H0")</f>
        <v>Rechazar H0</v>
      </c>
      <c r="F2248" s="0" t="str">
        <f aca="false">IF(AND(B2248="H0 verdadera",E2248="Rechazar H0"),"Error tipo I",IF(AND(B2248="Ha verdadera",E2248="No rechazar H0"),"Error tipo II","Decisión correcta"))</f>
        <v>Decisión correcta</v>
      </c>
    </row>
    <row r="2249" customFormat="false" ht="15" hidden="false" customHeight="false" outlineLevel="0" collapsed="false">
      <c r="A2249" s="0" t="n">
        <v>2228</v>
      </c>
      <c r="B2249" s="0" t="s">
        <v>85</v>
      </c>
      <c r="C2249" s="17" t="n">
        <v>0.156583122141387</v>
      </c>
      <c r="D2249" s="17" t="n">
        <f aca="false">(C2249-$B$4)/($B$6/SQRT($B$7))</f>
        <v>0.782915610706934</v>
      </c>
      <c r="E2249" s="0" t="str">
        <f aca="false">IF(OR(AND($B$9="superior",D2249&gt;$B$10),AND($B$9="inferior",D2249&lt;-$B$10)),"Rechazar H0","No rechazar H0")</f>
        <v>No rechazar H0</v>
      </c>
      <c r="F2249" s="0" t="str">
        <f aca="false">IF(AND(B2249="H0 verdadera",E2249="Rechazar H0"),"Error tipo I",IF(AND(B2249="Ha verdadera",E2249="No rechazar H0"),"Error tipo II","Decisión correcta"))</f>
        <v>Decisión correcta</v>
      </c>
    </row>
    <row r="2250" customFormat="false" ht="15" hidden="false" customHeight="false" outlineLevel="0" collapsed="false">
      <c r="A2250" s="0" t="n">
        <v>2229</v>
      </c>
      <c r="B2250" s="0" t="s">
        <v>85</v>
      </c>
      <c r="C2250" s="17" t="n">
        <v>-0.200094611655188</v>
      </c>
      <c r="D2250" s="17" t="n">
        <f aca="false">(C2250-$B$4)/($B$6/SQRT($B$7))</f>
        <v>-1.00047305827594</v>
      </c>
      <c r="E2250" s="0" t="str">
        <f aca="false">IF(OR(AND($B$9="superior",D2250&gt;$B$10),AND($B$9="inferior",D2250&lt;-$B$10)),"Rechazar H0","No rechazar H0")</f>
        <v>No rechazar H0</v>
      </c>
      <c r="F2250" s="0" t="str">
        <f aca="false">IF(AND(B2250="H0 verdadera",E2250="Rechazar H0"),"Error tipo I",IF(AND(B2250="Ha verdadera",E2250="No rechazar H0"),"Error tipo II","Decisión correcta"))</f>
        <v>Decisión correcta</v>
      </c>
    </row>
    <row r="2251" customFormat="false" ht="15" hidden="false" customHeight="false" outlineLevel="0" collapsed="false">
      <c r="A2251" s="0" t="n">
        <v>2230</v>
      </c>
      <c r="B2251" s="0" t="s">
        <v>85</v>
      </c>
      <c r="C2251" s="17" t="n">
        <v>0.0320483174697361</v>
      </c>
      <c r="D2251" s="17" t="n">
        <f aca="false">(C2251-$B$4)/($B$6/SQRT($B$7))</f>
        <v>0.16024158734868</v>
      </c>
      <c r="E2251" s="0" t="str">
        <f aca="false">IF(OR(AND($B$9="superior",D2251&gt;$B$10),AND($B$9="inferior",D2251&lt;-$B$10)),"Rechazar H0","No rechazar H0")</f>
        <v>No rechazar H0</v>
      </c>
      <c r="F2251" s="0" t="str">
        <f aca="false">IF(AND(B2251="H0 verdadera",E2251="Rechazar H0"),"Error tipo I",IF(AND(B2251="Ha verdadera",E2251="No rechazar H0"),"Error tipo II","Decisión correcta"))</f>
        <v>Decisión correcta</v>
      </c>
    </row>
    <row r="2252" customFormat="false" ht="15" hidden="false" customHeight="false" outlineLevel="0" collapsed="false">
      <c r="A2252" s="0" t="n">
        <v>2231</v>
      </c>
      <c r="B2252" s="0" t="s">
        <v>86</v>
      </c>
      <c r="C2252" s="17" t="n">
        <v>-0.434319413526328</v>
      </c>
      <c r="D2252" s="17" t="n">
        <f aca="false">(C2252-$B$4)/($B$6/SQRT($B$7))</f>
        <v>-2.17159706763164</v>
      </c>
      <c r="E2252" s="0" t="str">
        <f aca="false">IF(OR(AND($B$9="superior",D2252&gt;$B$10),AND($B$9="inferior",D2252&lt;-$B$10)),"Rechazar H0","No rechazar H0")</f>
        <v>Rechazar H0</v>
      </c>
      <c r="F2252" s="0" t="str">
        <f aca="false">IF(AND(B2252="H0 verdadera",E2252="Rechazar H0"),"Error tipo I",IF(AND(B2252="Ha verdadera",E2252="No rechazar H0"),"Error tipo II","Decisión correcta"))</f>
        <v>Decisión correcta</v>
      </c>
    </row>
    <row r="2253" customFormat="false" ht="15" hidden="false" customHeight="false" outlineLevel="0" collapsed="false">
      <c r="A2253" s="0" t="n">
        <v>2232</v>
      </c>
      <c r="B2253" s="0" t="s">
        <v>85</v>
      </c>
      <c r="C2253" s="17" t="n">
        <v>0.0970410838034286</v>
      </c>
      <c r="D2253" s="17" t="n">
        <f aca="false">(C2253-$B$4)/($B$6/SQRT($B$7))</f>
        <v>0.485205419017143</v>
      </c>
      <c r="E2253" s="0" t="str">
        <f aca="false">IF(OR(AND($B$9="superior",D2253&gt;$B$10),AND($B$9="inferior",D2253&lt;-$B$10)),"Rechazar H0","No rechazar H0")</f>
        <v>No rechazar H0</v>
      </c>
      <c r="F2253" s="0" t="str">
        <f aca="false">IF(AND(B2253="H0 verdadera",E2253="Rechazar H0"),"Error tipo I",IF(AND(B2253="Ha verdadera",E2253="No rechazar H0"),"Error tipo II","Decisión correcta"))</f>
        <v>Decisión correcta</v>
      </c>
    </row>
    <row r="2254" customFormat="false" ht="15" hidden="false" customHeight="false" outlineLevel="0" collapsed="false">
      <c r="A2254" s="0" t="n">
        <v>2233</v>
      </c>
      <c r="B2254" s="0" t="s">
        <v>85</v>
      </c>
      <c r="C2254" s="17" t="n">
        <v>0.234763089043986</v>
      </c>
      <c r="D2254" s="17" t="n">
        <f aca="false">(C2254-$B$4)/($B$6/SQRT($B$7))</f>
        <v>1.17381544521993</v>
      </c>
      <c r="E2254" s="0" t="str">
        <f aca="false">IF(OR(AND($B$9="superior",D2254&gt;$B$10),AND($B$9="inferior",D2254&lt;-$B$10)),"Rechazar H0","No rechazar H0")</f>
        <v>No rechazar H0</v>
      </c>
      <c r="F2254" s="0" t="str">
        <f aca="false">IF(AND(B2254="H0 verdadera",E2254="Rechazar H0"),"Error tipo I",IF(AND(B2254="Ha verdadera",E2254="No rechazar H0"),"Error tipo II","Decisión correcta"))</f>
        <v>Decisión correcta</v>
      </c>
    </row>
    <row r="2255" customFormat="false" ht="15" hidden="false" customHeight="false" outlineLevel="0" collapsed="false">
      <c r="A2255" s="0" t="n">
        <v>2234</v>
      </c>
      <c r="B2255" s="0" t="s">
        <v>86</v>
      </c>
      <c r="C2255" s="17" t="n">
        <v>-0.568332757231783</v>
      </c>
      <c r="D2255" s="17" t="n">
        <f aca="false">(C2255-$B$4)/($B$6/SQRT($B$7))</f>
        <v>-2.84166378615891</v>
      </c>
      <c r="E2255" s="0" t="str">
        <f aca="false">IF(OR(AND($B$9="superior",D2255&gt;$B$10),AND($B$9="inferior",D2255&lt;-$B$10)),"Rechazar H0","No rechazar H0")</f>
        <v>Rechazar H0</v>
      </c>
      <c r="F2255" s="0" t="str">
        <f aca="false">IF(AND(B2255="H0 verdadera",E2255="Rechazar H0"),"Error tipo I",IF(AND(B2255="Ha verdadera",E2255="No rechazar H0"),"Error tipo II","Decisión correcta"))</f>
        <v>Decisión correcta</v>
      </c>
    </row>
    <row r="2256" customFormat="false" ht="15" hidden="false" customHeight="false" outlineLevel="0" collapsed="false">
      <c r="A2256" s="0" t="n">
        <v>2235</v>
      </c>
      <c r="B2256" s="0" t="s">
        <v>85</v>
      </c>
      <c r="C2256" s="17" t="n">
        <v>0.189583412040594</v>
      </c>
      <c r="D2256" s="17" t="n">
        <f aca="false">(C2256-$B$4)/($B$6/SQRT($B$7))</f>
        <v>0.947917060202968</v>
      </c>
      <c r="E2256" s="0" t="str">
        <f aca="false">IF(OR(AND($B$9="superior",D2256&gt;$B$10),AND($B$9="inferior",D2256&lt;-$B$10)),"Rechazar H0","No rechazar H0")</f>
        <v>No rechazar H0</v>
      </c>
      <c r="F2256" s="0" t="str">
        <f aca="false">IF(AND(B2256="H0 verdadera",E2256="Rechazar H0"),"Error tipo I",IF(AND(B2256="Ha verdadera",E2256="No rechazar H0"),"Error tipo II","Decisión correcta"))</f>
        <v>Decisión correcta</v>
      </c>
    </row>
    <row r="2257" customFormat="false" ht="15" hidden="false" customHeight="false" outlineLevel="0" collapsed="false">
      <c r="A2257" s="0" t="n">
        <v>2236</v>
      </c>
      <c r="B2257" s="0" t="s">
        <v>85</v>
      </c>
      <c r="C2257" s="17" t="n">
        <v>-0.0795468765504704</v>
      </c>
      <c r="D2257" s="17" t="n">
        <f aca="false">(C2257-$B$4)/($B$6/SQRT($B$7))</f>
        <v>-0.397734382752352</v>
      </c>
      <c r="E2257" s="0" t="str">
        <f aca="false">IF(OR(AND($B$9="superior",D2257&gt;$B$10),AND($B$9="inferior",D2257&lt;-$B$10)),"Rechazar H0","No rechazar H0")</f>
        <v>No rechazar H0</v>
      </c>
      <c r="F2257" s="0" t="str">
        <f aca="false">IF(AND(B2257="H0 verdadera",E2257="Rechazar H0"),"Error tipo I",IF(AND(B2257="Ha verdadera",E2257="No rechazar H0"),"Error tipo II","Decisión correcta"))</f>
        <v>Decisión correcta</v>
      </c>
    </row>
    <row r="2258" customFormat="false" ht="15" hidden="false" customHeight="false" outlineLevel="0" collapsed="false">
      <c r="A2258" s="0" t="n">
        <v>2237</v>
      </c>
      <c r="B2258" s="0" t="s">
        <v>85</v>
      </c>
      <c r="C2258" s="17" t="n">
        <v>-0.251266990929088</v>
      </c>
      <c r="D2258" s="17" t="n">
        <f aca="false">(C2258-$B$4)/($B$6/SQRT($B$7))</f>
        <v>-1.25633495464544</v>
      </c>
      <c r="E2258" s="0" t="str">
        <f aca="false">IF(OR(AND($B$9="superior",D2258&gt;$B$10),AND($B$9="inferior",D2258&lt;-$B$10)),"Rechazar H0","No rechazar H0")</f>
        <v>No rechazar H0</v>
      </c>
      <c r="F2258" s="0" t="str">
        <f aca="false">IF(AND(B2258="H0 verdadera",E2258="Rechazar H0"),"Error tipo I",IF(AND(B2258="Ha verdadera",E2258="No rechazar H0"),"Error tipo II","Decisión correcta"))</f>
        <v>Decisión correcta</v>
      </c>
    </row>
    <row r="2259" customFormat="false" ht="15" hidden="false" customHeight="false" outlineLevel="0" collapsed="false">
      <c r="A2259" s="0" t="n">
        <v>2238</v>
      </c>
      <c r="B2259" s="0" t="s">
        <v>85</v>
      </c>
      <c r="C2259" s="17" t="n">
        <v>-0.136857289148211</v>
      </c>
      <c r="D2259" s="17" t="n">
        <f aca="false">(C2259-$B$4)/($B$6/SQRT($B$7))</f>
        <v>-0.684286445741055</v>
      </c>
      <c r="E2259" s="0" t="str">
        <f aca="false">IF(OR(AND($B$9="superior",D2259&gt;$B$10),AND($B$9="inferior",D2259&lt;-$B$10)),"Rechazar H0","No rechazar H0")</f>
        <v>No rechazar H0</v>
      </c>
      <c r="F2259" s="0" t="str">
        <f aca="false">IF(AND(B2259="H0 verdadera",E2259="Rechazar H0"),"Error tipo I",IF(AND(B2259="Ha verdadera",E2259="No rechazar H0"),"Error tipo II","Decisión correcta"))</f>
        <v>Decisión correcta</v>
      </c>
    </row>
    <row r="2260" customFormat="false" ht="15" hidden="false" customHeight="false" outlineLevel="0" collapsed="false">
      <c r="A2260" s="0" t="n">
        <v>2239</v>
      </c>
      <c r="B2260" s="0" t="s">
        <v>85</v>
      </c>
      <c r="C2260" s="17" t="n">
        <v>-0.176054053523168</v>
      </c>
      <c r="D2260" s="17" t="n">
        <f aca="false">(C2260-$B$4)/($B$6/SQRT($B$7))</f>
        <v>-0.880270267615838</v>
      </c>
      <c r="E2260" s="0" t="str">
        <f aca="false">IF(OR(AND($B$9="superior",D2260&gt;$B$10),AND($B$9="inferior",D2260&lt;-$B$10)),"Rechazar H0","No rechazar H0")</f>
        <v>No rechazar H0</v>
      </c>
      <c r="F2260" s="0" t="str">
        <f aca="false">IF(AND(B2260="H0 verdadera",E2260="Rechazar H0"),"Error tipo I",IF(AND(B2260="Ha verdadera",E2260="No rechazar H0"),"Error tipo II","Decisión correcta"))</f>
        <v>Decisión correcta</v>
      </c>
    </row>
    <row r="2261" customFormat="false" ht="15" hidden="false" customHeight="false" outlineLevel="0" collapsed="false">
      <c r="A2261" s="0" t="n">
        <v>2240</v>
      </c>
      <c r="B2261" s="0" t="s">
        <v>86</v>
      </c>
      <c r="C2261" s="17" t="n">
        <v>-0.389558665715486</v>
      </c>
      <c r="D2261" s="17" t="n">
        <f aca="false">(C2261-$B$4)/($B$6/SQRT($B$7))</f>
        <v>-1.94779332857743</v>
      </c>
      <c r="E2261" s="0" t="str">
        <f aca="false">IF(OR(AND($B$9="superior",D2261&gt;$B$10),AND($B$9="inferior",D2261&lt;-$B$10)),"Rechazar H0","No rechazar H0")</f>
        <v>Rechazar H0</v>
      </c>
      <c r="F2261" s="0" t="str">
        <f aca="false">IF(AND(B2261="H0 verdadera",E2261="Rechazar H0"),"Error tipo I",IF(AND(B2261="Ha verdadera",E2261="No rechazar H0"),"Error tipo II","Decisión correcta"))</f>
        <v>Decisión correcta</v>
      </c>
    </row>
    <row r="2262" customFormat="false" ht="15" hidden="false" customHeight="false" outlineLevel="0" collapsed="false">
      <c r="A2262" s="0" t="n">
        <v>2241</v>
      </c>
      <c r="B2262" s="0" t="s">
        <v>86</v>
      </c>
      <c r="C2262" s="17" t="n">
        <v>-0.193464180054604</v>
      </c>
      <c r="D2262" s="17" t="n">
        <f aca="false">(C2262-$B$4)/($B$6/SQRT($B$7))</f>
        <v>-0.967320900273017</v>
      </c>
      <c r="E2262" s="0" t="str">
        <f aca="false">IF(OR(AND($B$9="superior",D2262&gt;$B$10),AND($B$9="inferior",D2262&lt;-$B$10)),"Rechazar H0","No rechazar H0")</f>
        <v>No rechazar H0</v>
      </c>
      <c r="F2262" s="0" t="str">
        <f aca="false">IF(AND(B2262="H0 verdadera",E2262="Rechazar H0"),"Error tipo I",IF(AND(B2262="Ha verdadera",E2262="No rechazar H0"),"Error tipo II","Decisión correcta"))</f>
        <v>Error tipo II</v>
      </c>
    </row>
    <row r="2263" customFormat="false" ht="15" hidden="false" customHeight="false" outlineLevel="0" collapsed="false">
      <c r="A2263" s="0" t="n">
        <v>2242</v>
      </c>
      <c r="B2263" s="0" t="s">
        <v>86</v>
      </c>
      <c r="C2263" s="17" t="n">
        <v>0.0903774340793376</v>
      </c>
      <c r="D2263" s="17" t="n">
        <f aca="false">(C2263-$B$4)/($B$6/SQRT($B$7))</f>
        <v>0.451887170396688</v>
      </c>
      <c r="E2263" s="0" t="str">
        <f aca="false">IF(OR(AND($B$9="superior",D2263&gt;$B$10),AND($B$9="inferior",D2263&lt;-$B$10)),"Rechazar H0","No rechazar H0")</f>
        <v>No rechazar H0</v>
      </c>
      <c r="F2263" s="0" t="str">
        <f aca="false">IF(AND(B2263="H0 verdadera",E2263="Rechazar H0"),"Error tipo I",IF(AND(B2263="Ha verdadera",E2263="No rechazar H0"),"Error tipo II","Decisión correcta"))</f>
        <v>Error tipo II</v>
      </c>
    </row>
    <row r="2264" customFormat="false" ht="15" hidden="false" customHeight="false" outlineLevel="0" collapsed="false">
      <c r="A2264" s="0" t="n">
        <v>2243</v>
      </c>
      <c r="B2264" s="0" t="s">
        <v>85</v>
      </c>
      <c r="C2264" s="17" t="n">
        <v>-0.22972915885452</v>
      </c>
      <c r="D2264" s="17" t="n">
        <f aca="false">(C2264-$B$4)/($B$6/SQRT($B$7))</f>
        <v>-1.1486457942726</v>
      </c>
      <c r="E2264" s="0" t="str">
        <f aca="false">IF(OR(AND($B$9="superior",D2264&gt;$B$10),AND($B$9="inferior",D2264&lt;-$B$10)),"Rechazar H0","No rechazar H0")</f>
        <v>No rechazar H0</v>
      </c>
      <c r="F2264" s="0" t="str">
        <f aca="false">IF(AND(B2264="H0 verdadera",E2264="Rechazar H0"),"Error tipo I",IF(AND(B2264="Ha verdadera",E2264="No rechazar H0"),"Error tipo II","Decisión correcta"))</f>
        <v>Decisión correcta</v>
      </c>
    </row>
    <row r="2265" customFormat="false" ht="15" hidden="false" customHeight="false" outlineLevel="0" collapsed="false">
      <c r="A2265" s="0" t="n">
        <v>2244</v>
      </c>
      <c r="B2265" s="0" t="s">
        <v>86</v>
      </c>
      <c r="C2265" s="17" t="n">
        <v>-0.572023740014181</v>
      </c>
      <c r="D2265" s="17" t="n">
        <f aca="false">(C2265-$B$4)/($B$6/SQRT($B$7))</f>
        <v>-2.86011870007091</v>
      </c>
      <c r="E2265" s="0" t="str">
        <f aca="false">IF(OR(AND($B$9="superior",D2265&gt;$B$10),AND($B$9="inferior",D2265&lt;-$B$10)),"Rechazar H0","No rechazar H0")</f>
        <v>Rechazar H0</v>
      </c>
      <c r="F2265" s="0" t="str">
        <f aca="false">IF(AND(B2265="H0 verdadera",E2265="Rechazar H0"),"Error tipo I",IF(AND(B2265="Ha verdadera",E2265="No rechazar H0"),"Error tipo II","Decisión correcta"))</f>
        <v>Decisión correcta</v>
      </c>
    </row>
    <row r="2266" customFormat="false" ht="15" hidden="false" customHeight="false" outlineLevel="0" collapsed="false">
      <c r="A2266" s="0" t="n">
        <v>2245</v>
      </c>
      <c r="B2266" s="0" t="s">
        <v>86</v>
      </c>
      <c r="C2266" s="17" t="n">
        <v>-0.247634001310437</v>
      </c>
      <c r="D2266" s="17" t="n">
        <f aca="false">(C2266-$B$4)/($B$6/SQRT($B$7))</f>
        <v>-1.23817000655218</v>
      </c>
      <c r="E2266" s="0" t="str">
        <f aca="false">IF(OR(AND($B$9="superior",D2266&gt;$B$10),AND($B$9="inferior",D2266&lt;-$B$10)),"Rechazar H0","No rechazar H0")</f>
        <v>No rechazar H0</v>
      </c>
      <c r="F2266" s="0" t="str">
        <f aca="false">IF(AND(B2266="H0 verdadera",E2266="Rechazar H0"),"Error tipo I",IF(AND(B2266="Ha verdadera",E2266="No rechazar H0"),"Error tipo II","Decisión correcta"))</f>
        <v>Error tipo II</v>
      </c>
    </row>
    <row r="2267" customFormat="false" ht="15" hidden="false" customHeight="false" outlineLevel="0" collapsed="false">
      <c r="A2267" s="0" t="n">
        <v>2246</v>
      </c>
      <c r="B2267" s="0" t="s">
        <v>85</v>
      </c>
      <c r="C2267" s="17" t="n">
        <v>-0.0138254347445726</v>
      </c>
      <c r="D2267" s="17" t="n">
        <f aca="false">(C2267-$B$4)/($B$6/SQRT($B$7))</f>
        <v>-0.0691271737228628</v>
      </c>
      <c r="E2267" s="0" t="str">
        <f aca="false">IF(OR(AND($B$9="superior",D2267&gt;$B$10),AND($B$9="inferior",D2267&lt;-$B$10)),"Rechazar H0","No rechazar H0")</f>
        <v>No rechazar H0</v>
      </c>
      <c r="F2267" s="0" t="str">
        <f aca="false">IF(AND(B2267="H0 verdadera",E2267="Rechazar H0"),"Error tipo I",IF(AND(B2267="Ha verdadera",E2267="No rechazar H0"),"Error tipo II","Decisión correcta"))</f>
        <v>Decisión correcta</v>
      </c>
    </row>
    <row r="2268" customFormat="false" ht="15" hidden="false" customHeight="false" outlineLevel="0" collapsed="false">
      <c r="A2268" s="0" t="n">
        <v>2247</v>
      </c>
      <c r="B2268" s="0" t="s">
        <v>86</v>
      </c>
      <c r="C2268" s="17" t="n">
        <v>-0.399603319628967</v>
      </c>
      <c r="D2268" s="17" t="n">
        <f aca="false">(C2268-$B$4)/($B$6/SQRT($B$7))</f>
        <v>-1.99801659814484</v>
      </c>
      <c r="E2268" s="0" t="str">
        <f aca="false">IF(OR(AND($B$9="superior",D2268&gt;$B$10),AND($B$9="inferior",D2268&lt;-$B$10)),"Rechazar H0","No rechazar H0")</f>
        <v>Rechazar H0</v>
      </c>
      <c r="F2268" s="0" t="str">
        <f aca="false">IF(AND(B2268="H0 verdadera",E2268="Rechazar H0"),"Error tipo I",IF(AND(B2268="Ha verdadera",E2268="No rechazar H0"),"Error tipo II","Decisión correcta"))</f>
        <v>Decisión correcta</v>
      </c>
    </row>
    <row r="2269" customFormat="false" ht="15" hidden="false" customHeight="false" outlineLevel="0" collapsed="false">
      <c r="A2269" s="0" t="n">
        <v>2248</v>
      </c>
      <c r="B2269" s="0" t="s">
        <v>86</v>
      </c>
      <c r="C2269" s="17" t="n">
        <v>-0.476673306903474</v>
      </c>
      <c r="D2269" s="17" t="n">
        <f aca="false">(C2269-$B$4)/($B$6/SQRT($B$7))</f>
        <v>-2.38336653451737</v>
      </c>
      <c r="E2269" s="0" t="str">
        <f aca="false">IF(OR(AND($B$9="superior",D2269&gt;$B$10),AND($B$9="inferior",D2269&lt;-$B$10)),"Rechazar H0","No rechazar H0")</f>
        <v>Rechazar H0</v>
      </c>
      <c r="F2269" s="0" t="str">
        <f aca="false">IF(AND(B2269="H0 verdadera",E2269="Rechazar H0"),"Error tipo I",IF(AND(B2269="Ha verdadera",E2269="No rechazar H0"),"Error tipo II","Decisión correcta"))</f>
        <v>Decisión correcta</v>
      </c>
    </row>
    <row r="2270" customFormat="false" ht="15" hidden="false" customHeight="false" outlineLevel="0" collapsed="false">
      <c r="A2270" s="0" t="n">
        <v>2249</v>
      </c>
      <c r="B2270" s="0" t="s">
        <v>85</v>
      </c>
      <c r="C2270" s="17" t="n">
        <v>-0.121492865524383</v>
      </c>
      <c r="D2270" s="17" t="n">
        <f aca="false">(C2270-$B$4)/($B$6/SQRT($B$7))</f>
        <v>-0.607464327621917</v>
      </c>
      <c r="E2270" s="0" t="str">
        <f aca="false">IF(OR(AND($B$9="superior",D2270&gt;$B$10),AND($B$9="inferior",D2270&lt;-$B$10)),"Rechazar H0","No rechazar H0")</f>
        <v>No rechazar H0</v>
      </c>
      <c r="F2270" s="0" t="str">
        <f aca="false">IF(AND(B2270="H0 verdadera",E2270="Rechazar H0"),"Error tipo I",IF(AND(B2270="Ha verdadera",E2270="No rechazar H0"),"Error tipo II","Decisión correcta"))</f>
        <v>Decisión correcta</v>
      </c>
    </row>
    <row r="2271" customFormat="false" ht="15" hidden="false" customHeight="false" outlineLevel="0" collapsed="false">
      <c r="A2271" s="0" t="n">
        <v>2250</v>
      </c>
      <c r="B2271" s="0" t="s">
        <v>86</v>
      </c>
      <c r="C2271" s="17" t="n">
        <v>-0.148426001872094</v>
      </c>
      <c r="D2271" s="17" t="n">
        <f aca="false">(C2271-$B$4)/($B$6/SQRT($B$7))</f>
        <v>-0.742130009360471</v>
      </c>
      <c r="E2271" s="0" t="str">
        <f aca="false">IF(OR(AND($B$9="superior",D2271&gt;$B$10),AND($B$9="inferior",D2271&lt;-$B$10)),"Rechazar H0","No rechazar H0")</f>
        <v>No rechazar H0</v>
      </c>
      <c r="F2271" s="0" t="str">
        <f aca="false">IF(AND(B2271="H0 verdadera",E2271="Rechazar H0"),"Error tipo I",IF(AND(B2271="Ha verdadera",E2271="No rechazar H0"),"Error tipo II","Decisión correcta"))</f>
        <v>Error tipo II</v>
      </c>
    </row>
    <row r="2272" customFormat="false" ht="15" hidden="false" customHeight="false" outlineLevel="0" collapsed="false">
      <c r="A2272" s="0" t="n">
        <v>2251</v>
      </c>
      <c r="B2272" s="0" t="s">
        <v>86</v>
      </c>
      <c r="C2272" s="17" t="n">
        <v>-0.311679878823905</v>
      </c>
      <c r="D2272" s="17" t="n">
        <f aca="false">(C2272-$B$4)/($B$6/SQRT($B$7))</f>
        <v>-1.55839939411952</v>
      </c>
      <c r="E2272" s="0" t="str">
        <f aca="false">IF(OR(AND($B$9="superior",D2272&gt;$B$10),AND($B$9="inferior",D2272&lt;-$B$10)),"Rechazar H0","No rechazar H0")</f>
        <v>No rechazar H0</v>
      </c>
      <c r="F2272" s="0" t="str">
        <f aca="false">IF(AND(B2272="H0 verdadera",E2272="Rechazar H0"),"Error tipo I",IF(AND(B2272="Ha verdadera",E2272="No rechazar H0"),"Error tipo II","Decisión correcta"))</f>
        <v>Error tipo II</v>
      </c>
    </row>
    <row r="2273" customFormat="false" ht="15" hidden="false" customHeight="false" outlineLevel="0" collapsed="false">
      <c r="A2273" s="0" t="n">
        <v>2252</v>
      </c>
      <c r="B2273" s="0" t="s">
        <v>85</v>
      </c>
      <c r="C2273" s="17" t="n">
        <v>-0.0182203906771018</v>
      </c>
      <c r="D2273" s="17" t="n">
        <f aca="false">(C2273-$B$4)/($B$6/SQRT($B$7))</f>
        <v>-0.0911019533855092</v>
      </c>
      <c r="E2273" s="0" t="str">
        <f aca="false">IF(OR(AND($B$9="superior",D2273&gt;$B$10),AND($B$9="inferior",D2273&lt;-$B$10)),"Rechazar H0","No rechazar H0")</f>
        <v>No rechazar H0</v>
      </c>
      <c r="F2273" s="0" t="str">
        <f aca="false">IF(AND(B2273="H0 verdadera",E2273="Rechazar H0"),"Error tipo I",IF(AND(B2273="Ha verdadera",E2273="No rechazar H0"),"Error tipo II","Decisión correcta"))</f>
        <v>Decisión correcta</v>
      </c>
    </row>
    <row r="2274" customFormat="false" ht="15" hidden="false" customHeight="false" outlineLevel="0" collapsed="false">
      <c r="A2274" s="0" t="n">
        <v>2253</v>
      </c>
      <c r="B2274" s="0" t="s">
        <v>86</v>
      </c>
      <c r="C2274" s="17" t="n">
        <v>-0.282497004151879</v>
      </c>
      <c r="D2274" s="17" t="n">
        <f aca="false">(C2274-$B$4)/($B$6/SQRT($B$7))</f>
        <v>-1.4124850207594</v>
      </c>
      <c r="E2274" s="0" t="str">
        <f aca="false">IF(OR(AND($B$9="superior",D2274&gt;$B$10),AND($B$9="inferior",D2274&lt;-$B$10)),"Rechazar H0","No rechazar H0")</f>
        <v>No rechazar H0</v>
      </c>
      <c r="F2274" s="0" t="str">
        <f aca="false">IF(AND(B2274="H0 verdadera",E2274="Rechazar H0"),"Error tipo I",IF(AND(B2274="Ha verdadera",E2274="No rechazar H0"),"Error tipo II","Decisión correcta"))</f>
        <v>Error tipo II</v>
      </c>
    </row>
    <row r="2275" customFormat="false" ht="15" hidden="false" customHeight="false" outlineLevel="0" collapsed="false">
      <c r="A2275" s="0" t="n">
        <v>2254</v>
      </c>
      <c r="B2275" s="0" t="s">
        <v>85</v>
      </c>
      <c r="C2275" s="17" t="n">
        <v>-0.0935944660085555</v>
      </c>
      <c r="D2275" s="17" t="n">
        <f aca="false">(C2275-$B$4)/($B$6/SQRT($B$7))</f>
        <v>-0.467972330042777</v>
      </c>
      <c r="E2275" s="0" t="str">
        <f aca="false">IF(OR(AND($B$9="superior",D2275&gt;$B$10),AND($B$9="inferior",D2275&lt;-$B$10)),"Rechazar H0","No rechazar H0")</f>
        <v>No rechazar H0</v>
      </c>
      <c r="F2275" s="0" t="str">
        <f aca="false">IF(AND(B2275="H0 verdadera",E2275="Rechazar H0"),"Error tipo I",IF(AND(B2275="Ha verdadera",E2275="No rechazar H0"),"Error tipo II","Decisión correcta"))</f>
        <v>Decisión correcta</v>
      </c>
    </row>
    <row r="2276" customFormat="false" ht="15" hidden="false" customHeight="false" outlineLevel="0" collapsed="false">
      <c r="A2276" s="0" t="n">
        <v>2255</v>
      </c>
      <c r="B2276" s="0" t="s">
        <v>85</v>
      </c>
      <c r="C2276" s="17" t="n">
        <v>-0.176173875326053</v>
      </c>
      <c r="D2276" s="17" t="n">
        <f aca="false">(C2276-$B$4)/($B$6/SQRT($B$7))</f>
        <v>-0.880869376630266</v>
      </c>
      <c r="E2276" s="0" t="str">
        <f aca="false">IF(OR(AND($B$9="superior",D2276&gt;$B$10),AND($B$9="inferior",D2276&lt;-$B$10)),"Rechazar H0","No rechazar H0")</f>
        <v>No rechazar H0</v>
      </c>
      <c r="F2276" s="0" t="str">
        <f aca="false">IF(AND(B2276="H0 verdadera",E2276="Rechazar H0"),"Error tipo I",IF(AND(B2276="Ha verdadera",E2276="No rechazar H0"),"Error tipo II","Decisión correcta"))</f>
        <v>Decisión correcta</v>
      </c>
    </row>
    <row r="2277" customFormat="false" ht="15" hidden="false" customHeight="false" outlineLevel="0" collapsed="false">
      <c r="A2277" s="0" t="n">
        <v>2256</v>
      </c>
      <c r="B2277" s="0" t="s">
        <v>85</v>
      </c>
      <c r="C2277" s="17" t="n">
        <v>-0.281905592741598</v>
      </c>
      <c r="D2277" s="17" t="n">
        <f aca="false">(C2277-$B$4)/($B$6/SQRT($B$7))</f>
        <v>-1.40952796370799</v>
      </c>
      <c r="E2277" s="0" t="str">
        <f aca="false">IF(OR(AND($B$9="superior",D2277&gt;$B$10),AND($B$9="inferior",D2277&lt;-$B$10)),"Rechazar H0","No rechazar H0")</f>
        <v>No rechazar H0</v>
      </c>
      <c r="F2277" s="0" t="str">
        <f aca="false">IF(AND(B2277="H0 verdadera",E2277="Rechazar H0"),"Error tipo I",IF(AND(B2277="Ha verdadera",E2277="No rechazar H0"),"Error tipo II","Decisión correcta"))</f>
        <v>Decisión correcta</v>
      </c>
    </row>
    <row r="2278" customFormat="false" ht="15" hidden="false" customHeight="false" outlineLevel="0" collapsed="false">
      <c r="A2278" s="0" t="n">
        <v>2257</v>
      </c>
      <c r="B2278" s="0" t="s">
        <v>85</v>
      </c>
      <c r="C2278" s="17" t="n">
        <v>0.00655401930004371</v>
      </c>
      <c r="D2278" s="17" t="n">
        <f aca="false">(C2278-$B$4)/($B$6/SQRT($B$7))</f>
        <v>0.0327700965002185</v>
      </c>
      <c r="E2278" s="0" t="str">
        <f aca="false">IF(OR(AND($B$9="superior",D2278&gt;$B$10),AND($B$9="inferior",D2278&lt;-$B$10)),"Rechazar H0","No rechazar H0")</f>
        <v>No rechazar H0</v>
      </c>
      <c r="F2278" s="0" t="str">
        <f aca="false">IF(AND(B2278="H0 verdadera",E2278="Rechazar H0"),"Error tipo I",IF(AND(B2278="Ha verdadera",E2278="No rechazar H0"),"Error tipo II","Decisión correcta"))</f>
        <v>Decisión correcta</v>
      </c>
    </row>
    <row r="2279" customFormat="false" ht="15" hidden="false" customHeight="false" outlineLevel="0" collapsed="false">
      <c r="A2279" s="0" t="n">
        <v>2258</v>
      </c>
      <c r="B2279" s="0" t="s">
        <v>85</v>
      </c>
      <c r="C2279" s="17" t="n">
        <v>-0.18664112474795</v>
      </c>
      <c r="D2279" s="17" t="n">
        <f aca="false">(C2279-$B$4)/($B$6/SQRT($B$7))</f>
        <v>-0.933205623739749</v>
      </c>
      <c r="E2279" s="0" t="str">
        <f aca="false">IF(OR(AND($B$9="superior",D2279&gt;$B$10),AND($B$9="inferior",D2279&lt;-$B$10)),"Rechazar H0","No rechazar H0")</f>
        <v>No rechazar H0</v>
      </c>
      <c r="F2279" s="0" t="str">
        <f aca="false">IF(AND(B2279="H0 verdadera",E2279="Rechazar H0"),"Error tipo I",IF(AND(B2279="Ha verdadera",E2279="No rechazar H0"),"Error tipo II","Decisión correcta"))</f>
        <v>Decisión correcta</v>
      </c>
    </row>
    <row r="2280" customFormat="false" ht="15" hidden="false" customHeight="false" outlineLevel="0" collapsed="false">
      <c r="A2280" s="0" t="n">
        <v>2259</v>
      </c>
      <c r="B2280" s="0" t="s">
        <v>85</v>
      </c>
      <c r="C2280" s="17" t="n">
        <v>0.226385783336426</v>
      </c>
      <c r="D2280" s="17" t="n">
        <f aca="false">(C2280-$B$4)/($B$6/SQRT($B$7))</f>
        <v>1.13192891668213</v>
      </c>
      <c r="E2280" s="0" t="str">
        <f aca="false">IF(OR(AND($B$9="superior",D2280&gt;$B$10),AND($B$9="inferior",D2280&lt;-$B$10)),"Rechazar H0","No rechazar H0")</f>
        <v>No rechazar H0</v>
      </c>
      <c r="F2280" s="0" t="str">
        <f aca="false">IF(AND(B2280="H0 verdadera",E2280="Rechazar H0"),"Error tipo I",IF(AND(B2280="Ha verdadera",E2280="No rechazar H0"),"Error tipo II","Decisión correcta"))</f>
        <v>Decisión correcta</v>
      </c>
    </row>
    <row r="2281" customFormat="false" ht="15" hidden="false" customHeight="false" outlineLevel="0" collapsed="false">
      <c r="A2281" s="0" t="n">
        <v>2260</v>
      </c>
      <c r="B2281" s="0" t="s">
        <v>85</v>
      </c>
      <c r="C2281" s="17" t="n">
        <v>-0.166282683764153</v>
      </c>
      <c r="D2281" s="17" t="n">
        <f aca="false">(C2281-$B$4)/($B$6/SQRT($B$7))</f>
        <v>-0.831413418820767</v>
      </c>
      <c r="E2281" s="0" t="str">
        <f aca="false">IF(OR(AND($B$9="superior",D2281&gt;$B$10),AND($B$9="inferior",D2281&lt;-$B$10)),"Rechazar H0","No rechazar H0")</f>
        <v>No rechazar H0</v>
      </c>
      <c r="F2281" s="0" t="str">
        <f aca="false">IF(AND(B2281="H0 verdadera",E2281="Rechazar H0"),"Error tipo I",IF(AND(B2281="Ha verdadera",E2281="No rechazar H0"),"Error tipo II","Decisión correcta"))</f>
        <v>Decisión correcta</v>
      </c>
    </row>
    <row r="2282" customFormat="false" ht="15" hidden="false" customHeight="false" outlineLevel="0" collapsed="false">
      <c r="A2282" s="0" t="n">
        <v>2261</v>
      </c>
      <c r="B2282" s="0" t="s">
        <v>85</v>
      </c>
      <c r="C2282" s="17" t="n">
        <v>0.216779319037782</v>
      </c>
      <c r="D2282" s="17" t="n">
        <f aca="false">(C2282-$B$4)/($B$6/SQRT($B$7))</f>
        <v>1.08389659518891</v>
      </c>
      <c r="E2282" s="0" t="str">
        <f aca="false">IF(OR(AND($B$9="superior",D2282&gt;$B$10),AND($B$9="inferior",D2282&lt;-$B$10)),"Rechazar H0","No rechazar H0")</f>
        <v>No rechazar H0</v>
      </c>
      <c r="F2282" s="0" t="str">
        <f aca="false">IF(AND(B2282="H0 verdadera",E2282="Rechazar H0"),"Error tipo I",IF(AND(B2282="Ha verdadera",E2282="No rechazar H0"),"Error tipo II","Decisión correcta"))</f>
        <v>Decisión correcta</v>
      </c>
    </row>
    <row r="2283" customFormat="false" ht="15" hidden="false" customHeight="false" outlineLevel="0" collapsed="false">
      <c r="A2283" s="0" t="n">
        <v>2262</v>
      </c>
      <c r="B2283" s="0" t="s">
        <v>85</v>
      </c>
      <c r="C2283" s="17" t="n">
        <v>0.272643414173375</v>
      </c>
      <c r="D2283" s="17" t="n">
        <f aca="false">(C2283-$B$4)/($B$6/SQRT($B$7))</f>
        <v>1.36321707086687</v>
      </c>
      <c r="E2283" s="0" t="str">
        <f aca="false">IF(OR(AND($B$9="superior",D2283&gt;$B$10),AND($B$9="inferior",D2283&lt;-$B$10)),"Rechazar H0","No rechazar H0")</f>
        <v>No rechazar H0</v>
      </c>
      <c r="F2283" s="0" t="str">
        <f aca="false">IF(AND(B2283="H0 verdadera",E2283="Rechazar H0"),"Error tipo I",IF(AND(B2283="Ha verdadera",E2283="No rechazar H0"),"Error tipo II","Decisión correcta"))</f>
        <v>Decisión correcta</v>
      </c>
    </row>
    <row r="2284" customFormat="false" ht="15" hidden="false" customHeight="false" outlineLevel="0" collapsed="false">
      <c r="A2284" s="0" t="n">
        <v>2263</v>
      </c>
      <c r="B2284" s="0" t="s">
        <v>86</v>
      </c>
      <c r="C2284" s="17" t="n">
        <v>-0.541909659365445</v>
      </c>
      <c r="D2284" s="17" t="n">
        <f aca="false">(C2284-$B$4)/($B$6/SQRT($B$7))</f>
        <v>-2.70954829682723</v>
      </c>
      <c r="E2284" s="0" t="str">
        <f aca="false">IF(OR(AND($B$9="superior",D2284&gt;$B$10),AND($B$9="inferior",D2284&lt;-$B$10)),"Rechazar H0","No rechazar H0")</f>
        <v>Rechazar H0</v>
      </c>
      <c r="F2284" s="0" t="str">
        <f aca="false">IF(AND(B2284="H0 verdadera",E2284="Rechazar H0"),"Error tipo I",IF(AND(B2284="Ha verdadera",E2284="No rechazar H0"),"Error tipo II","Decisión correcta"))</f>
        <v>Decisión correcta</v>
      </c>
    </row>
    <row r="2285" customFormat="false" ht="15" hidden="false" customHeight="false" outlineLevel="0" collapsed="false">
      <c r="A2285" s="0" t="n">
        <v>2264</v>
      </c>
      <c r="B2285" s="0" t="s">
        <v>86</v>
      </c>
      <c r="C2285" s="17" t="n">
        <v>-0.496998649963168</v>
      </c>
      <c r="D2285" s="17" t="n">
        <f aca="false">(C2285-$B$4)/($B$6/SQRT($B$7))</f>
        <v>-2.48499324981584</v>
      </c>
      <c r="E2285" s="0" t="str">
        <f aca="false">IF(OR(AND($B$9="superior",D2285&gt;$B$10),AND($B$9="inferior",D2285&lt;-$B$10)),"Rechazar H0","No rechazar H0")</f>
        <v>Rechazar H0</v>
      </c>
      <c r="F2285" s="0" t="str">
        <f aca="false">IF(AND(B2285="H0 verdadera",E2285="Rechazar H0"),"Error tipo I",IF(AND(B2285="Ha verdadera",E2285="No rechazar H0"),"Error tipo II","Decisión correcta"))</f>
        <v>Decisión correcta</v>
      </c>
    </row>
    <row r="2286" customFormat="false" ht="15" hidden="false" customHeight="false" outlineLevel="0" collapsed="false">
      <c r="A2286" s="0" t="n">
        <v>2265</v>
      </c>
      <c r="B2286" s="0" t="s">
        <v>85</v>
      </c>
      <c r="C2286" s="17" t="n">
        <v>0.121530431604841</v>
      </c>
      <c r="D2286" s="17" t="n">
        <f aca="false">(C2286-$B$4)/($B$6/SQRT($B$7))</f>
        <v>0.607652158024204</v>
      </c>
      <c r="E2286" s="0" t="str">
        <f aca="false">IF(OR(AND($B$9="superior",D2286&gt;$B$10),AND($B$9="inferior",D2286&lt;-$B$10)),"Rechazar H0","No rechazar H0")</f>
        <v>No rechazar H0</v>
      </c>
      <c r="F2286" s="0" t="str">
        <f aca="false">IF(AND(B2286="H0 verdadera",E2286="Rechazar H0"),"Error tipo I",IF(AND(B2286="Ha verdadera",E2286="No rechazar H0"),"Error tipo II","Decisión correcta"))</f>
        <v>Decisión correcta</v>
      </c>
    </row>
    <row r="2287" customFormat="false" ht="15" hidden="false" customHeight="false" outlineLevel="0" collapsed="false">
      <c r="A2287" s="0" t="n">
        <v>2266</v>
      </c>
      <c r="B2287" s="0" t="s">
        <v>85</v>
      </c>
      <c r="C2287" s="17" t="n">
        <v>0.0821975772201541</v>
      </c>
      <c r="D2287" s="17" t="n">
        <f aca="false">(C2287-$B$4)/($B$6/SQRT($B$7))</f>
        <v>0.41098788610077</v>
      </c>
      <c r="E2287" s="0" t="str">
        <f aca="false">IF(OR(AND($B$9="superior",D2287&gt;$B$10),AND($B$9="inferior",D2287&lt;-$B$10)),"Rechazar H0","No rechazar H0")</f>
        <v>No rechazar H0</v>
      </c>
      <c r="F2287" s="0" t="str">
        <f aca="false">IF(AND(B2287="H0 verdadera",E2287="Rechazar H0"),"Error tipo I",IF(AND(B2287="Ha verdadera",E2287="No rechazar H0"),"Error tipo II","Decisión correcta"))</f>
        <v>Decisión correcta</v>
      </c>
    </row>
    <row r="2288" customFormat="false" ht="15" hidden="false" customHeight="false" outlineLevel="0" collapsed="false">
      <c r="A2288" s="0" t="n">
        <v>2267</v>
      </c>
      <c r="B2288" s="0" t="s">
        <v>86</v>
      </c>
      <c r="C2288" s="17" t="n">
        <v>-0.577342205888841</v>
      </c>
      <c r="D2288" s="17" t="n">
        <f aca="false">(C2288-$B$4)/($B$6/SQRT($B$7))</f>
        <v>-2.88671102944421</v>
      </c>
      <c r="E2288" s="0" t="str">
        <f aca="false">IF(OR(AND($B$9="superior",D2288&gt;$B$10),AND($B$9="inferior",D2288&lt;-$B$10)),"Rechazar H0","No rechazar H0")</f>
        <v>Rechazar H0</v>
      </c>
      <c r="F2288" s="0" t="str">
        <f aca="false">IF(AND(B2288="H0 verdadera",E2288="Rechazar H0"),"Error tipo I",IF(AND(B2288="Ha verdadera",E2288="No rechazar H0"),"Error tipo II","Decisión correcta"))</f>
        <v>Decisión correcta</v>
      </c>
    </row>
    <row r="2289" customFormat="false" ht="15" hidden="false" customHeight="false" outlineLevel="0" collapsed="false">
      <c r="A2289" s="0" t="n">
        <v>2268</v>
      </c>
      <c r="B2289" s="0" t="s">
        <v>85</v>
      </c>
      <c r="C2289" s="17" t="n">
        <v>-0.35442391462755</v>
      </c>
      <c r="D2289" s="17" t="n">
        <f aca="false">(C2289-$B$4)/($B$6/SQRT($B$7))</f>
        <v>-1.77211957313775</v>
      </c>
      <c r="E2289" s="0" t="str">
        <f aca="false">IF(OR(AND($B$9="superior",D2289&gt;$B$10),AND($B$9="inferior",D2289&lt;-$B$10)),"Rechazar H0","No rechazar H0")</f>
        <v>Rechazar H0</v>
      </c>
      <c r="F2289" s="0" t="str">
        <f aca="false">IF(AND(B2289="H0 verdadera",E2289="Rechazar H0"),"Error tipo I",IF(AND(B2289="Ha verdadera",E2289="No rechazar H0"),"Error tipo II","Decisión correcta"))</f>
        <v>Error tipo I</v>
      </c>
    </row>
    <row r="2290" customFormat="false" ht="15" hidden="false" customHeight="false" outlineLevel="0" collapsed="false">
      <c r="A2290" s="0" t="n">
        <v>2269</v>
      </c>
      <c r="B2290" s="0" t="s">
        <v>86</v>
      </c>
      <c r="C2290" s="17" t="n">
        <v>-0.18610204371002</v>
      </c>
      <c r="D2290" s="17" t="n">
        <f aca="false">(C2290-$B$4)/($B$6/SQRT($B$7))</f>
        <v>-0.930510218550099</v>
      </c>
      <c r="E2290" s="0" t="str">
        <f aca="false">IF(OR(AND($B$9="superior",D2290&gt;$B$10),AND($B$9="inferior",D2290&lt;-$B$10)),"Rechazar H0","No rechazar H0")</f>
        <v>No rechazar H0</v>
      </c>
      <c r="F2290" s="0" t="str">
        <f aca="false">IF(AND(B2290="H0 verdadera",E2290="Rechazar H0"),"Error tipo I",IF(AND(B2290="Ha verdadera",E2290="No rechazar H0"),"Error tipo II","Decisión correcta"))</f>
        <v>Error tipo II</v>
      </c>
    </row>
    <row r="2291" customFormat="false" ht="15" hidden="false" customHeight="false" outlineLevel="0" collapsed="false">
      <c r="A2291" s="0" t="n">
        <v>2270</v>
      </c>
      <c r="B2291" s="0" t="s">
        <v>86</v>
      </c>
      <c r="C2291" s="17" t="n">
        <v>-0.397911561162625</v>
      </c>
      <c r="D2291" s="17" t="n">
        <f aca="false">(C2291-$B$4)/($B$6/SQRT($B$7))</f>
        <v>-1.98955780581312</v>
      </c>
      <c r="E2291" s="0" t="str">
        <f aca="false">IF(OR(AND($B$9="superior",D2291&gt;$B$10),AND($B$9="inferior",D2291&lt;-$B$10)),"Rechazar H0","No rechazar H0")</f>
        <v>Rechazar H0</v>
      </c>
      <c r="F2291" s="0" t="str">
        <f aca="false">IF(AND(B2291="H0 verdadera",E2291="Rechazar H0"),"Error tipo I",IF(AND(B2291="Ha verdadera",E2291="No rechazar H0"),"Error tipo II","Decisión correcta"))</f>
        <v>Decisión correcta</v>
      </c>
    </row>
    <row r="2292" customFormat="false" ht="15" hidden="false" customHeight="false" outlineLevel="0" collapsed="false">
      <c r="A2292" s="0" t="n">
        <v>2271</v>
      </c>
      <c r="B2292" s="0" t="s">
        <v>86</v>
      </c>
      <c r="C2292" s="17" t="n">
        <v>-0.68938727189968</v>
      </c>
      <c r="D2292" s="17" t="n">
        <f aca="false">(C2292-$B$4)/($B$6/SQRT($B$7))</f>
        <v>-3.4469363594984</v>
      </c>
      <c r="E2292" s="0" t="str">
        <f aca="false">IF(OR(AND($B$9="superior",D2292&gt;$B$10),AND($B$9="inferior",D2292&lt;-$B$10)),"Rechazar H0","No rechazar H0")</f>
        <v>Rechazar H0</v>
      </c>
      <c r="F2292" s="0" t="str">
        <f aca="false">IF(AND(B2292="H0 verdadera",E2292="Rechazar H0"),"Error tipo I",IF(AND(B2292="Ha verdadera",E2292="No rechazar H0"),"Error tipo II","Decisión correcta"))</f>
        <v>Decisión correcta</v>
      </c>
    </row>
    <row r="2293" customFormat="false" ht="15" hidden="false" customHeight="false" outlineLevel="0" collapsed="false">
      <c r="A2293" s="0" t="n">
        <v>2272</v>
      </c>
      <c r="B2293" s="0" t="s">
        <v>86</v>
      </c>
      <c r="C2293" s="17" t="n">
        <v>-0.36104117248856</v>
      </c>
      <c r="D2293" s="17" t="n">
        <f aca="false">(C2293-$B$4)/($B$6/SQRT($B$7))</f>
        <v>-1.8052058624428</v>
      </c>
      <c r="E2293" s="0" t="str">
        <f aca="false">IF(OR(AND($B$9="superior",D2293&gt;$B$10),AND($B$9="inferior",D2293&lt;-$B$10)),"Rechazar H0","No rechazar H0")</f>
        <v>Rechazar H0</v>
      </c>
      <c r="F2293" s="0" t="str">
        <f aca="false">IF(AND(B2293="H0 verdadera",E2293="Rechazar H0"),"Error tipo I",IF(AND(B2293="Ha verdadera",E2293="No rechazar H0"),"Error tipo II","Decisión correcta"))</f>
        <v>Decisión correcta</v>
      </c>
    </row>
    <row r="2294" customFormat="false" ht="15" hidden="false" customHeight="false" outlineLevel="0" collapsed="false">
      <c r="A2294" s="0" t="n">
        <v>2273</v>
      </c>
      <c r="B2294" s="0" t="s">
        <v>85</v>
      </c>
      <c r="C2294" s="17" t="n">
        <v>-0.00193188079626757</v>
      </c>
      <c r="D2294" s="17" t="n">
        <f aca="false">(C2294-$B$4)/($B$6/SQRT($B$7))</f>
        <v>-0.00965940398133785</v>
      </c>
      <c r="E2294" s="0" t="str">
        <f aca="false">IF(OR(AND($B$9="superior",D2294&gt;$B$10),AND($B$9="inferior",D2294&lt;-$B$10)),"Rechazar H0","No rechazar H0")</f>
        <v>No rechazar H0</v>
      </c>
      <c r="F2294" s="0" t="str">
        <f aca="false">IF(AND(B2294="H0 verdadera",E2294="Rechazar H0"),"Error tipo I",IF(AND(B2294="Ha verdadera",E2294="No rechazar H0"),"Error tipo II","Decisión correcta"))</f>
        <v>Decisión correcta</v>
      </c>
    </row>
    <row r="2295" customFormat="false" ht="15" hidden="false" customHeight="false" outlineLevel="0" collapsed="false">
      <c r="A2295" s="0" t="n">
        <v>2274</v>
      </c>
      <c r="B2295" s="0" t="s">
        <v>85</v>
      </c>
      <c r="C2295" s="17" t="n">
        <v>-0.187319274487035</v>
      </c>
      <c r="D2295" s="17" t="n">
        <f aca="false">(C2295-$B$4)/($B$6/SQRT($B$7))</f>
        <v>-0.936596372435173</v>
      </c>
      <c r="E2295" s="0" t="str">
        <f aca="false">IF(OR(AND($B$9="superior",D2295&gt;$B$10),AND($B$9="inferior",D2295&lt;-$B$10)),"Rechazar H0","No rechazar H0")</f>
        <v>No rechazar H0</v>
      </c>
      <c r="F2295" s="0" t="str">
        <f aca="false">IF(AND(B2295="H0 verdadera",E2295="Rechazar H0"),"Error tipo I",IF(AND(B2295="Ha verdadera",E2295="No rechazar H0"),"Error tipo II","Decisión correcta"))</f>
        <v>Decisión correcta</v>
      </c>
    </row>
    <row r="2296" customFormat="false" ht="15" hidden="false" customHeight="false" outlineLevel="0" collapsed="false">
      <c r="A2296" s="0" t="n">
        <v>2275</v>
      </c>
      <c r="B2296" s="0" t="s">
        <v>86</v>
      </c>
      <c r="C2296" s="17" t="n">
        <v>-0.471837367570346</v>
      </c>
      <c r="D2296" s="17" t="n">
        <f aca="false">(C2296-$B$4)/($B$6/SQRT($B$7))</f>
        <v>-2.35918683785173</v>
      </c>
      <c r="E2296" s="0" t="str">
        <f aca="false">IF(OR(AND($B$9="superior",D2296&gt;$B$10),AND($B$9="inferior",D2296&lt;-$B$10)),"Rechazar H0","No rechazar H0")</f>
        <v>Rechazar H0</v>
      </c>
      <c r="F2296" s="0" t="str">
        <f aca="false">IF(AND(B2296="H0 verdadera",E2296="Rechazar H0"),"Error tipo I",IF(AND(B2296="Ha verdadera",E2296="No rechazar H0"),"Error tipo II","Decisión correcta"))</f>
        <v>Decisión correcta</v>
      </c>
    </row>
    <row r="2297" customFormat="false" ht="15" hidden="false" customHeight="false" outlineLevel="0" collapsed="false">
      <c r="A2297" s="0" t="n">
        <v>2276</v>
      </c>
      <c r="B2297" s="0" t="s">
        <v>86</v>
      </c>
      <c r="C2297" s="17" t="n">
        <v>-0.0754477797890823</v>
      </c>
      <c r="D2297" s="17" t="n">
        <f aca="false">(C2297-$B$4)/($B$6/SQRT($B$7))</f>
        <v>-0.377238898945411</v>
      </c>
      <c r="E2297" s="0" t="str">
        <f aca="false">IF(OR(AND($B$9="superior",D2297&gt;$B$10),AND($B$9="inferior",D2297&lt;-$B$10)),"Rechazar H0","No rechazar H0")</f>
        <v>No rechazar H0</v>
      </c>
      <c r="F2297" s="0" t="str">
        <f aca="false">IF(AND(B2297="H0 verdadera",E2297="Rechazar H0"),"Error tipo I",IF(AND(B2297="Ha verdadera",E2297="No rechazar H0"),"Error tipo II","Decisión correcta"))</f>
        <v>Error tipo II</v>
      </c>
    </row>
    <row r="2298" customFormat="false" ht="15" hidden="false" customHeight="false" outlineLevel="0" collapsed="false">
      <c r="A2298" s="0" t="n">
        <v>2277</v>
      </c>
      <c r="B2298" s="0" t="s">
        <v>85</v>
      </c>
      <c r="C2298" s="17" t="n">
        <v>0.208051106892507</v>
      </c>
      <c r="D2298" s="17" t="n">
        <f aca="false">(C2298-$B$4)/($B$6/SQRT($B$7))</f>
        <v>1.04025553446254</v>
      </c>
      <c r="E2298" s="0" t="str">
        <f aca="false">IF(OR(AND($B$9="superior",D2298&gt;$B$10),AND($B$9="inferior",D2298&lt;-$B$10)),"Rechazar H0","No rechazar H0")</f>
        <v>No rechazar H0</v>
      </c>
      <c r="F2298" s="0" t="str">
        <f aca="false">IF(AND(B2298="H0 verdadera",E2298="Rechazar H0"),"Error tipo I",IF(AND(B2298="Ha verdadera",E2298="No rechazar H0"),"Error tipo II","Decisión correcta"))</f>
        <v>Decisión correcta</v>
      </c>
    </row>
    <row r="2299" customFormat="false" ht="15" hidden="false" customHeight="false" outlineLevel="0" collapsed="false">
      <c r="A2299" s="0" t="n">
        <v>2278</v>
      </c>
      <c r="B2299" s="0" t="s">
        <v>86</v>
      </c>
      <c r="C2299" s="17" t="n">
        <v>0.0518286526172315</v>
      </c>
      <c r="D2299" s="17" t="n">
        <f aca="false">(C2299-$B$4)/($B$6/SQRT($B$7))</f>
        <v>0.259143263086157</v>
      </c>
      <c r="E2299" s="0" t="str">
        <f aca="false">IF(OR(AND($B$9="superior",D2299&gt;$B$10),AND($B$9="inferior",D2299&lt;-$B$10)),"Rechazar H0","No rechazar H0")</f>
        <v>No rechazar H0</v>
      </c>
      <c r="F2299" s="0" t="str">
        <f aca="false">IF(AND(B2299="H0 verdadera",E2299="Rechazar H0"),"Error tipo I",IF(AND(B2299="Ha verdadera",E2299="No rechazar H0"),"Error tipo II","Decisión correcta"))</f>
        <v>Error tipo II</v>
      </c>
    </row>
    <row r="2300" customFormat="false" ht="15" hidden="false" customHeight="false" outlineLevel="0" collapsed="false">
      <c r="A2300" s="0" t="n">
        <v>2279</v>
      </c>
      <c r="B2300" s="0" t="s">
        <v>86</v>
      </c>
      <c r="C2300" s="17" t="n">
        <v>-0.195636776758105</v>
      </c>
      <c r="D2300" s="17" t="n">
        <f aca="false">(C2300-$B$4)/($B$6/SQRT($B$7))</f>
        <v>-0.978183883790526</v>
      </c>
      <c r="E2300" s="0" t="str">
        <f aca="false">IF(OR(AND($B$9="superior",D2300&gt;$B$10),AND($B$9="inferior",D2300&lt;-$B$10)),"Rechazar H0","No rechazar H0")</f>
        <v>No rechazar H0</v>
      </c>
      <c r="F2300" s="0" t="str">
        <f aca="false">IF(AND(B2300="H0 verdadera",E2300="Rechazar H0"),"Error tipo I",IF(AND(B2300="Ha verdadera",E2300="No rechazar H0"),"Error tipo II","Decisión correcta"))</f>
        <v>Error tipo II</v>
      </c>
    </row>
    <row r="2301" customFormat="false" ht="15" hidden="false" customHeight="false" outlineLevel="0" collapsed="false">
      <c r="A2301" s="0" t="n">
        <v>2280</v>
      </c>
      <c r="B2301" s="0" t="s">
        <v>86</v>
      </c>
      <c r="C2301" s="17" t="n">
        <v>-0.570684633794781</v>
      </c>
      <c r="D2301" s="17" t="n">
        <f aca="false">(C2301-$B$4)/($B$6/SQRT($B$7))</f>
        <v>-2.85342316897391</v>
      </c>
      <c r="E2301" s="0" t="str">
        <f aca="false">IF(OR(AND($B$9="superior",D2301&gt;$B$10),AND($B$9="inferior",D2301&lt;-$B$10)),"Rechazar H0","No rechazar H0")</f>
        <v>Rechazar H0</v>
      </c>
      <c r="F2301" s="0" t="str">
        <f aca="false">IF(AND(B2301="H0 verdadera",E2301="Rechazar H0"),"Error tipo I",IF(AND(B2301="Ha verdadera",E2301="No rechazar H0"),"Error tipo II","Decisión correcta"))</f>
        <v>Decisión correcta</v>
      </c>
    </row>
    <row r="2302" customFormat="false" ht="15" hidden="false" customHeight="false" outlineLevel="0" collapsed="false">
      <c r="A2302" s="0" t="n">
        <v>2281</v>
      </c>
      <c r="B2302" s="0" t="s">
        <v>85</v>
      </c>
      <c r="C2302" s="17" t="n">
        <v>-0.155124364868705</v>
      </c>
      <c r="D2302" s="17" t="n">
        <f aca="false">(C2302-$B$4)/($B$6/SQRT($B$7))</f>
        <v>-0.775621824343526</v>
      </c>
      <c r="E2302" s="0" t="str">
        <f aca="false">IF(OR(AND($B$9="superior",D2302&gt;$B$10),AND($B$9="inferior",D2302&lt;-$B$10)),"Rechazar H0","No rechazar H0")</f>
        <v>No rechazar H0</v>
      </c>
      <c r="F2302" s="0" t="str">
        <f aca="false">IF(AND(B2302="H0 verdadera",E2302="Rechazar H0"),"Error tipo I",IF(AND(B2302="Ha verdadera",E2302="No rechazar H0"),"Error tipo II","Decisión correcta"))</f>
        <v>Decisión correcta</v>
      </c>
    </row>
    <row r="2303" customFormat="false" ht="15" hidden="false" customHeight="false" outlineLevel="0" collapsed="false">
      <c r="A2303" s="0" t="n">
        <v>2282</v>
      </c>
      <c r="B2303" s="0" t="s">
        <v>85</v>
      </c>
      <c r="C2303" s="17" t="n">
        <v>0.230745415490268</v>
      </c>
      <c r="D2303" s="17" t="n">
        <f aca="false">(C2303-$B$4)/($B$6/SQRT($B$7))</f>
        <v>1.15372707745134</v>
      </c>
      <c r="E2303" s="0" t="str">
        <f aca="false">IF(OR(AND($B$9="superior",D2303&gt;$B$10),AND($B$9="inferior",D2303&lt;-$B$10)),"Rechazar H0","No rechazar H0")</f>
        <v>No rechazar H0</v>
      </c>
      <c r="F2303" s="0" t="str">
        <f aca="false">IF(AND(B2303="H0 verdadera",E2303="Rechazar H0"),"Error tipo I",IF(AND(B2303="Ha verdadera",E2303="No rechazar H0"),"Error tipo II","Decisión correcta"))</f>
        <v>Decisión correcta</v>
      </c>
    </row>
    <row r="2304" customFormat="false" ht="15" hidden="false" customHeight="false" outlineLevel="0" collapsed="false">
      <c r="A2304" s="0" t="n">
        <v>2283</v>
      </c>
      <c r="B2304" s="0" t="s">
        <v>86</v>
      </c>
      <c r="C2304" s="17" t="n">
        <v>-0.424670988526287</v>
      </c>
      <c r="D2304" s="17" t="n">
        <f aca="false">(C2304-$B$4)/($B$6/SQRT($B$7))</f>
        <v>-2.12335494263143</v>
      </c>
      <c r="E2304" s="0" t="str">
        <f aca="false">IF(OR(AND($B$9="superior",D2304&gt;$B$10),AND($B$9="inferior",D2304&lt;-$B$10)),"Rechazar H0","No rechazar H0")</f>
        <v>Rechazar H0</v>
      </c>
      <c r="F2304" s="0" t="str">
        <f aca="false">IF(AND(B2304="H0 verdadera",E2304="Rechazar H0"),"Error tipo I",IF(AND(B2304="Ha verdadera",E2304="No rechazar H0"),"Error tipo II","Decisión correcta"))</f>
        <v>Decisión correcta</v>
      </c>
    </row>
    <row r="2305" customFormat="false" ht="15" hidden="false" customHeight="false" outlineLevel="0" collapsed="false">
      <c r="A2305" s="0" t="n">
        <v>2284</v>
      </c>
      <c r="B2305" s="0" t="s">
        <v>85</v>
      </c>
      <c r="C2305" s="17" t="n">
        <v>0.0348474885823089</v>
      </c>
      <c r="D2305" s="17" t="n">
        <f aca="false">(C2305-$B$4)/($B$6/SQRT($B$7))</f>
        <v>0.174237442911544</v>
      </c>
      <c r="E2305" s="0" t="str">
        <f aca="false">IF(OR(AND($B$9="superior",D2305&gt;$B$10),AND($B$9="inferior",D2305&lt;-$B$10)),"Rechazar H0","No rechazar H0")</f>
        <v>No rechazar H0</v>
      </c>
      <c r="F2305" s="0" t="str">
        <f aca="false">IF(AND(B2305="H0 verdadera",E2305="Rechazar H0"),"Error tipo I",IF(AND(B2305="Ha verdadera",E2305="No rechazar H0"),"Error tipo II","Decisión correcta"))</f>
        <v>Decisión correcta</v>
      </c>
    </row>
    <row r="2306" customFormat="false" ht="15" hidden="false" customHeight="false" outlineLevel="0" collapsed="false">
      <c r="A2306" s="0" t="n">
        <v>2285</v>
      </c>
      <c r="B2306" s="0" t="s">
        <v>86</v>
      </c>
      <c r="C2306" s="17" t="n">
        <v>-0.78646041533512</v>
      </c>
      <c r="D2306" s="17" t="n">
        <f aca="false">(C2306-$B$4)/($B$6/SQRT($B$7))</f>
        <v>-3.9323020766756</v>
      </c>
      <c r="E2306" s="0" t="str">
        <f aca="false">IF(OR(AND($B$9="superior",D2306&gt;$B$10),AND($B$9="inferior",D2306&lt;-$B$10)),"Rechazar H0","No rechazar H0")</f>
        <v>Rechazar H0</v>
      </c>
      <c r="F2306" s="0" t="str">
        <f aca="false">IF(AND(B2306="H0 verdadera",E2306="Rechazar H0"),"Error tipo I",IF(AND(B2306="Ha verdadera",E2306="No rechazar H0"),"Error tipo II","Decisión correcta"))</f>
        <v>Decisión correcta</v>
      </c>
    </row>
    <row r="2307" customFormat="false" ht="15" hidden="false" customHeight="false" outlineLevel="0" collapsed="false">
      <c r="A2307" s="0" t="n">
        <v>2286</v>
      </c>
      <c r="B2307" s="0" t="s">
        <v>86</v>
      </c>
      <c r="C2307" s="17" t="n">
        <v>-0.46275193731511</v>
      </c>
      <c r="D2307" s="17" t="n">
        <f aca="false">(C2307-$B$4)/($B$6/SQRT($B$7))</f>
        <v>-2.31375968657555</v>
      </c>
      <c r="E2307" s="0" t="str">
        <f aca="false">IF(OR(AND($B$9="superior",D2307&gt;$B$10),AND($B$9="inferior",D2307&lt;-$B$10)),"Rechazar H0","No rechazar H0")</f>
        <v>Rechazar H0</v>
      </c>
      <c r="F2307" s="0" t="str">
        <f aca="false">IF(AND(B2307="H0 verdadera",E2307="Rechazar H0"),"Error tipo I",IF(AND(B2307="Ha verdadera",E2307="No rechazar H0"),"Error tipo II","Decisión correcta"))</f>
        <v>Decisión correcta</v>
      </c>
    </row>
    <row r="2308" customFormat="false" ht="15" hidden="false" customHeight="false" outlineLevel="0" collapsed="false">
      <c r="A2308" s="0" t="n">
        <v>2287</v>
      </c>
      <c r="B2308" s="0" t="s">
        <v>86</v>
      </c>
      <c r="C2308" s="17" t="n">
        <v>-0.319211757561967</v>
      </c>
      <c r="D2308" s="17" t="n">
        <f aca="false">(C2308-$B$4)/($B$6/SQRT($B$7))</f>
        <v>-1.59605878780983</v>
      </c>
      <c r="E2308" s="0" t="str">
        <f aca="false">IF(OR(AND($B$9="superior",D2308&gt;$B$10),AND($B$9="inferior",D2308&lt;-$B$10)),"Rechazar H0","No rechazar H0")</f>
        <v>No rechazar H0</v>
      </c>
      <c r="F2308" s="0" t="str">
        <f aca="false">IF(AND(B2308="H0 verdadera",E2308="Rechazar H0"),"Error tipo I",IF(AND(B2308="Ha verdadera",E2308="No rechazar H0"),"Error tipo II","Decisión correcta"))</f>
        <v>Error tipo II</v>
      </c>
    </row>
    <row r="2309" customFormat="false" ht="15" hidden="false" customHeight="false" outlineLevel="0" collapsed="false">
      <c r="A2309" s="0" t="n">
        <v>2288</v>
      </c>
      <c r="B2309" s="0" t="s">
        <v>85</v>
      </c>
      <c r="C2309" s="17" t="n">
        <v>-0.262328311352008</v>
      </c>
      <c r="D2309" s="17" t="n">
        <f aca="false">(C2309-$B$4)/($B$6/SQRT($B$7))</f>
        <v>-1.31164155676004</v>
      </c>
      <c r="E2309" s="0" t="str">
        <f aca="false">IF(OR(AND($B$9="superior",D2309&gt;$B$10),AND($B$9="inferior",D2309&lt;-$B$10)),"Rechazar H0","No rechazar H0")</f>
        <v>No rechazar H0</v>
      </c>
      <c r="F2309" s="0" t="str">
        <f aca="false">IF(AND(B2309="H0 verdadera",E2309="Rechazar H0"),"Error tipo I",IF(AND(B2309="Ha verdadera",E2309="No rechazar H0"),"Error tipo II","Decisión correcta"))</f>
        <v>Decisión correcta</v>
      </c>
    </row>
    <row r="2310" customFormat="false" ht="15" hidden="false" customHeight="false" outlineLevel="0" collapsed="false">
      <c r="A2310" s="0" t="n">
        <v>2289</v>
      </c>
      <c r="B2310" s="0" t="s">
        <v>86</v>
      </c>
      <c r="C2310" s="17" t="n">
        <v>-0.145062572804731</v>
      </c>
      <c r="D2310" s="17" t="n">
        <f aca="false">(C2310-$B$4)/($B$6/SQRT($B$7))</f>
        <v>-0.725312864023657</v>
      </c>
      <c r="E2310" s="0" t="str">
        <f aca="false">IF(OR(AND($B$9="superior",D2310&gt;$B$10),AND($B$9="inferior",D2310&lt;-$B$10)),"Rechazar H0","No rechazar H0")</f>
        <v>No rechazar H0</v>
      </c>
      <c r="F2310" s="0" t="str">
        <f aca="false">IF(AND(B2310="H0 verdadera",E2310="Rechazar H0"),"Error tipo I",IF(AND(B2310="Ha verdadera",E2310="No rechazar H0"),"Error tipo II","Decisión correcta"))</f>
        <v>Error tipo II</v>
      </c>
    </row>
    <row r="2311" customFormat="false" ht="15" hidden="false" customHeight="false" outlineLevel="0" collapsed="false">
      <c r="A2311" s="0" t="n">
        <v>2290</v>
      </c>
      <c r="B2311" s="0" t="s">
        <v>86</v>
      </c>
      <c r="C2311" s="17" t="n">
        <v>-0.548055907606687</v>
      </c>
      <c r="D2311" s="17" t="n">
        <f aca="false">(C2311-$B$4)/($B$6/SQRT($B$7))</f>
        <v>-2.74027953803344</v>
      </c>
      <c r="E2311" s="0" t="str">
        <f aca="false">IF(OR(AND($B$9="superior",D2311&gt;$B$10),AND($B$9="inferior",D2311&lt;-$B$10)),"Rechazar H0","No rechazar H0")</f>
        <v>Rechazar H0</v>
      </c>
      <c r="F2311" s="0" t="str">
        <f aca="false">IF(AND(B2311="H0 verdadera",E2311="Rechazar H0"),"Error tipo I",IF(AND(B2311="Ha verdadera",E2311="No rechazar H0"),"Error tipo II","Decisión correcta"))</f>
        <v>Decisión correcta</v>
      </c>
    </row>
    <row r="2312" customFormat="false" ht="15" hidden="false" customHeight="false" outlineLevel="0" collapsed="false">
      <c r="A2312" s="0" t="n">
        <v>2291</v>
      </c>
      <c r="B2312" s="0" t="s">
        <v>85</v>
      </c>
      <c r="C2312" s="17" t="n">
        <v>-0.107416103469791</v>
      </c>
      <c r="D2312" s="17" t="n">
        <f aca="false">(C2312-$B$4)/($B$6/SQRT($B$7))</f>
        <v>-0.537080517348956</v>
      </c>
      <c r="E2312" s="0" t="str">
        <f aca="false">IF(OR(AND($B$9="superior",D2312&gt;$B$10),AND($B$9="inferior",D2312&lt;-$B$10)),"Rechazar H0","No rechazar H0")</f>
        <v>No rechazar H0</v>
      </c>
      <c r="F2312" s="0" t="str">
        <f aca="false">IF(AND(B2312="H0 verdadera",E2312="Rechazar H0"),"Error tipo I",IF(AND(B2312="Ha verdadera",E2312="No rechazar H0"),"Error tipo II","Decisión correcta"))</f>
        <v>Decisión correcta</v>
      </c>
    </row>
    <row r="2313" customFormat="false" ht="15" hidden="false" customHeight="false" outlineLevel="0" collapsed="false">
      <c r="A2313" s="0" t="n">
        <v>2292</v>
      </c>
      <c r="B2313" s="0" t="s">
        <v>85</v>
      </c>
      <c r="C2313" s="17" t="n">
        <v>0.0534051182520381</v>
      </c>
      <c r="D2313" s="17" t="n">
        <f aca="false">(C2313-$B$4)/($B$6/SQRT($B$7))</f>
        <v>0.267025591260191</v>
      </c>
      <c r="E2313" s="0" t="str">
        <f aca="false">IF(OR(AND($B$9="superior",D2313&gt;$B$10),AND($B$9="inferior",D2313&lt;-$B$10)),"Rechazar H0","No rechazar H0")</f>
        <v>No rechazar H0</v>
      </c>
      <c r="F2313" s="0" t="str">
        <f aca="false">IF(AND(B2313="H0 verdadera",E2313="Rechazar H0"),"Error tipo I",IF(AND(B2313="Ha verdadera",E2313="No rechazar H0"),"Error tipo II","Decisión correcta"))</f>
        <v>Decisión correcta</v>
      </c>
    </row>
    <row r="2314" customFormat="false" ht="15" hidden="false" customHeight="false" outlineLevel="0" collapsed="false">
      <c r="A2314" s="0" t="n">
        <v>2293</v>
      </c>
      <c r="B2314" s="0" t="s">
        <v>86</v>
      </c>
      <c r="C2314" s="17" t="n">
        <v>-0.462519071574958</v>
      </c>
      <c r="D2314" s="17" t="n">
        <f aca="false">(C2314-$B$4)/($B$6/SQRT($B$7))</f>
        <v>-2.31259535787479</v>
      </c>
      <c r="E2314" s="0" t="str">
        <f aca="false">IF(OR(AND($B$9="superior",D2314&gt;$B$10),AND($B$9="inferior",D2314&lt;-$B$10)),"Rechazar H0","No rechazar H0")</f>
        <v>Rechazar H0</v>
      </c>
      <c r="F2314" s="0" t="str">
        <f aca="false">IF(AND(B2314="H0 verdadera",E2314="Rechazar H0"),"Error tipo I",IF(AND(B2314="Ha verdadera",E2314="No rechazar H0"),"Error tipo II","Decisión correcta"))</f>
        <v>Decisión correcta</v>
      </c>
    </row>
    <row r="2315" customFormat="false" ht="15" hidden="false" customHeight="false" outlineLevel="0" collapsed="false">
      <c r="A2315" s="0" t="n">
        <v>2294</v>
      </c>
      <c r="B2315" s="0" t="s">
        <v>85</v>
      </c>
      <c r="C2315" s="17" t="n">
        <v>-0.4107283097482</v>
      </c>
      <c r="D2315" s="17" t="n">
        <f aca="false">(C2315-$B$4)/($B$6/SQRT($B$7))</f>
        <v>-2.053641548741</v>
      </c>
      <c r="E2315" s="0" t="str">
        <f aca="false">IF(OR(AND($B$9="superior",D2315&gt;$B$10),AND($B$9="inferior",D2315&lt;-$B$10)),"Rechazar H0","No rechazar H0")</f>
        <v>Rechazar H0</v>
      </c>
      <c r="F2315" s="0" t="str">
        <f aca="false">IF(AND(B2315="H0 verdadera",E2315="Rechazar H0"),"Error tipo I",IF(AND(B2315="Ha verdadera",E2315="No rechazar H0"),"Error tipo II","Decisión correcta"))</f>
        <v>Error tipo I</v>
      </c>
    </row>
    <row r="2316" customFormat="false" ht="15" hidden="false" customHeight="false" outlineLevel="0" collapsed="false">
      <c r="A2316" s="0" t="n">
        <v>2295</v>
      </c>
      <c r="B2316" s="0" t="s">
        <v>85</v>
      </c>
      <c r="C2316" s="17" t="n">
        <v>0.169565570610332</v>
      </c>
      <c r="D2316" s="17" t="n">
        <f aca="false">(C2316-$B$4)/($B$6/SQRT($B$7))</f>
        <v>0.847827853051659</v>
      </c>
      <c r="E2316" s="0" t="str">
        <f aca="false">IF(OR(AND($B$9="superior",D2316&gt;$B$10),AND($B$9="inferior",D2316&lt;-$B$10)),"Rechazar H0","No rechazar H0")</f>
        <v>No rechazar H0</v>
      </c>
      <c r="F2316" s="0" t="str">
        <f aca="false">IF(AND(B2316="H0 verdadera",E2316="Rechazar H0"),"Error tipo I",IF(AND(B2316="Ha verdadera",E2316="No rechazar H0"),"Error tipo II","Decisión correcta"))</f>
        <v>Decisión correcta</v>
      </c>
    </row>
    <row r="2317" customFormat="false" ht="15" hidden="false" customHeight="false" outlineLevel="0" collapsed="false">
      <c r="A2317" s="0" t="n">
        <v>2296</v>
      </c>
      <c r="B2317" s="0" t="s">
        <v>85</v>
      </c>
      <c r="C2317" s="17" t="n">
        <v>-0.0244218490318532</v>
      </c>
      <c r="D2317" s="17" t="n">
        <f aca="false">(C2317-$B$4)/($B$6/SQRT($B$7))</f>
        <v>-0.122109245159266</v>
      </c>
      <c r="E2317" s="0" t="str">
        <f aca="false">IF(OR(AND($B$9="superior",D2317&gt;$B$10),AND($B$9="inferior",D2317&lt;-$B$10)),"Rechazar H0","No rechazar H0")</f>
        <v>No rechazar H0</v>
      </c>
      <c r="F2317" s="0" t="str">
        <f aca="false">IF(AND(B2317="H0 verdadera",E2317="Rechazar H0"),"Error tipo I",IF(AND(B2317="Ha verdadera",E2317="No rechazar H0"),"Error tipo II","Decisión correcta"))</f>
        <v>Decisión correcta</v>
      </c>
    </row>
    <row r="2318" customFormat="false" ht="15" hidden="false" customHeight="false" outlineLevel="0" collapsed="false">
      <c r="A2318" s="0" t="n">
        <v>2297</v>
      </c>
      <c r="B2318" s="0" t="s">
        <v>86</v>
      </c>
      <c r="C2318" s="17" t="n">
        <v>-0.460718170564392</v>
      </c>
      <c r="D2318" s="17" t="n">
        <f aca="false">(C2318-$B$4)/($B$6/SQRT($B$7))</f>
        <v>-2.30359085282196</v>
      </c>
      <c r="E2318" s="0" t="str">
        <f aca="false">IF(OR(AND($B$9="superior",D2318&gt;$B$10),AND($B$9="inferior",D2318&lt;-$B$10)),"Rechazar H0","No rechazar H0")</f>
        <v>Rechazar H0</v>
      </c>
      <c r="F2318" s="0" t="str">
        <f aca="false">IF(AND(B2318="H0 verdadera",E2318="Rechazar H0"),"Error tipo I",IF(AND(B2318="Ha verdadera",E2318="No rechazar H0"),"Error tipo II","Decisión correcta"))</f>
        <v>Decisión correcta</v>
      </c>
    </row>
    <row r="2319" customFormat="false" ht="15" hidden="false" customHeight="false" outlineLevel="0" collapsed="false">
      <c r="A2319" s="0" t="n">
        <v>2298</v>
      </c>
      <c r="B2319" s="0" t="s">
        <v>86</v>
      </c>
      <c r="C2319" s="17" t="n">
        <v>-0.635478857480691</v>
      </c>
      <c r="D2319" s="17" t="n">
        <f aca="false">(C2319-$B$4)/($B$6/SQRT($B$7))</f>
        <v>-3.17739428740346</v>
      </c>
      <c r="E2319" s="0" t="str">
        <f aca="false">IF(OR(AND($B$9="superior",D2319&gt;$B$10),AND($B$9="inferior",D2319&lt;-$B$10)),"Rechazar H0","No rechazar H0")</f>
        <v>Rechazar H0</v>
      </c>
      <c r="F2319" s="0" t="str">
        <f aca="false">IF(AND(B2319="H0 verdadera",E2319="Rechazar H0"),"Error tipo I",IF(AND(B2319="Ha verdadera",E2319="No rechazar H0"),"Error tipo II","Decisión correcta"))</f>
        <v>Decisión correcta</v>
      </c>
    </row>
    <row r="2320" customFormat="false" ht="15" hidden="false" customHeight="false" outlineLevel="0" collapsed="false">
      <c r="A2320" s="0" t="n">
        <v>2299</v>
      </c>
      <c r="B2320" s="0" t="s">
        <v>86</v>
      </c>
      <c r="C2320" s="17" t="n">
        <v>-0.216465697582936</v>
      </c>
      <c r="D2320" s="17" t="n">
        <f aca="false">(C2320-$B$4)/($B$6/SQRT($B$7))</f>
        <v>-1.08232848791468</v>
      </c>
      <c r="E2320" s="0" t="str">
        <f aca="false">IF(OR(AND($B$9="superior",D2320&gt;$B$10),AND($B$9="inferior",D2320&lt;-$B$10)),"Rechazar H0","No rechazar H0")</f>
        <v>No rechazar H0</v>
      </c>
      <c r="F2320" s="0" t="str">
        <f aca="false">IF(AND(B2320="H0 verdadera",E2320="Rechazar H0"),"Error tipo I",IF(AND(B2320="Ha verdadera",E2320="No rechazar H0"),"Error tipo II","Decisión correcta"))</f>
        <v>Error tipo II</v>
      </c>
    </row>
    <row r="2321" customFormat="false" ht="15" hidden="false" customHeight="false" outlineLevel="0" collapsed="false">
      <c r="A2321" s="0" t="n">
        <v>2300</v>
      </c>
      <c r="B2321" s="0" t="s">
        <v>85</v>
      </c>
      <c r="C2321" s="17" t="n">
        <v>-0.387093679291648</v>
      </c>
      <c r="D2321" s="17" t="n">
        <f aca="false">(C2321-$B$4)/($B$6/SQRT($B$7))</f>
        <v>-1.93546839645824</v>
      </c>
      <c r="E2321" s="0" t="str">
        <f aca="false">IF(OR(AND($B$9="superior",D2321&gt;$B$10),AND($B$9="inferior",D2321&lt;-$B$10)),"Rechazar H0","No rechazar H0")</f>
        <v>Rechazar H0</v>
      </c>
      <c r="F2321" s="0" t="str">
        <f aca="false">IF(AND(B2321="H0 verdadera",E2321="Rechazar H0"),"Error tipo I",IF(AND(B2321="Ha verdadera",E2321="No rechazar H0"),"Error tipo II","Decisión correcta"))</f>
        <v>Error tipo I</v>
      </c>
    </row>
    <row r="2322" customFormat="false" ht="15" hidden="false" customHeight="false" outlineLevel="0" collapsed="false">
      <c r="A2322" s="0" t="n">
        <v>2301</v>
      </c>
      <c r="B2322" s="0" t="s">
        <v>85</v>
      </c>
      <c r="C2322" s="17" t="n">
        <v>0.358961014976152</v>
      </c>
      <c r="D2322" s="17" t="n">
        <f aca="false">(C2322-$B$4)/($B$6/SQRT($B$7))</f>
        <v>1.79480507488076</v>
      </c>
      <c r="E2322" s="0" t="str">
        <f aca="false">IF(OR(AND($B$9="superior",D2322&gt;$B$10),AND($B$9="inferior",D2322&lt;-$B$10)),"Rechazar H0","No rechazar H0")</f>
        <v>No rechazar H0</v>
      </c>
      <c r="F2322" s="0" t="str">
        <f aca="false">IF(AND(B2322="H0 verdadera",E2322="Rechazar H0"),"Error tipo I",IF(AND(B2322="Ha verdadera",E2322="No rechazar H0"),"Error tipo II","Decisión correcta"))</f>
        <v>Decisión correcta</v>
      </c>
    </row>
    <row r="2323" customFormat="false" ht="15" hidden="false" customHeight="false" outlineLevel="0" collapsed="false">
      <c r="A2323" s="0" t="n">
        <v>2302</v>
      </c>
      <c r="B2323" s="0" t="s">
        <v>86</v>
      </c>
      <c r="C2323" s="17" t="n">
        <v>-0.437503379534795</v>
      </c>
      <c r="D2323" s="17" t="n">
        <f aca="false">(C2323-$B$4)/($B$6/SQRT($B$7))</f>
        <v>-2.18751689767397</v>
      </c>
      <c r="E2323" s="0" t="str">
        <f aca="false">IF(OR(AND($B$9="superior",D2323&gt;$B$10),AND($B$9="inferior",D2323&lt;-$B$10)),"Rechazar H0","No rechazar H0")</f>
        <v>Rechazar H0</v>
      </c>
      <c r="F2323" s="0" t="str">
        <f aca="false">IF(AND(B2323="H0 verdadera",E2323="Rechazar H0"),"Error tipo I",IF(AND(B2323="Ha verdadera",E2323="No rechazar H0"),"Error tipo II","Decisión correcta"))</f>
        <v>Decisión correcta</v>
      </c>
    </row>
    <row r="2324" customFormat="false" ht="15" hidden="false" customHeight="false" outlineLevel="0" collapsed="false">
      <c r="A2324" s="0" t="n">
        <v>2303</v>
      </c>
      <c r="B2324" s="0" t="s">
        <v>86</v>
      </c>
      <c r="C2324" s="17" t="n">
        <v>-0.496629908450776</v>
      </c>
      <c r="D2324" s="17" t="n">
        <f aca="false">(C2324-$B$4)/($B$6/SQRT($B$7))</f>
        <v>-2.48314954225388</v>
      </c>
      <c r="E2324" s="0" t="str">
        <f aca="false">IF(OR(AND($B$9="superior",D2324&gt;$B$10),AND($B$9="inferior",D2324&lt;-$B$10)),"Rechazar H0","No rechazar H0")</f>
        <v>Rechazar H0</v>
      </c>
      <c r="F2324" s="0" t="str">
        <f aca="false">IF(AND(B2324="H0 verdadera",E2324="Rechazar H0"),"Error tipo I",IF(AND(B2324="Ha verdadera",E2324="No rechazar H0"),"Error tipo II","Decisión correcta"))</f>
        <v>Decisión correcta</v>
      </c>
    </row>
    <row r="2325" customFormat="false" ht="15" hidden="false" customHeight="false" outlineLevel="0" collapsed="false">
      <c r="A2325" s="0" t="n">
        <v>2304</v>
      </c>
      <c r="B2325" s="0" t="s">
        <v>86</v>
      </c>
      <c r="C2325" s="17" t="n">
        <v>-0.205017588174294</v>
      </c>
      <c r="D2325" s="17" t="n">
        <f aca="false">(C2325-$B$4)/($B$6/SQRT($B$7))</f>
        <v>-1.02508794087147</v>
      </c>
      <c r="E2325" s="0" t="str">
        <f aca="false">IF(OR(AND($B$9="superior",D2325&gt;$B$10),AND($B$9="inferior",D2325&lt;-$B$10)),"Rechazar H0","No rechazar H0")</f>
        <v>No rechazar H0</v>
      </c>
      <c r="F2325" s="0" t="str">
        <f aca="false">IF(AND(B2325="H0 verdadera",E2325="Rechazar H0"),"Error tipo I",IF(AND(B2325="Ha verdadera",E2325="No rechazar H0"),"Error tipo II","Decisión correcta"))</f>
        <v>Error tipo II</v>
      </c>
    </row>
    <row r="2326" customFormat="false" ht="15" hidden="false" customHeight="false" outlineLevel="0" collapsed="false">
      <c r="A2326" s="0" t="n">
        <v>2305</v>
      </c>
      <c r="B2326" s="0" t="s">
        <v>85</v>
      </c>
      <c r="C2326" s="17" t="n">
        <v>0.0436896333186875</v>
      </c>
      <c r="D2326" s="17" t="n">
        <f aca="false">(C2326-$B$4)/($B$6/SQRT($B$7))</f>
        <v>0.218448166593438</v>
      </c>
      <c r="E2326" s="0" t="str">
        <f aca="false">IF(OR(AND($B$9="superior",D2326&gt;$B$10),AND($B$9="inferior",D2326&lt;-$B$10)),"Rechazar H0","No rechazar H0")</f>
        <v>No rechazar H0</v>
      </c>
      <c r="F2326" s="0" t="str">
        <f aca="false">IF(AND(B2326="H0 verdadera",E2326="Rechazar H0"),"Error tipo I",IF(AND(B2326="Ha verdadera",E2326="No rechazar H0"),"Error tipo II","Decisión correcta"))</f>
        <v>Decisión correcta</v>
      </c>
    </row>
    <row r="2327" customFormat="false" ht="15" hidden="false" customHeight="false" outlineLevel="0" collapsed="false">
      <c r="A2327" s="0" t="n">
        <v>2306</v>
      </c>
      <c r="B2327" s="0" t="s">
        <v>85</v>
      </c>
      <c r="C2327" s="17" t="n">
        <v>-0.06965966601363</v>
      </c>
      <c r="D2327" s="17" t="n">
        <f aca="false">(C2327-$B$4)/($B$6/SQRT($B$7))</f>
        <v>-0.34829833006815</v>
      </c>
      <c r="E2327" s="0" t="str">
        <f aca="false">IF(OR(AND($B$9="superior",D2327&gt;$B$10),AND($B$9="inferior",D2327&lt;-$B$10)),"Rechazar H0","No rechazar H0")</f>
        <v>No rechazar H0</v>
      </c>
      <c r="F2327" s="0" t="str">
        <f aca="false">IF(AND(B2327="H0 verdadera",E2327="Rechazar H0"),"Error tipo I",IF(AND(B2327="Ha verdadera",E2327="No rechazar H0"),"Error tipo II","Decisión correcta"))</f>
        <v>Decisión correcta</v>
      </c>
    </row>
    <row r="2328" customFormat="false" ht="15" hidden="false" customHeight="false" outlineLevel="0" collapsed="false">
      <c r="A2328" s="0" t="n">
        <v>2307</v>
      </c>
      <c r="B2328" s="0" t="s">
        <v>86</v>
      </c>
      <c r="C2328" s="17" t="n">
        <v>-0.540135886695315</v>
      </c>
      <c r="D2328" s="17" t="n">
        <f aca="false">(C2328-$B$4)/($B$6/SQRT($B$7))</f>
        <v>-2.70067943347658</v>
      </c>
      <c r="E2328" s="0" t="str">
        <f aca="false">IF(OR(AND($B$9="superior",D2328&gt;$B$10),AND($B$9="inferior",D2328&lt;-$B$10)),"Rechazar H0","No rechazar H0")</f>
        <v>Rechazar H0</v>
      </c>
      <c r="F2328" s="0" t="str">
        <f aca="false">IF(AND(B2328="H0 verdadera",E2328="Rechazar H0"),"Error tipo I",IF(AND(B2328="Ha verdadera",E2328="No rechazar H0"),"Error tipo II","Decisión correcta"))</f>
        <v>Decisión correcta</v>
      </c>
    </row>
    <row r="2329" customFormat="false" ht="15" hidden="false" customHeight="false" outlineLevel="0" collapsed="false">
      <c r="A2329" s="0" t="n">
        <v>2308</v>
      </c>
      <c r="B2329" s="0" t="s">
        <v>85</v>
      </c>
      <c r="C2329" s="17" t="n">
        <v>0.191068957619347</v>
      </c>
      <c r="D2329" s="17" t="n">
        <f aca="false">(C2329-$B$4)/($B$6/SQRT($B$7))</f>
        <v>0.955344788096733</v>
      </c>
      <c r="E2329" s="0" t="str">
        <f aca="false">IF(OR(AND($B$9="superior",D2329&gt;$B$10),AND($B$9="inferior",D2329&lt;-$B$10)),"Rechazar H0","No rechazar H0")</f>
        <v>No rechazar H0</v>
      </c>
      <c r="F2329" s="0" t="str">
        <f aca="false">IF(AND(B2329="H0 verdadera",E2329="Rechazar H0"),"Error tipo I",IF(AND(B2329="Ha verdadera",E2329="No rechazar H0"),"Error tipo II","Decisión correcta"))</f>
        <v>Decisión correcta</v>
      </c>
    </row>
    <row r="2330" customFormat="false" ht="15" hidden="false" customHeight="false" outlineLevel="0" collapsed="false">
      <c r="A2330" s="0" t="n">
        <v>2309</v>
      </c>
      <c r="B2330" s="0" t="s">
        <v>85</v>
      </c>
      <c r="C2330" s="17" t="n">
        <v>0.143643943044604</v>
      </c>
      <c r="D2330" s="17" t="n">
        <f aca="false">(C2330-$B$4)/($B$6/SQRT($B$7))</f>
        <v>0.71821971522302</v>
      </c>
      <c r="E2330" s="0" t="str">
        <f aca="false">IF(OR(AND($B$9="superior",D2330&gt;$B$10),AND($B$9="inferior",D2330&lt;-$B$10)),"Rechazar H0","No rechazar H0")</f>
        <v>No rechazar H0</v>
      </c>
      <c r="F2330" s="0" t="str">
        <f aca="false">IF(AND(B2330="H0 verdadera",E2330="Rechazar H0"),"Error tipo I",IF(AND(B2330="Ha verdadera",E2330="No rechazar H0"),"Error tipo II","Decisión correcta"))</f>
        <v>Decisión correcta</v>
      </c>
    </row>
    <row r="2331" customFormat="false" ht="15" hidden="false" customHeight="false" outlineLevel="0" collapsed="false">
      <c r="A2331" s="0" t="n">
        <v>2310</v>
      </c>
      <c r="B2331" s="0" t="s">
        <v>85</v>
      </c>
      <c r="C2331" s="17" t="n">
        <v>-0.0113671137613418</v>
      </c>
      <c r="D2331" s="17" t="n">
        <f aca="false">(C2331-$B$4)/($B$6/SQRT($B$7))</f>
        <v>-0.0568355688067089</v>
      </c>
      <c r="E2331" s="0" t="str">
        <f aca="false">IF(OR(AND($B$9="superior",D2331&gt;$B$10),AND($B$9="inferior",D2331&lt;-$B$10)),"Rechazar H0","No rechazar H0")</f>
        <v>No rechazar H0</v>
      </c>
      <c r="F2331" s="0" t="str">
        <f aca="false">IF(AND(B2331="H0 verdadera",E2331="Rechazar H0"),"Error tipo I",IF(AND(B2331="Ha verdadera",E2331="No rechazar H0"),"Error tipo II","Decisión correcta"))</f>
        <v>Decisión correcta</v>
      </c>
    </row>
    <row r="2332" customFormat="false" ht="15" hidden="false" customHeight="false" outlineLevel="0" collapsed="false">
      <c r="A2332" s="0" t="n">
        <v>2311</v>
      </c>
      <c r="B2332" s="0" t="s">
        <v>86</v>
      </c>
      <c r="C2332" s="17" t="n">
        <v>-0.494787899211082</v>
      </c>
      <c r="D2332" s="17" t="n">
        <f aca="false">(C2332-$B$4)/($B$6/SQRT($B$7))</f>
        <v>-2.47393949605541</v>
      </c>
      <c r="E2332" s="0" t="str">
        <f aca="false">IF(OR(AND($B$9="superior",D2332&gt;$B$10),AND($B$9="inferior",D2332&lt;-$B$10)),"Rechazar H0","No rechazar H0")</f>
        <v>Rechazar H0</v>
      </c>
      <c r="F2332" s="0" t="str">
        <f aca="false">IF(AND(B2332="H0 verdadera",E2332="Rechazar H0"),"Error tipo I",IF(AND(B2332="Ha verdadera",E2332="No rechazar H0"),"Error tipo II","Decisión correcta"))</f>
        <v>Decisión correcta</v>
      </c>
    </row>
    <row r="2333" customFormat="false" ht="15" hidden="false" customHeight="false" outlineLevel="0" collapsed="false">
      <c r="A2333" s="0" t="n">
        <v>2312</v>
      </c>
      <c r="B2333" s="0" t="s">
        <v>86</v>
      </c>
      <c r="C2333" s="17" t="n">
        <v>-0.641641139407105</v>
      </c>
      <c r="D2333" s="17" t="n">
        <f aca="false">(C2333-$B$4)/($B$6/SQRT($B$7))</f>
        <v>-3.20820569703553</v>
      </c>
      <c r="E2333" s="0" t="str">
        <f aca="false">IF(OR(AND($B$9="superior",D2333&gt;$B$10),AND($B$9="inferior",D2333&lt;-$B$10)),"Rechazar H0","No rechazar H0")</f>
        <v>Rechazar H0</v>
      </c>
      <c r="F2333" s="0" t="str">
        <f aca="false">IF(AND(B2333="H0 verdadera",E2333="Rechazar H0"),"Error tipo I",IF(AND(B2333="Ha verdadera",E2333="No rechazar H0"),"Error tipo II","Decisión correcta"))</f>
        <v>Decisión correcta</v>
      </c>
    </row>
    <row r="2334" customFormat="false" ht="15" hidden="false" customHeight="false" outlineLevel="0" collapsed="false">
      <c r="A2334" s="0" t="n">
        <v>2313</v>
      </c>
      <c r="B2334" s="0" t="s">
        <v>86</v>
      </c>
      <c r="C2334" s="17" t="n">
        <v>-0.792055866891477</v>
      </c>
      <c r="D2334" s="17" t="n">
        <f aca="false">(C2334-$B$4)/($B$6/SQRT($B$7))</f>
        <v>-3.96027933445739</v>
      </c>
      <c r="E2334" s="0" t="str">
        <f aca="false">IF(OR(AND($B$9="superior",D2334&gt;$B$10),AND($B$9="inferior",D2334&lt;-$B$10)),"Rechazar H0","No rechazar H0")</f>
        <v>Rechazar H0</v>
      </c>
      <c r="F2334" s="0" t="str">
        <f aca="false">IF(AND(B2334="H0 verdadera",E2334="Rechazar H0"),"Error tipo I",IF(AND(B2334="Ha verdadera",E2334="No rechazar H0"),"Error tipo II","Decisión correcta"))</f>
        <v>Decisión correcta</v>
      </c>
    </row>
    <row r="2335" customFormat="false" ht="15" hidden="false" customHeight="false" outlineLevel="0" collapsed="false">
      <c r="A2335" s="0" t="n">
        <v>2314</v>
      </c>
      <c r="B2335" s="0" t="s">
        <v>85</v>
      </c>
      <c r="C2335" s="17" t="n">
        <v>-0.0118928956899516</v>
      </c>
      <c r="D2335" s="17" t="n">
        <f aca="false">(C2335-$B$4)/($B$6/SQRT($B$7))</f>
        <v>-0.059464478449758</v>
      </c>
      <c r="E2335" s="0" t="str">
        <f aca="false">IF(OR(AND($B$9="superior",D2335&gt;$B$10),AND($B$9="inferior",D2335&lt;-$B$10)),"Rechazar H0","No rechazar H0")</f>
        <v>No rechazar H0</v>
      </c>
      <c r="F2335" s="0" t="str">
        <f aca="false">IF(AND(B2335="H0 verdadera",E2335="Rechazar H0"),"Error tipo I",IF(AND(B2335="Ha verdadera",E2335="No rechazar H0"),"Error tipo II","Decisión correcta"))</f>
        <v>Decisión correcta</v>
      </c>
    </row>
    <row r="2336" customFormat="false" ht="15" hidden="false" customHeight="false" outlineLevel="0" collapsed="false">
      <c r="A2336" s="0" t="n">
        <v>2315</v>
      </c>
      <c r="B2336" s="0" t="s">
        <v>86</v>
      </c>
      <c r="C2336" s="17" t="n">
        <v>-0.321235310920549</v>
      </c>
      <c r="D2336" s="17" t="n">
        <f aca="false">(C2336-$B$4)/($B$6/SQRT($B$7))</f>
        <v>-1.60617655460274</v>
      </c>
      <c r="E2336" s="0" t="str">
        <f aca="false">IF(OR(AND($B$9="superior",D2336&gt;$B$10),AND($B$9="inferior",D2336&lt;-$B$10)),"Rechazar H0","No rechazar H0")</f>
        <v>No rechazar H0</v>
      </c>
      <c r="F2336" s="0" t="str">
        <f aca="false">IF(AND(B2336="H0 verdadera",E2336="Rechazar H0"),"Error tipo I",IF(AND(B2336="Ha verdadera",E2336="No rechazar H0"),"Error tipo II","Decisión correcta"))</f>
        <v>Error tipo II</v>
      </c>
    </row>
    <row r="2337" customFormat="false" ht="15" hidden="false" customHeight="false" outlineLevel="0" collapsed="false">
      <c r="A2337" s="0" t="n">
        <v>2316</v>
      </c>
      <c r="B2337" s="0" t="s">
        <v>86</v>
      </c>
      <c r="C2337" s="17" t="n">
        <v>-0.232856024006484</v>
      </c>
      <c r="D2337" s="17" t="n">
        <f aca="false">(C2337-$B$4)/($B$6/SQRT($B$7))</f>
        <v>-1.16428012003242</v>
      </c>
      <c r="E2337" s="0" t="str">
        <f aca="false">IF(OR(AND($B$9="superior",D2337&gt;$B$10),AND($B$9="inferior",D2337&lt;-$B$10)),"Rechazar H0","No rechazar H0")</f>
        <v>No rechazar H0</v>
      </c>
      <c r="F2337" s="0" t="str">
        <f aca="false">IF(AND(B2337="H0 verdadera",E2337="Rechazar H0"),"Error tipo I",IF(AND(B2337="Ha verdadera",E2337="No rechazar H0"),"Error tipo II","Decisión correcta"))</f>
        <v>Error tipo II</v>
      </c>
    </row>
    <row r="2338" customFormat="false" ht="15" hidden="false" customHeight="false" outlineLevel="0" collapsed="false">
      <c r="A2338" s="0" t="n">
        <v>2317</v>
      </c>
      <c r="B2338" s="0" t="s">
        <v>86</v>
      </c>
      <c r="C2338" s="17" t="n">
        <v>-0.934101308976023</v>
      </c>
      <c r="D2338" s="17" t="n">
        <f aca="false">(C2338-$B$4)/($B$6/SQRT($B$7))</f>
        <v>-4.67050654488011</v>
      </c>
      <c r="E2338" s="0" t="str">
        <f aca="false">IF(OR(AND($B$9="superior",D2338&gt;$B$10),AND($B$9="inferior",D2338&lt;-$B$10)),"Rechazar H0","No rechazar H0")</f>
        <v>Rechazar H0</v>
      </c>
      <c r="F2338" s="0" t="str">
        <f aca="false">IF(AND(B2338="H0 verdadera",E2338="Rechazar H0"),"Error tipo I",IF(AND(B2338="Ha verdadera",E2338="No rechazar H0"),"Error tipo II","Decisión correcta"))</f>
        <v>Decisión correcta</v>
      </c>
    </row>
    <row r="2339" customFormat="false" ht="15" hidden="false" customHeight="false" outlineLevel="0" collapsed="false">
      <c r="A2339" s="0" t="n">
        <v>2318</v>
      </c>
      <c r="B2339" s="0" t="s">
        <v>86</v>
      </c>
      <c r="C2339" s="17" t="n">
        <v>-0.276514780750923</v>
      </c>
      <c r="D2339" s="17" t="n">
        <f aca="false">(C2339-$B$4)/($B$6/SQRT($B$7))</f>
        <v>-1.38257390375461</v>
      </c>
      <c r="E2339" s="0" t="str">
        <f aca="false">IF(OR(AND($B$9="superior",D2339&gt;$B$10),AND($B$9="inferior",D2339&lt;-$B$10)),"Rechazar H0","No rechazar H0")</f>
        <v>No rechazar H0</v>
      </c>
      <c r="F2339" s="0" t="str">
        <f aca="false">IF(AND(B2339="H0 verdadera",E2339="Rechazar H0"),"Error tipo I",IF(AND(B2339="Ha verdadera",E2339="No rechazar H0"),"Error tipo II","Decisión correcta"))</f>
        <v>Error tipo II</v>
      </c>
    </row>
    <row r="2340" customFormat="false" ht="15" hidden="false" customHeight="false" outlineLevel="0" collapsed="false">
      <c r="A2340" s="0" t="n">
        <v>2319</v>
      </c>
      <c r="B2340" s="0" t="s">
        <v>85</v>
      </c>
      <c r="C2340" s="17" t="n">
        <v>0.172678264139753</v>
      </c>
      <c r="D2340" s="17" t="n">
        <f aca="false">(C2340-$B$4)/($B$6/SQRT($B$7))</f>
        <v>0.863391320698767</v>
      </c>
      <c r="E2340" s="0" t="str">
        <f aca="false">IF(OR(AND($B$9="superior",D2340&gt;$B$10),AND($B$9="inferior",D2340&lt;-$B$10)),"Rechazar H0","No rechazar H0")</f>
        <v>No rechazar H0</v>
      </c>
      <c r="F2340" s="0" t="str">
        <f aca="false">IF(AND(B2340="H0 verdadera",E2340="Rechazar H0"),"Error tipo I",IF(AND(B2340="Ha verdadera",E2340="No rechazar H0"),"Error tipo II","Decisión correcta"))</f>
        <v>Decisión correcta</v>
      </c>
    </row>
    <row r="2341" customFormat="false" ht="15" hidden="false" customHeight="false" outlineLevel="0" collapsed="false">
      <c r="A2341" s="0" t="n">
        <v>2320</v>
      </c>
      <c r="B2341" s="0" t="s">
        <v>86</v>
      </c>
      <c r="C2341" s="17" t="n">
        <v>-0.305470995295246</v>
      </c>
      <c r="D2341" s="17" t="n">
        <f aca="false">(C2341-$B$4)/($B$6/SQRT($B$7))</f>
        <v>-1.52735497647623</v>
      </c>
      <c r="E2341" s="0" t="str">
        <f aca="false">IF(OR(AND($B$9="superior",D2341&gt;$B$10),AND($B$9="inferior",D2341&lt;-$B$10)),"Rechazar H0","No rechazar H0")</f>
        <v>No rechazar H0</v>
      </c>
      <c r="F2341" s="0" t="str">
        <f aca="false">IF(AND(B2341="H0 verdadera",E2341="Rechazar H0"),"Error tipo I",IF(AND(B2341="Ha verdadera",E2341="No rechazar H0"),"Error tipo II","Decisión correcta"))</f>
        <v>Error tipo II</v>
      </c>
    </row>
    <row r="2342" customFormat="false" ht="15" hidden="false" customHeight="false" outlineLevel="0" collapsed="false">
      <c r="A2342" s="0" t="n">
        <v>2321</v>
      </c>
      <c r="B2342" s="0" t="s">
        <v>86</v>
      </c>
      <c r="C2342" s="17" t="n">
        <v>-0.18075816878176</v>
      </c>
      <c r="D2342" s="17" t="n">
        <f aca="false">(C2342-$B$4)/($B$6/SQRT($B$7))</f>
        <v>-0.903790843908798</v>
      </c>
      <c r="E2342" s="0" t="str">
        <f aca="false">IF(OR(AND($B$9="superior",D2342&gt;$B$10),AND($B$9="inferior",D2342&lt;-$B$10)),"Rechazar H0","No rechazar H0")</f>
        <v>No rechazar H0</v>
      </c>
      <c r="F2342" s="0" t="str">
        <f aca="false">IF(AND(B2342="H0 verdadera",E2342="Rechazar H0"),"Error tipo I",IF(AND(B2342="Ha verdadera",E2342="No rechazar H0"),"Error tipo II","Decisión correcta"))</f>
        <v>Error tipo II</v>
      </c>
    </row>
    <row r="2343" customFormat="false" ht="15" hidden="false" customHeight="false" outlineLevel="0" collapsed="false">
      <c r="A2343" s="0" t="n">
        <v>2322</v>
      </c>
      <c r="B2343" s="0" t="s">
        <v>85</v>
      </c>
      <c r="C2343" s="17" t="n">
        <v>0.0952239461914231</v>
      </c>
      <c r="D2343" s="17" t="n">
        <f aca="false">(C2343-$B$4)/($B$6/SQRT($B$7))</f>
        <v>0.476119730957116</v>
      </c>
      <c r="E2343" s="0" t="str">
        <f aca="false">IF(OR(AND($B$9="superior",D2343&gt;$B$10),AND($B$9="inferior",D2343&lt;-$B$10)),"Rechazar H0","No rechazar H0")</f>
        <v>No rechazar H0</v>
      </c>
      <c r="F2343" s="0" t="str">
        <f aca="false">IF(AND(B2343="H0 verdadera",E2343="Rechazar H0"),"Error tipo I",IF(AND(B2343="Ha verdadera",E2343="No rechazar H0"),"Error tipo II","Decisión correcta"))</f>
        <v>Decisión correcta</v>
      </c>
    </row>
    <row r="2344" customFormat="false" ht="15" hidden="false" customHeight="false" outlineLevel="0" collapsed="false">
      <c r="A2344" s="0" t="n">
        <v>2323</v>
      </c>
      <c r="B2344" s="0" t="s">
        <v>85</v>
      </c>
      <c r="C2344" s="17" t="n">
        <v>0.118089789442107</v>
      </c>
      <c r="D2344" s="17" t="n">
        <f aca="false">(C2344-$B$4)/($B$6/SQRT($B$7))</f>
        <v>0.590448947210536</v>
      </c>
      <c r="E2344" s="0" t="str">
        <f aca="false">IF(OR(AND($B$9="superior",D2344&gt;$B$10),AND($B$9="inferior",D2344&lt;-$B$10)),"Rechazar H0","No rechazar H0")</f>
        <v>No rechazar H0</v>
      </c>
      <c r="F2344" s="0" t="str">
        <f aca="false">IF(AND(B2344="H0 verdadera",E2344="Rechazar H0"),"Error tipo I",IF(AND(B2344="Ha verdadera",E2344="No rechazar H0"),"Error tipo II","Decisión correcta"))</f>
        <v>Decisión correcta</v>
      </c>
    </row>
    <row r="2345" customFormat="false" ht="15" hidden="false" customHeight="false" outlineLevel="0" collapsed="false">
      <c r="A2345" s="0" t="n">
        <v>2324</v>
      </c>
      <c r="B2345" s="0" t="s">
        <v>85</v>
      </c>
      <c r="C2345" s="17" t="n">
        <v>0.176052473351364</v>
      </c>
      <c r="D2345" s="17" t="n">
        <f aca="false">(C2345-$B$4)/($B$6/SQRT($B$7))</f>
        <v>0.880262366756822</v>
      </c>
      <c r="E2345" s="0" t="str">
        <f aca="false">IF(OR(AND($B$9="superior",D2345&gt;$B$10),AND($B$9="inferior",D2345&lt;-$B$10)),"Rechazar H0","No rechazar H0")</f>
        <v>No rechazar H0</v>
      </c>
      <c r="F2345" s="0" t="str">
        <f aca="false">IF(AND(B2345="H0 verdadera",E2345="Rechazar H0"),"Error tipo I",IF(AND(B2345="Ha verdadera",E2345="No rechazar H0"),"Error tipo II","Decisión correcta"))</f>
        <v>Decisión correcta</v>
      </c>
    </row>
    <row r="2346" customFormat="false" ht="15" hidden="false" customHeight="false" outlineLevel="0" collapsed="false">
      <c r="A2346" s="0" t="n">
        <v>2325</v>
      </c>
      <c r="B2346" s="0" t="s">
        <v>85</v>
      </c>
      <c r="C2346" s="17" t="n">
        <v>0.357265740015894</v>
      </c>
      <c r="D2346" s="17" t="n">
        <f aca="false">(C2346-$B$4)/($B$6/SQRT($B$7))</f>
        <v>1.78632870007947</v>
      </c>
      <c r="E2346" s="0" t="str">
        <f aca="false">IF(OR(AND($B$9="superior",D2346&gt;$B$10),AND($B$9="inferior",D2346&lt;-$B$10)),"Rechazar H0","No rechazar H0")</f>
        <v>No rechazar H0</v>
      </c>
      <c r="F2346" s="0" t="str">
        <f aca="false">IF(AND(B2346="H0 verdadera",E2346="Rechazar H0"),"Error tipo I",IF(AND(B2346="Ha verdadera",E2346="No rechazar H0"),"Error tipo II","Decisión correcta"))</f>
        <v>Decisión correcta</v>
      </c>
    </row>
    <row r="2347" customFormat="false" ht="15" hidden="false" customHeight="false" outlineLevel="0" collapsed="false">
      <c r="A2347" s="0" t="n">
        <v>2326</v>
      </c>
      <c r="B2347" s="0" t="s">
        <v>86</v>
      </c>
      <c r="C2347" s="17" t="n">
        <v>-0.0435638597590839</v>
      </c>
      <c r="D2347" s="17" t="n">
        <f aca="false">(C2347-$B$4)/($B$6/SQRT($B$7))</f>
        <v>-0.21781929879542</v>
      </c>
      <c r="E2347" s="0" t="str">
        <f aca="false">IF(OR(AND($B$9="superior",D2347&gt;$B$10),AND($B$9="inferior",D2347&lt;-$B$10)),"Rechazar H0","No rechazar H0")</f>
        <v>No rechazar H0</v>
      </c>
      <c r="F2347" s="0" t="str">
        <f aca="false">IF(AND(B2347="H0 verdadera",E2347="Rechazar H0"),"Error tipo I",IF(AND(B2347="Ha verdadera",E2347="No rechazar H0"),"Error tipo II","Decisión correcta"))</f>
        <v>Error tipo II</v>
      </c>
    </row>
    <row r="2348" customFormat="false" ht="15" hidden="false" customHeight="false" outlineLevel="0" collapsed="false">
      <c r="A2348" s="0" t="n">
        <v>2327</v>
      </c>
      <c r="B2348" s="0" t="s">
        <v>85</v>
      </c>
      <c r="C2348" s="17" t="n">
        <v>0.0189039603190645</v>
      </c>
      <c r="D2348" s="17" t="n">
        <f aca="false">(C2348-$B$4)/($B$6/SQRT($B$7))</f>
        <v>0.0945198015953224</v>
      </c>
      <c r="E2348" s="0" t="str">
        <f aca="false">IF(OR(AND($B$9="superior",D2348&gt;$B$10),AND($B$9="inferior",D2348&lt;-$B$10)),"Rechazar H0","No rechazar H0")</f>
        <v>No rechazar H0</v>
      </c>
      <c r="F2348" s="0" t="str">
        <f aca="false">IF(AND(B2348="H0 verdadera",E2348="Rechazar H0"),"Error tipo I",IF(AND(B2348="Ha verdadera",E2348="No rechazar H0"),"Error tipo II","Decisión correcta"))</f>
        <v>Decisión correcta</v>
      </c>
    </row>
    <row r="2349" customFormat="false" ht="15" hidden="false" customHeight="false" outlineLevel="0" collapsed="false">
      <c r="A2349" s="0" t="n">
        <v>2328</v>
      </c>
      <c r="B2349" s="0" t="s">
        <v>86</v>
      </c>
      <c r="C2349" s="17" t="n">
        <v>-0.519199841728502</v>
      </c>
      <c r="D2349" s="17" t="n">
        <f aca="false">(C2349-$B$4)/($B$6/SQRT($B$7))</f>
        <v>-2.59599920864251</v>
      </c>
      <c r="E2349" s="0" t="str">
        <f aca="false">IF(OR(AND($B$9="superior",D2349&gt;$B$10),AND($B$9="inferior",D2349&lt;-$B$10)),"Rechazar H0","No rechazar H0")</f>
        <v>Rechazar H0</v>
      </c>
      <c r="F2349" s="0" t="str">
        <f aca="false">IF(AND(B2349="H0 verdadera",E2349="Rechazar H0"),"Error tipo I",IF(AND(B2349="Ha verdadera",E2349="No rechazar H0"),"Error tipo II","Decisión correcta"))</f>
        <v>Decisión correcta</v>
      </c>
    </row>
    <row r="2350" customFormat="false" ht="15" hidden="false" customHeight="false" outlineLevel="0" collapsed="false">
      <c r="A2350" s="0" t="n">
        <v>2329</v>
      </c>
      <c r="B2350" s="0" t="s">
        <v>85</v>
      </c>
      <c r="C2350" s="17" t="n">
        <v>-0.239021456361254</v>
      </c>
      <c r="D2350" s="17" t="n">
        <f aca="false">(C2350-$B$4)/($B$6/SQRT($B$7))</f>
        <v>-1.19510728180627</v>
      </c>
      <c r="E2350" s="0" t="str">
        <f aca="false">IF(OR(AND($B$9="superior",D2350&gt;$B$10),AND($B$9="inferior",D2350&lt;-$B$10)),"Rechazar H0","No rechazar H0")</f>
        <v>No rechazar H0</v>
      </c>
      <c r="F2350" s="0" t="str">
        <f aca="false">IF(AND(B2350="H0 verdadera",E2350="Rechazar H0"),"Error tipo I",IF(AND(B2350="Ha verdadera",E2350="No rechazar H0"),"Error tipo II","Decisión correcta"))</f>
        <v>Decisión correcta</v>
      </c>
    </row>
    <row r="2351" customFormat="false" ht="15" hidden="false" customHeight="false" outlineLevel="0" collapsed="false">
      <c r="A2351" s="0" t="n">
        <v>2330</v>
      </c>
      <c r="B2351" s="0" t="s">
        <v>85</v>
      </c>
      <c r="C2351" s="17" t="n">
        <v>-0.047564362634076</v>
      </c>
      <c r="D2351" s="17" t="n">
        <f aca="false">(C2351-$B$4)/($B$6/SQRT($B$7))</f>
        <v>-0.23782181317038</v>
      </c>
      <c r="E2351" s="0" t="str">
        <f aca="false">IF(OR(AND($B$9="superior",D2351&gt;$B$10),AND($B$9="inferior",D2351&lt;-$B$10)),"Rechazar H0","No rechazar H0")</f>
        <v>No rechazar H0</v>
      </c>
      <c r="F2351" s="0" t="str">
        <f aca="false">IF(AND(B2351="H0 verdadera",E2351="Rechazar H0"),"Error tipo I",IF(AND(B2351="Ha verdadera",E2351="No rechazar H0"),"Error tipo II","Decisión correcta"))</f>
        <v>Decisión correcta</v>
      </c>
    </row>
    <row r="2352" customFormat="false" ht="15" hidden="false" customHeight="false" outlineLevel="0" collapsed="false">
      <c r="A2352" s="0" t="n">
        <v>2331</v>
      </c>
      <c r="B2352" s="0" t="s">
        <v>86</v>
      </c>
      <c r="C2352" s="17" t="n">
        <v>-0.436042029175919</v>
      </c>
      <c r="D2352" s="17" t="n">
        <f aca="false">(C2352-$B$4)/($B$6/SQRT($B$7))</f>
        <v>-2.1802101458796</v>
      </c>
      <c r="E2352" s="0" t="str">
        <f aca="false">IF(OR(AND($B$9="superior",D2352&gt;$B$10),AND($B$9="inferior",D2352&lt;-$B$10)),"Rechazar H0","No rechazar H0")</f>
        <v>Rechazar H0</v>
      </c>
      <c r="F2352" s="0" t="str">
        <f aca="false">IF(AND(B2352="H0 verdadera",E2352="Rechazar H0"),"Error tipo I",IF(AND(B2352="Ha verdadera",E2352="No rechazar H0"),"Error tipo II","Decisión correcta"))</f>
        <v>Decisión correcta</v>
      </c>
    </row>
    <row r="2353" customFormat="false" ht="15" hidden="false" customHeight="false" outlineLevel="0" collapsed="false">
      <c r="A2353" s="0" t="n">
        <v>2332</v>
      </c>
      <c r="B2353" s="0" t="s">
        <v>86</v>
      </c>
      <c r="C2353" s="17" t="n">
        <v>-0.0649432386951364</v>
      </c>
      <c r="D2353" s="17" t="n">
        <f aca="false">(C2353-$B$4)/($B$6/SQRT($B$7))</f>
        <v>-0.324716193475682</v>
      </c>
      <c r="E2353" s="0" t="str">
        <f aca="false">IF(OR(AND($B$9="superior",D2353&gt;$B$10),AND($B$9="inferior",D2353&lt;-$B$10)),"Rechazar H0","No rechazar H0")</f>
        <v>No rechazar H0</v>
      </c>
      <c r="F2353" s="0" t="str">
        <f aca="false">IF(AND(B2353="H0 verdadera",E2353="Rechazar H0"),"Error tipo I",IF(AND(B2353="Ha verdadera",E2353="No rechazar H0"),"Error tipo II","Decisión correcta"))</f>
        <v>Error tipo II</v>
      </c>
    </row>
    <row r="2354" customFormat="false" ht="15" hidden="false" customHeight="false" outlineLevel="0" collapsed="false">
      <c r="A2354" s="0" t="n">
        <v>2333</v>
      </c>
      <c r="B2354" s="0" t="s">
        <v>86</v>
      </c>
      <c r="C2354" s="17" t="n">
        <v>-0.138549361206253</v>
      </c>
      <c r="D2354" s="17" t="n">
        <f aca="false">(C2354-$B$4)/($B$6/SQRT($B$7))</f>
        <v>-0.692746806031267</v>
      </c>
      <c r="E2354" s="0" t="str">
        <f aca="false">IF(OR(AND($B$9="superior",D2354&gt;$B$10),AND($B$9="inferior",D2354&lt;-$B$10)),"Rechazar H0","No rechazar H0")</f>
        <v>No rechazar H0</v>
      </c>
      <c r="F2354" s="0" t="str">
        <f aca="false">IF(AND(B2354="H0 verdadera",E2354="Rechazar H0"),"Error tipo I",IF(AND(B2354="Ha verdadera",E2354="No rechazar H0"),"Error tipo II","Decisión correcta"))</f>
        <v>Error tipo II</v>
      </c>
    </row>
    <row r="2355" customFormat="false" ht="15" hidden="false" customHeight="false" outlineLevel="0" collapsed="false">
      <c r="A2355" s="0" t="n">
        <v>2334</v>
      </c>
      <c r="B2355" s="0" t="s">
        <v>86</v>
      </c>
      <c r="C2355" s="17" t="n">
        <v>-0.883241397915543</v>
      </c>
      <c r="D2355" s="17" t="n">
        <f aca="false">(C2355-$B$4)/($B$6/SQRT($B$7))</f>
        <v>-4.41620698957771</v>
      </c>
      <c r="E2355" s="0" t="str">
        <f aca="false">IF(OR(AND($B$9="superior",D2355&gt;$B$10),AND($B$9="inferior",D2355&lt;-$B$10)),"Rechazar H0","No rechazar H0")</f>
        <v>Rechazar H0</v>
      </c>
      <c r="F2355" s="0" t="str">
        <f aca="false">IF(AND(B2355="H0 verdadera",E2355="Rechazar H0"),"Error tipo I",IF(AND(B2355="Ha verdadera",E2355="No rechazar H0"),"Error tipo II","Decisión correcta"))</f>
        <v>Decisión correcta</v>
      </c>
    </row>
    <row r="2356" customFormat="false" ht="15" hidden="false" customHeight="false" outlineLevel="0" collapsed="false">
      <c r="A2356" s="0" t="n">
        <v>2335</v>
      </c>
      <c r="B2356" s="0" t="s">
        <v>86</v>
      </c>
      <c r="C2356" s="17" t="n">
        <v>-0.25715241552677</v>
      </c>
      <c r="D2356" s="17" t="n">
        <f aca="false">(C2356-$B$4)/($B$6/SQRT($B$7))</f>
        <v>-1.28576207763385</v>
      </c>
      <c r="E2356" s="0" t="str">
        <f aca="false">IF(OR(AND($B$9="superior",D2356&gt;$B$10),AND($B$9="inferior",D2356&lt;-$B$10)),"Rechazar H0","No rechazar H0")</f>
        <v>No rechazar H0</v>
      </c>
      <c r="F2356" s="0" t="str">
        <f aca="false">IF(AND(B2356="H0 verdadera",E2356="Rechazar H0"),"Error tipo I",IF(AND(B2356="Ha verdadera",E2356="No rechazar H0"),"Error tipo II","Decisión correcta"))</f>
        <v>Error tipo II</v>
      </c>
    </row>
    <row r="2357" customFormat="false" ht="15" hidden="false" customHeight="false" outlineLevel="0" collapsed="false">
      <c r="A2357" s="0" t="n">
        <v>2336</v>
      </c>
      <c r="B2357" s="0" t="s">
        <v>86</v>
      </c>
      <c r="C2357" s="17" t="n">
        <v>-0.3700972500835</v>
      </c>
      <c r="D2357" s="17" t="n">
        <f aca="false">(C2357-$B$4)/($B$6/SQRT($B$7))</f>
        <v>-1.8504862504175</v>
      </c>
      <c r="E2357" s="0" t="str">
        <f aca="false">IF(OR(AND($B$9="superior",D2357&gt;$B$10),AND($B$9="inferior",D2357&lt;-$B$10)),"Rechazar H0","No rechazar H0")</f>
        <v>Rechazar H0</v>
      </c>
      <c r="F2357" s="0" t="str">
        <f aca="false">IF(AND(B2357="H0 verdadera",E2357="Rechazar H0"),"Error tipo I",IF(AND(B2357="Ha verdadera",E2357="No rechazar H0"),"Error tipo II","Decisión correcta"))</f>
        <v>Decisión correcta</v>
      </c>
    </row>
    <row r="2358" customFormat="false" ht="15" hidden="false" customHeight="false" outlineLevel="0" collapsed="false">
      <c r="A2358" s="0" t="n">
        <v>2337</v>
      </c>
      <c r="B2358" s="0" t="s">
        <v>86</v>
      </c>
      <c r="C2358" s="17" t="n">
        <v>-0.571898272837049</v>
      </c>
      <c r="D2358" s="17" t="n">
        <f aca="false">(C2358-$B$4)/($B$6/SQRT($B$7))</f>
        <v>-2.85949136418524</v>
      </c>
      <c r="E2358" s="0" t="str">
        <f aca="false">IF(OR(AND($B$9="superior",D2358&gt;$B$10),AND($B$9="inferior",D2358&lt;-$B$10)),"Rechazar H0","No rechazar H0")</f>
        <v>Rechazar H0</v>
      </c>
      <c r="F2358" s="0" t="str">
        <f aca="false">IF(AND(B2358="H0 verdadera",E2358="Rechazar H0"),"Error tipo I",IF(AND(B2358="Ha verdadera",E2358="No rechazar H0"),"Error tipo II","Decisión correcta"))</f>
        <v>Decisión correcta</v>
      </c>
    </row>
    <row r="2359" customFormat="false" ht="15" hidden="false" customHeight="false" outlineLevel="0" collapsed="false">
      <c r="A2359" s="0" t="n">
        <v>2338</v>
      </c>
      <c r="B2359" s="0" t="s">
        <v>85</v>
      </c>
      <c r="C2359" s="17" t="n">
        <v>0.0307194153924834</v>
      </c>
      <c r="D2359" s="17" t="n">
        <f aca="false">(C2359-$B$4)/($B$6/SQRT($B$7))</f>
        <v>0.153597076962417</v>
      </c>
      <c r="E2359" s="0" t="str">
        <f aca="false">IF(OR(AND($B$9="superior",D2359&gt;$B$10),AND($B$9="inferior",D2359&lt;-$B$10)),"Rechazar H0","No rechazar H0")</f>
        <v>No rechazar H0</v>
      </c>
      <c r="F2359" s="0" t="str">
        <f aca="false">IF(AND(B2359="H0 verdadera",E2359="Rechazar H0"),"Error tipo I",IF(AND(B2359="Ha verdadera",E2359="No rechazar H0"),"Error tipo II","Decisión correcta"))</f>
        <v>Decisión correcta</v>
      </c>
    </row>
    <row r="2360" customFormat="false" ht="15" hidden="false" customHeight="false" outlineLevel="0" collapsed="false">
      <c r="A2360" s="0" t="n">
        <v>2339</v>
      </c>
      <c r="B2360" s="0" t="s">
        <v>85</v>
      </c>
      <c r="C2360" s="17" t="n">
        <v>-0.192385388104889</v>
      </c>
      <c r="D2360" s="17" t="n">
        <f aca="false">(C2360-$B$4)/($B$6/SQRT($B$7))</f>
        <v>-0.961926940524444</v>
      </c>
      <c r="E2360" s="0" t="str">
        <f aca="false">IF(OR(AND($B$9="superior",D2360&gt;$B$10),AND($B$9="inferior",D2360&lt;-$B$10)),"Rechazar H0","No rechazar H0")</f>
        <v>No rechazar H0</v>
      </c>
      <c r="F2360" s="0" t="str">
        <f aca="false">IF(AND(B2360="H0 verdadera",E2360="Rechazar H0"),"Error tipo I",IF(AND(B2360="Ha verdadera",E2360="No rechazar H0"),"Error tipo II","Decisión correcta"))</f>
        <v>Decisión correcta</v>
      </c>
    </row>
    <row r="2361" customFormat="false" ht="15" hidden="false" customHeight="false" outlineLevel="0" collapsed="false">
      <c r="A2361" s="0" t="n">
        <v>2340</v>
      </c>
      <c r="B2361" s="0" t="s">
        <v>85</v>
      </c>
      <c r="C2361" s="17" t="n">
        <v>-0.274133726428966</v>
      </c>
      <c r="D2361" s="17" t="n">
        <f aca="false">(C2361-$B$4)/($B$6/SQRT($B$7))</f>
        <v>-1.37066863214483</v>
      </c>
      <c r="E2361" s="0" t="str">
        <f aca="false">IF(OR(AND($B$9="superior",D2361&gt;$B$10),AND($B$9="inferior",D2361&lt;-$B$10)),"Rechazar H0","No rechazar H0")</f>
        <v>No rechazar H0</v>
      </c>
      <c r="F2361" s="0" t="str">
        <f aca="false">IF(AND(B2361="H0 verdadera",E2361="Rechazar H0"),"Error tipo I",IF(AND(B2361="Ha verdadera",E2361="No rechazar H0"),"Error tipo II","Decisión correcta"))</f>
        <v>Decisión correcta</v>
      </c>
    </row>
    <row r="2362" customFormat="false" ht="15" hidden="false" customHeight="false" outlineLevel="0" collapsed="false">
      <c r="A2362" s="0" t="n">
        <v>2341</v>
      </c>
      <c r="B2362" s="0" t="s">
        <v>85</v>
      </c>
      <c r="C2362" s="17" t="n">
        <v>-0.192284376464465</v>
      </c>
      <c r="D2362" s="17" t="n">
        <f aca="false">(C2362-$B$4)/($B$6/SQRT($B$7))</f>
        <v>-0.961421882322327</v>
      </c>
      <c r="E2362" s="0" t="str">
        <f aca="false">IF(OR(AND($B$9="superior",D2362&gt;$B$10),AND($B$9="inferior",D2362&lt;-$B$10)),"Rechazar H0","No rechazar H0")</f>
        <v>No rechazar H0</v>
      </c>
      <c r="F2362" s="0" t="str">
        <f aca="false">IF(AND(B2362="H0 verdadera",E2362="Rechazar H0"),"Error tipo I",IF(AND(B2362="Ha verdadera",E2362="No rechazar H0"),"Error tipo II","Decisión correcta"))</f>
        <v>Decisión correcta</v>
      </c>
    </row>
    <row r="2363" customFormat="false" ht="15" hidden="false" customHeight="false" outlineLevel="0" collapsed="false">
      <c r="A2363" s="0" t="n">
        <v>2342</v>
      </c>
      <c r="B2363" s="0" t="s">
        <v>86</v>
      </c>
      <c r="C2363" s="17" t="n">
        <v>-0.321511545396905</v>
      </c>
      <c r="D2363" s="17" t="n">
        <f aca="false">(C2363-$B$4)/($B$6/SQRT($B$7))</f>
        <v>-1.60755772698452</v>
      </c>
      <c r="E2363" s="0" t="str">
        <f aca="false">IF(OR(AND($B$9="superior",D2363&gt;$B$10),AND($B$9="inferior",D2363&lt;-$B$10)),"Rechazar H0","No rechazar H0")</f>
        <v>No rechazar H0</v>
      </c>
      <c r="F2363" s="0" t="str">
        <f aca="false">IF(AND(B2363="H0 verdadera",E2363="Rechazar H0"),"Error tipo I",IF(AND(B2363="Ha verdadera",E2363="No rechazar H0"),"Error tipo II","Decisión correcta"))</f>
        <v>Error tipo II</v>
      </c>
    </row>
    <row r="2364" customFormat="false" ht="15" hidden="false" customHeight="false" outlineLevel="0" collapsed="false">
      <c r="A2364" s="0" t="n">
        <v>2343</v>
      </c>
      <c r="B2364" s="0" t="s">
        <v>85</v>
      </c>
      <c r="C2364" s="17" t="n">
        <v>0.161113460738014</v>
      </c>
      <c r="D2364" s="17" t="n">
        <f aca="false">(C2364-$B$4)/($B$6/SQRT($B$7))</f>
        <v>0.80556730369007</v>
      </c>
      <c r="E2364" s="0" t="str">
        <f aca="false">IF(OR(AND($B$9="superior",D2364&gt;$B$10),AND($B$9="inferior",D2364&lt;-$B$10)),"Rechazar H0","No rechazar H0")</f>
        <v>No rechazar H0</v>
      </c>
      <c r="F2364" s="0" t="str">
        <f aca="false">IF(AND(B2364="H0 verdadera",E2364="Rechazar H0"),"Error tipo I",IF(AND(B2364="Ha verdadera",E2364="No rechazar H0"),"Error tipo II","Decisión correcta"))</f>
        <v>Decisión correcta</v>
      </c>
    </row>
    <row r="2365" customFormat="false" ht="15" hidden="false" customHeight="false" outlineLevel="0" collapsed="false">
      <c r="A2365" s="0" t="n">
        <v>2344</v>
      </c>
      <c r="B2365" s="0" t="s">
        <v>86</v>
      </c>
      <c r="C2365" s="17" t="n">
        <v>-0.351511879300348</v>
      </c>
      <c r="D2365" s="17" t="n">
        <f aca="false">(C2365-$B$4)/($B$6/SQRT($B$7))</f>
        <v>-1.75755939650174</v>
      </c>
      <c r="E2365" s="0" t="str">
        <f aca="false">IF(OR(AND($B$9="superior",D2365&gt;$B$10),AND($B$9="inferior",D2365&lt;-$B$10)),"Rechazar H0","No rechazar H0")</f>
        <v>Rechazar H0</v>
      </c>
      <c r="F2365" s="0" t="str">
        <f aca="false">IF(AND(B2365="H0 verdadera",E2365="Rechazar H0"),"Error tipo I",IF(AND(B2365="Ha verdadera",E2365="No rechazar H0"),"Error tipo II","Decisión correcta"))</f>
        <v>Decisión correcta</v>
      </c>
    </row>
    <row r="2366" customFormat="false" ht="15" hidden="false" customHeight="false" outlineLevel="0" collapsed="false">
      <c r="A2366" s="0" t="n">
        <v>2345</v>
      </c>
      <c r="B2366" s="0" t="s">
        <v>86</v>
      </c>
      <c r="C2366" s="17" t="n">
        <v>-0.259446155935834</v>
      </c>
      <c r="D2366" s="17" t="n">
        <f aca="false">(C2366-$B$4)/($B$6/SQRT($B$7))</f>
        <v>-1.29723077967917</v>
      </c>
      <c r="E2366" s="0" t="str">
        <f aca="false">IF(OR(AND($B$9="superior",D2366&gt;$B$10),AND($B$9="inferior",D2366&lt;-$B$10)),"Rechazar H0","No rechazar H0")</f>
        <v>No rechazar H0</v>
      </c>
      <c r="F2366" s="0" t="str">
        <f aca="false">IF(AND(B2366="H0 verdadera",E2366="Rechazar H0"),"Error tipo I",IF(AND(B2366="Ha verdadera",E2366="No rechazar H0"),"Error tipo II","Decisión correcta"))</f>
        <v>Error tipo II</v>
      </c>
    </row>
    <row r="2367" customFormat="false" ht="15" hidden="false" customHeight="false" outlineLevel="0" collapsed="false">
      <c r="A2367" s="0" t="n">
        <v>2346</v>
      </c>
      <c r="B2367" s="0" t="s">
        <v>85</v>
      </c>
      <c r="C2367" s="17" t="n">
        <v>0.0278427201209998</v>
      </c>
      <c r="D2367" s="17" t="n">
        <f aca="false">(C2367-$B$4)/($B$6/SQRT($B$7))</f>
        <v>0.139213600604999</v>
      </c>
      <c r="E2367" s="0" t="str">
        <f aca="false">IF(OR(AND($B$9="superior",D2367&gt;$B$10),AND($B$9="inferior",D2367&lt;-$B$10)),"Rechazar H0","No rechazar H0")</f>
        <v>No rechazar H0</v>
      </c>
      <c r="F2367" s="0" t="str">
        <f aca="false">IF(AND(B2367="H0 verdadera",E2367="Rechazar H0"),"Error tipo I",IF(AND(B2367="Ha verdadera",E2367="No rechazar H0"),"Error tipo II","Decisión correcta"))</f>
        <v>Decisión correcta</v>
      </c>
    </row>
    <row r="2368" customFormat="false" ht="15" hidden="false" customHeight="false" outlineLevel="0" collapsed="false">
      <c r="A2368" s="0" t="n">
        <v>2347</v>
      </c>
      <c r="B2368" s="0" t="s">
        <v>86</v>
      </c>
      <c r="C2368" s="17" t="n">
        <v>-0.405022964045226</v>
      </c>
      <c r="D2368" s="17" t="n">
        <f aca="false">(C2368-$B$4)/($B$6/SQRT($B$7))</f>
        <v>-2.02511482022613</v>
      </c>
      <c r="E2368" s="0" t="str">
        <f aca="false">IF(OR(AND($B$9="superior",D2368&gt;$B$10),AND($B$9="inferior",D2368&lt;-$B$10)),"Rechazar H0","No rechazar H0")</f>
        <v>Rechazar H0</v>
      </c>
      <c r="F2368" s="0" t="str">
        <f aca="false">IF(AND(B2368="H0 verdadera",E2368="Rechazar H0"),"Error tipo I",IF(AND(B2368="Ha verdadera",E2368="No rechazar H0"),"Error tipo II","Decisión correcta"))</f>
        <v>Decisión correcta</v>
      </c>
    </row>
    <row r="2369" customFormat="false" ht="15" hidden="false" customHeight="false" outlineLevel="0" collapsed="false">
      <c r="A2369" s="0" t="n">
        <v>2348</v>
      </c>
      <c r="B2369" s="0" t="s">
        <v>85</v>
      </c>
      <c r="C2369" s="17" t="n">
        <v>-0.0271349958752933</v>
      </c>
      <c r="D2369" s="17" t="n">
        <f aca="false">(C2369-$B$4)/($B$6/SQRT($B$7))</f>
        <v>-0.135674979376467</v>
      </c>
      <c r="E2369" s="0" t="str">
        <f aca="false">IF(OR(AND($B$9="superior",D2369&gt;$B$10),AND($B$9="inferior",D2369&lt;-$B$10)),"Rechazar H0","No rechazar H0")</f>
        <v>No rechazar H0</v>
      </c>
      <c r="F2369" s="0" t="str">
        <f aca="false">IF(AND(B2369="H0 verdadera",E2369="Rechazar H0"),"Error tipo I",IF(AND(B2369="Ha verdadera",E2369="No rechazar H0"),"Error tipo II","Decisión correcta"))</f>
        <v>Decisión correcta</v>
      </c>
    </row>
    <row r="2370" customFormat="false" ht="15" hidden="false" customHeight="false" outlineLevel="0" collapsed="false">
      <c r="A2370" s="0" t="n">
        <v>2349</v>
      </c>
      <c r="B2370" s="0" t="s">
        <v>85</v>
      </c>
      <c r="C2370" s="17" t="n">
        <v>0.112827461330921</v>
      </c>
      <c r="D2370" s="17" t="n">
        <f aca="false">(C2370-$B$4)/($B$6/SQRT($B$7))</f>
        <v>0.564137306654605</v>
      </c>
      <c r="E2370" s="0" t="str">
        <f aca="false">IF(OR(AND($B$9="superior",D2370&gt;$B$10),AND($B$9="inferior",D2370&lt;-$B$10)),"Rechazar H0","No rechazar H0")</f>
        <v>No rechazar H0</v>
      </c>
      <c r="F2370" s="0" t="str">
        <f aca="false">IF(AND(B2370="H0 verdadera",E2370="Rechazar H0"),"Error tipo I",IF(AND(B2370="Ha verdadera",E2370="No rechazar H0"),"Error tipo II","Decisión correcta"))</f>
        <v>Decisión correcta</v>
      </c>
    </row>
    <row r="2371" customFormat="false" ht="15" hidden="false" customHeight="false" outlineLevel="0" collapsed="false">
      <c r="A2371" s="0" t="n">
        <v>2350</v>
      </c>
      <c r="B2371" s="0" t="s">
        <v>85</v>
      </c>
      <c r="C2371" s="17" t="n">
        <v>0.333271720978303</v>
      </c>
      <c r="D2371" s="17" t="n">
        <f aca="false">(C2371-$B$4)/($B$6/SQRT($B$7))</f>
        <v>1.66635860489151</v>
      </c>
      <c r="E2371" s="0" t="str">
        <f aca="false">IF(OR(AND($B$9="superior",D2371&gt;$B$10),AND($B$9="inferior",D2371&lt;-$B$10)),"Rechazar H0","No rechazar H0")</f>
        <v>No rechazar H0</v>
      </c>
      <c r="F2371" s="0" t="str">
        <f aca="false">IF(AND(B2371="H0 verdadera",E2371="Rechazar H0"),"Error tipo I",IF(AND(B2371="Ha verdadera",E2371="No rechazar H0"),"Error tipo II","Decisión correcta"))</f>
        <v>Decisión correcta</v>
      </c>
    </row>
    <row r="2372" customFormat="false" ht="15" hidden="false" customHeight="false" outlineLevel="0" collapsed="false">
      <c r="A2372" s="0" t="n">
        <v>2351</v>
      </c>
      <c r="B2372" s="0" t="s">
        <v>85</v>
      </c>
      <c r="C2372" s="17" t="n">
        <v>0.303850921421281</v>
      </c>
      <c r="D2372" s="17" t="n">
        <f aca="false">(C2372-$B$4)/($B$6/SQRT($B$7))</f>
        <v>1.5192546071064</v>
      </c>
      <c r="E2372" s="0" t="str">
        <f aca="false">IF(OR(AND($B$9="superior",D2372&gt;$B$10),AND($B$9="inferior",D2372&lt;-$B$10)),"Rechazar H0","No rechazar H0")</f>
        <v>No rechazar H0</v>
      </c>
      <c r="F2372" s="0" t="str">
        <f aca="false">IF(AND(B2372="H0 verdadera",E2372="Rechazar H0"),"Error tipo I",IF(AND(B2372="Ha verdadera",E2372="No rechazar H0"),"Error tipo II","Decisión correcta"))</f>
        <v>Decisión correcta</v>
      </c>
    </row>
    <row r="2373" customFormat="false" ht="15" hidden="false" customHeight="false" outlineLevel="0" collapsed="false">
      <c r="A2373" s="0" t="n">
        <v>2352</v>
      </c>
      <c r="B2373" s="0" t="s">
        <v>85</v>
      </c>
      <c r="C2373" s="17" t="n">
        <v>-0.133799981903469</v>
      </c>
      <c r="D2373" s="17" t="n">
        <f aca="false">(C2373-$B$4)/($B$6/SQRT($B$7))</f>
        <v>-0.668999909517345</v>
      </c>
      <c r="E2373" s="0" t="str">
        <f aca="false">IF(OR(AND($B$9="superior",D2373&gt;$B$10),AND($B$9="inferior",D2373&lt;-$B$10)),"Rechazar H0","No rechazar H0")</f>
        <v>No rechazar H0</v>
      </c>
      <c r="F2373" s="0" t="str">
        <f aca="false">IF(AND(B2373="H0 verdadera",E2373="Rechazar H0"),"Error tipo I",IF(AND(B2373="Ha verdadera",E2373="No rechazar H0"),"Error tipo II","Decisión correcta"))</f>
        <v>Decisión correcta</v>
      </c>
    </row>
    <row r="2374" customFormat="false" ht="15" hidden="false" customHeight="false" outlineLevel="0" collapsed="false">
      <c r="A2374" s="0" t="n">
        <v>2353</v>
      </c>
      <c r="B2374" s="0" t="s">
        <v>85</v>
      </c>
      <c r="C2374" s="17" t="n">
        <v>-0.294535750901282</v>
      </c>
      <c r="D2374" s="17" t="n">
        <f aca="false">(C2374-$B$4)/($B$6/SQRT($B$7))</f>
        <v>-1.47267875450641</v>
      </c>
      <c r="E2374" s="0" t="str">
        <f aca="false">IF(OR(AND($B$9="superior",D2374&gt;$B$10),AND($B$9="inferior",D2374&lt;-$B$10)),"Rechazar H0","No rechazar H0")</f>
        <v>No rechazar H0</v>
      </c>
      <c r="F2374" s="0" t="str">
        <f aca="false">IF(AND(B2374="H0 verdadera",E2374="Rechazar H0"),"Error tipo I",IF(AND(B2374="Ha verdadera",E2374="No rechazar H0"),"Error tipo II","Decisión correcta"))</f>
        <v>Decisión correcta</v>
      </c>
    </row>
    <row r="2375" customFormat="false" ht="15" hidden="false" customHeight="false" outlineLevel="0" collapsed="false">
      <c r="A2375" s="0" t="n">
        <v>2354</v>
      </c>
      <c r="B2375" s="0" t="s">
        <v>86</v>
      </c>
      <c r="C2375" s="17" t="n">
        <v>-0.809271431028376</v>
      </c>
      <c r="D2375" s="17" t="n">
        <f aca="false">(C2375-$B$4)/($B$6/SQRT($B$7))</f>
        <v>-4.04635715514188</v>
      </c>
      <c r="E2375" s="0" t="str">
        <f aca="false">IF(OR(AND($B$9="superior",D2375&gt;$B$10),AND($B$9="inferior",D2375&lt;-$B$10)),"Rechazar H0","No rechazar H0")</f>
        <v>Rechazar H0</v>
      </c>
      <c r="F2375" s="0" t="str">
        <f aca="false">IF(AND(B2375="H0 verdadera",E2375="Rechazar H0"),"Error tipo I",IF(AND(B2375="Ha verdadera",E2375="No rechazar H0"),"Error tipo II","Decisión correcta"))</f>
        <v>Decisión correcta</v>
      </c>
    </row>
    <row r="2376" customFormat="false" ht="15" hidden="false" customHeight="false" outlineLevel="0" collapsed="false">
      <c r="A2376" s="0" t="n">
        <v>2355</v>
      </c>
      <c r="B2376" s="0" t="s">
        <v>86</v>
      </c>
      <c r="C2376" s="17" t="n">
        <v>0.0668884585006943</v>
      </c>
      <c r="D2376" s="17" t="n">
        <f aca="false">(C2376-$B$4)/($B$6/SQRT($B$7))</f>
        <v>0.334442292503471</v>
      </c>
      <c r="E2376" s="0" t="str">
        <f aca="false">IF(OR(AND($B$9="superior",D2376&gt;$B$10),AND($B$9="inferior",D2376&lt;-$B$10)),"Rechazar H0","No rechazar H0")</f>
        <v>No rechazar H0</v>
      </c>
      <c r="F2376" s="0" t="str">
        <f aca="false">IF(AND(B2376="H0 verdadera",E2376="Rechazar H0"),"Error tipo I",IF(AND(B2376="Ha verdadera",E2376="No rechazar H0"),"Error tipo II","Decisión correcta"))</f>
        <v>Error tipo II</v>
      </c>
    </row>
    <row r="2377" customFormat="false" ht="15" hidden="false" customHeight="false" outlineLevel="0" collapsed="false">
      <c r="A2377" s="0" t="n">
        <v>2356</v>
      </c>
      <c r="B2377" s="0" t="s">
        <v>86</v>
      </c>
      <c r="C2377" s="17" t="n">
        <v>-0.307491035185935</v>
      </c>
      <c r="D2377" s="17" t="n">
        <f aca="false">(C2377-$B$4)/($B$6/SQRT($B$7))</f>
        <v>-1.53745517592968</v>
      </c>
      <c r="E2377" s="0" t="str">
        <f aca="false">IF(OR(AND($B$9="superior",D2377&gt;$B$10),AND($B$9="inferior",D2377&lt;-$B$10)),"Rechazar H0","No rechazar H0")</f>
        <v>No rechazar H0</v>
      </c>
      <c r="F2377" s="0" t="str">
        <f aca="false">IF(AND(B2377="H0 verdadera",E2377="Rechazar H0"),"Error tipo I",IF(AND(B2377="Ha verdadera",E2377="No rechazar H0"),"Error tipo II","Decisión correcta"))</f>
        <v>Error tipo II</v>
      </c>
    </row>
    <row r="2378" customFormat="false" ht="15" hidden="false" customHeight="false" outlineLevel="0" collapsed="false">
      <c r="A2378" s="0" t="n">
        <v>2357</v>
      </c>
      <c r="B2378" s="0" t="s">
        <v>86</v>
      </c>
      <c r="C2378" s="17" t="n">
        <v>-0.826349311696701</v>
      </c>
      <c r="D2378" s="17" t="n">
        <f aca="false">(C2378-$B$4)/($B$6/SQRT($B$7))</f>
        <v>-4.1317465584835</v>
      </c>
      <c r="E2378" s="0" t="str">
        <f aca="false">IF(OR(AND($B$9="superior",D2378&gt;$B$10),AND($B$9="inferior",D2378&lt;-$B$10)),"Rechazar H0","No rechazar H0")</f>
        <v>Rechazar H0</v>
      </c>
      <c r="F2378" s="0" t="str">
        <f aca="false">IF(AND(B2378="H0 verdadera",E2378="Rechazar H0"),"Error tipo I",IF(AND(B2378="Ha verdadera",E2378="No rechazar H0"),"Error tipo II","Decisión correcta"))</f>
        <v>Decisión correcta</v>
      </c>
    </row>
    <row r="2379" customFormat="false" ht="15" hidden="false" customHeight="false" outlineLevel="0" collapsed="false">
      <c r="A2379" s="0" t="n">
        <v>2358</v>
      </c>
      <c r="B2379" s="0" t="s">
        <v>86</v>
      </c>
      <c r="C2379" s="17" t="n">
        <v>-0.351448458113176</v>
      </c>
      <c r="D2379" s="17" t="n">
        <f aca="false">(C2379-$B$4)/($B$6/SQRT($B$7))</f>
        <v>-1.75724229056588</v>
      </c>
      <c r="E2379" s="0" t="str">
        <f aca="false">IF(OR(AND($B$9="superior",D2379&gt;$B$10),AND($B$9="inferior",D2379&lt;-$B$10)),"Rechazar H0","No rechazar H0")</f>
        <v>Rechazar H0</v>
      </c>
      <c r="F2379" s="0" t="str">
        <f aca="false">IF(AND(B2379="H0 verdadera",E2379="Rechazar H0"),"Error tipo I",IF(AND(B2379="Ha verdadera",E2379="No rechazar H0"),"Error tipo II","Decisión correcta"))</f>
        <v>Decisión correcta</v>
      </c>
    </row>
    <row r="2380" customFormat="false" ht="15" hidden="false" customHeight="false" outlineLevel="0" collapsed="false">
      <c r="A2380" s="0" t="n">
        <v>2359</v>
      </c>
      <c r="B2380" s="0" t="s">
        <v>86</v>
      </c>
      <c r="C2380" s="17" t="n">
        <v>-0.310268320498757</v>
      </c>
      <c r="D2380" s="17" t="n">
        <f aca="false">(C2380-$B$4)/($B$6/SQRT($B$7))</f>
        <v>-1.55134160249378</v>
      </c>
      <c r="E2380" s="0" t="str">
        <f aca="false">IF(OR(AND($B$9="superior",D2380&gt;$B$10),AND($B$9="inferior",D2380&lt;-$B$10)),"Rechazar H0","No rechazar H0")</f>
        <v>No rechazar H0</v>
      </c>
      <c r="F2380" s="0" t="str">
        <f aca="false">IF(AND(B2380="H0 verdadera",E2380="Rechazar H0"),"Error tipo I",IF(AND(B2380="Ha verdadera",E2380="No rechazar H0"),"Error tipo II","Decisión correcta"))</f>
        <v>Error tipo II</v>
      </c>
    </row>
    <row r="2381" customFormat="false" ht="15" hidden="false" customHeight="false" outlineLevel="0" collapsed="false">
      <c r="A2381" s="0" t="n">
        <v>2360</v>
      </c>
      <c r="B2381" s="0" t="s">
        <v>86</v>
      </c>
      <c r="C2381" s="17" t="n">
        <v>-0.292587563652359</v>
      </c>
      <c r="D2381" s="17" t="n">
        <f aca="false">(C2381-$B$4)/($B$6/SQRT($B$7))</f>
        <v>-1.4629378182618</v>
      </c>
      <c r="E2381" s="0" t="str">
        <f aca="false">IF(OR(AND($B$9="superior",D2381&gt;$B$10),AND($B$9="inferior",D2381&lt;-$B$10)),"Rechazar H0","No rechazar H0")</f>
        <v>No rechazar H0</v>
      </c>
      <c r="F2381" s="0" t="str">
        <f aca="false">IF(AND(B2381="H0 verdadera",E2381="Rechazar H0"),"Error tipo I",IF(AND(B2381="Ha verdadera",E2381="No rechazar H0"),"Error tipo II","Decisión correcta"))</f>
        <v>Error tipo II</v>
      </c>
    </row>
    <row r="2382" customFormat="false" ht="15" hidden="false" customHeight="false" outlineLevel="0" collapsed="false">
      <c r="A2382" s="0" t="n">
        <v>2361</v>
      </c>
      <c r="B2382" s="0" t="s">
        <v>85</v>
      </c>
      <c r="C2382" s="17" t="n">
        <v>0.391436961848847</v>
      </c>
      <c r="D2382" s="17" t="n">
        <f aca="false">(C2382-$B$4)/($B$6/SQRT($B$7))</f>
        <v>1.95718480924424</v>
      </c>
      <c r="E2382" s="0" t="str">
        <f aca="false">IF(OR(AND($B$9="superior",D2382&gt;$B$10),AND($B$9="inferior",D2382&lt;-$B$10)),"Rechazar H0","No rechazar H0")</f>
        <v>No rechazar H0</v>
      </c>
      <c r="F2382" s="0" t="str">
        <f aca="false">IF(AND(B2382="H0 verdadera",E2382="Rechazar H0"),"Error tipo I",IF(AND(B2382="Ha verdadera",E2382="No rechazar H0"),"Error tipo II","Decisión correcta"))</f>
        <v>Decisión correcta</v>
      </c>
    </row>
    <row r="2383" customFormat="false" ht="15" hidden="false" customHeight="false" outlineLevel="0" collapsed="false">
      <c r="A2383" s="0" t="n">
        <v>2362</v>
      </c>
      <c r="B2383" s="0" t="s">
        <v>86</v>
      </c>
      <c r="C2383" s="17" t="n">
        <v>-0.558961615329821</v>
      </c>
      <c r="D2383" s="17" t="n">
        <f aca="false">(C2383-$B$4)/($B$6/SQRT($B$7))</f>
        <v>-2.7948080766491</v>
      </c>
      <c r="E2383" s="0" t="str">
        <f aca="false">IF(OR(AND($B$9="superior",D2383&gt;$B$10),AND($B$9="inferior",D2383&lt;-$B$10)),"Rechazar H0","No rechazar H0")</f>
        <v>Rechazar H0</v>
      </c>
      <c r="F2383" s="0" t="str">
        <f aca="false">IF(AND(B2383="H0 verdadera",E2383="Rechazar H0"),"Error tipo I",IF(AND(B2383="Ha verdadera",E2383="No rechazar H0"),"Error tipo II","Decisión correcta"))</f>
        <v>Decisión correcta</v>
      </c>
    </row>
    <row r="2384" customFormat="false" ht="15" hidden="false" customHeight="false" outlineLevel="0" collapsed="false">
      <c r="A2384" s="0" t="n">
        <v>2363</v>
      </c>
      <c r="B2384" s="0" t="s">
        <v>86</v>
      </c>
      <c r="C2384" s="17" t="n">
        <v>-0.218955588949102</v>
      </c>
      <c r="D2384" s="17" t="n">
        <f aca="false">(C2384-$B$4)/($B$6/SQRT($B$7))</f>
        <v>-1.09477794474551</v>
      </c>
      <c r="E2384" s="0" t="str">
        <f aca="false">IF(OR(AND($B$9="superior",D2384&gt;$B$10),AND($B$9="inferior",D2384&lt;-$B$10)),"Rechazar H0","No rechazar H0")</f>
        <v>No rechazar H0</v>
      </c>
      <c r="F2384" s="0" t="str">
        <f aca="false">IF(AND(B2384="H0 verdadera",E2384="Rechazar H0"),"Error tipo I",IF(AND(B2384="Ha verdadera",E2384="No rechazar H0"),"Error tipo II","Decisión correcta"))</f>
        <v>Error tipo II</v>
      </c>
    </row>
    <row r="2385" customFormat="false" ht="15" hidden="false" customHeight="false" outlineLevel="0" collapsed="false">
      <c r="A2385" s="0" t="n">
        <v>2364</v>
      </c>
      <c r="B2385" s="0" t="s">
        <v>86</v>
      </c>
      <c r="C2385" s="17" t="n">
        <v>-0.236831828891393</v>
      </c>
      <c r="D2385" s="17" t="n">
        <f aca="false">(C2385-$B$4)/($B$6/SQRT($B$7))</f>
        <v>-1.18415914445696</v>
      </c>
      <c r="E2385" s="0" t="str">
        <f aca="false">IF(OR(AND($B$9="superior",D2385&gt;$B$10),AND($B$9="inferior",D2385&lt;-$B$10)),"Rechazar H0","No rechazar H0")</f>
        <v>No rechazar H0</v>
      </c>
      <c r="F2385" s="0" t="str">
        <f aca="false">IF(AND(B2385="H0 verdadera",E2385="Rechazar H0"),"Error tipo I",IF(AND(B2385="Ha verdadera",E2385="No rechazar H0"),"Error tipo II","Decisión correcta"))</f>
        <v>Error tipo II</v>
      </c>
    </row>
    <row r="2386" customFormat="false" ht="15" hidden="false" customHeight="false" outlineLevel="0" collapsed="false">
      <c r="A2386" s="0" t="n">
        <v>2365</v>
      </c>
      <c r="B2386" s="0" t="s">
        <v>85</v>
      </c>
      <c r="C2386" s="17" t="n">
        <v>0.335808304349919</v>
      </c>
      <c r="D2386" s="17" t="n">
        <f aca="false">(C2386-$B$4)/($B$6/SQRT($B$7))</f>
        <v>1.67904152174959</v>
      </c>
      <c r="E2386" s="0" t="str">
        <f aca="false">IF(OR(AND($B$9="superior",D2386&gt;$B$10),AND($B$9="inferior",D2386&lt;-$B$10)),"Rechazar H0","No rechazar H0")</f>
        <v>No rechazar H0</v>
      </c>
      <c r="F2386" s="0" t="str">
        <f aca="false">IF(AND(B2386="H0 verdadera",E2386="Rechazar H0"),"Error tipo I",IF(AND(B2386="Ha verdadera",E2386="No rechazar H0"),"Error tipo II","Decisión correcta"))</f>
        <v>Decisión correcta</v>
      </c>
    </row>
    <row r="2387" customFormat="false" ht="15" hidden="false" customHeight="false" outlineLevel="0" collapsed="false">
      <c r="A2387" s="0" t="n">
        <v>2366</v>
      </c>
      <c r="B2387" s="0" t="s">
        <v>86</v>
      </c>
      <c r="C2387" s="17" t="n">
        <v>-0.396048795980222</v>
      </c>
      <c r="D2387" s="17" t="n">
        <f aca="false">(C2387-$B$4)/($B$6/SQRT($B$7))</f>
        <v>-1.98024397990111</v>
      </c>
      <c r="E2387" s="0" t="str">
        <f aca="false">IF(OR(AND($B$9="superior",D2387&gt;$B$10),AND($B$9="inferior",D2387&lt;-$B$10)),"Rechazar H0","No rechazar H0")</f>
        <v>Rechazar H0</v>
      </c>
      <c r="F2387" s="0" t="str">
        <f aca="false">IF(AND(B2387="H0 verdadera",E2387="Rechazar H0"),"Error tipo I",IF(AND(B2387="Ha verdadera",E2387="No rechazar H0"),"Error tipo II","Decisión correcta"))</f>
        <v>Decisión correcta</v>
      </c>
    </row>
    <row r="2388" customFormat="false" ht="15" hidden="false" customHeight="false" outlineLevel="0" collapsed="false">
      <c r="A2388" s="0" t="n">
        <v>2367</v>
      </c>
      <c r="B2388" s="0" t="s">
        <v>85</v>
      </c>
      <c r="C2388" s="17" t="n">
        <v>-0.0768278837207682</v>
      </c>
      <c r="D2388" s="17" t="n">
        <f aca="false">(C2388-$B$4)/($B$6/SQRT($B$7))</f>
        <v>-0.384139418603841</v>
      </c>
      <c r="E2388" s="0" t="str">
        <f aca="false">IF(OR(AND($B$9="superior",D2388&gt;$B$10),AND($B$9="inferior",D2388&lt;-$B$10)),"Rechazar H0","No rechazar H0")</f>
        <v>No rechazar H0</v>
      </c>
      <c r="F2388" s="0" t="str">
        <f aca="false">IF(AND(B2388="H0 verdadera",E2388="Rechazar H0"),"Error tipo I",IF(AND(B2388="Ha verdadera",E2388="No rechazar H0"),"Error tipo II","Decisión correcta"))</f>
        <v>Decisión correcta</v>
      </c>
    </row>
    <row r="2389" customFormat="false" ht="15" hidden="false" customHeight="false" outlineLevel="0" collapsed="false">
      <c r="A2389" s="0" t="n">
        <v>2368</v>
      </c>
      <c r="B2389" s="0" t="s">
        <v>85</v>
      </c>
      <c r="C2389" s="17" t="n">
        <v>0.249784391444376</v>
      </c>
      <c r="D2389" s="17" t="n">
        <f aca="false">(C2389-$B$4)/($B$6/SQRT($B$7))</f>
        <v>1.24892195722188</v>
      </c>
      <c r="E2389" s="0" t="str">
        <f aca="false">IF(OR(AND($B$9="superior",D2389&gt;$B$10),AND($B$9="inferior",D2389&lt;-$B$10)),"Rechazar H0","No rechazar H0")</f>
        <v>No rechazar H0</v>
      </c>
      <c r="F2389" s="0" t="str">
        <f aca="false">IF(AND(B2389="H0 verdadera",E2389="Rechazar H0"),"Error tipo I",IF(AND(B2389="Ha verdadera",E2389="No rechazar H0"),"Error tipo II","Decisión correcta"))</f>
        <v>Decisión correcta</v>
      </c>
    </row>
    <row r="2390" customFormat="false" ht="15" hidden="false" customHeight="false" outlineLevel="0" collapsed="false">
      <c r="A2390" s="0" t="n">
        <v>2369</v>
      </c>
      <c r="B2390" s="0" t="s">
        <v>86</v>
      </c>
      <c r="C2390" s="17" t="n">
        <v>-0.717559767529494</v>
      </c>
      <c r="D2390" s="17" t="n">
        <f aca="false">(C2390-$B$4)/($B$6/SQRT($B$7))</f>
        <v>-3.58779883764747</v>
      </c>
      <c r="E2390" s="0" t="str">
        <f aca="false">IF(OR(AND($B$9="superior",D2390&gt;$B$10),AND($B$9="inferior",D2390&lt;-$B$10)),"Rechazar H0","No rechazar H0")</f>
        <v>Rechazar H0</v>
      </c>
      <c r="F2390" s="0" t="str">
        <f aca="false">IF(AND(B2390="H0 verdadera",E2390="Rechazar H0"),"Error tipo I",IF(AND(B2390="Ha verdadera",E2390="No rechazar H0"),"Error tipo II","Decisión correcta"))</f>
        <v>Decisión correcta</v>
      </c>
    </row>
    <row r="2391" customFormat="false" ht="15" hidden="false" customHeight="false" outlineLevel="0" collapsed="false">
      <c r="A2391" s="0" t="n">
        <v>2370</v>
      </c>
      <c r="B2391" s="0" t="s">
        <v>85</v>
      </c>
      <c r="C2391" s="17" t="n">
        <v>0.259779371459048</v>
      </c>
      <c r="D2391" s="17" t="n">
        <f aca="false">(C2391-$B$4)/($B$6/SQRT($B$7))</f>
        <v>1.29889685729524</v>
      </c>
      <c r="E2391" s="0" t="str">
        <f aca="false">IF(OR(AND($B$9="superior",D2391&gt;$B$10),AND($B$9="inferior",D2391&lt;-$B$10)),"Rechazar H0","No rechazar H0")</f>
        <v>No rechazar H0</v>
      </c>
      <c r="F2391" s="0" t="str">
        <f aca="false">IF(AND(B2391="H0 verdadera",E2391="Rechazar H0"),"Error tipo I",IF(AND(B2391="Ha verdadera",E2391="No rechazar H0"),"Error tipo II","Decisión correcta"))</f>
        <v>Decisión correcta</v>
      </c>
    </row>
    <row r="2392" customFormat="false" ht="15" hidden="false" customHeight="false" outlineLevel="0" collapsed="false">
      <c r="A2392" s="0" t="n">
        <v>2371</v>
      </c>
      <c r="B2392" s="0" t="s">
        <v>86</v>
      </c>
      <c r="C2392" s="17" t="n">
        <v>-0.505231811330765</v>
      </c>
      <c r="D2392" s="17" t="n">
        <f aca="false">(C2392-$B$4)/($B$6/SQRT($B$7))</f>
        <v>-2.52615905665383</v>
      </c>
      <c r="E2392" s="0" t="str">
        <f aca="false">IF(OR(AND($B$9="superior",D2392&gt;$B$10),AND($B$9="inferior",D2392&lt;-$B$10)),"Rechazar H0","No rechazar H0")</f>
        <v>Rechazar H0</v>
      </c>
      <c r="F2392" s="0" t="str">
        <f aca="false">IF(AND(B2392="H0 verdadera",E2392="Rechazar H0"),"Error tipo I",IF(AND(B2392="Ha verdadera",E2392="No rechazar H0"),"Error tipo II","Decisión correcta"))</f>
        <v>Decisión correcta</v>
      </c>
    </row>
    <row r="2393" customFormat="false" ht="15" hidden="false" customHeight="false" outlineLevel="0" collapsed="false">
      <c r="A2393" s="0" t="n">
        <v>2372</v>
      </c>
      <c r="B2393" s="0" t="s">
        <v>85</v>
      </c>
      <c r="C2393" s="17" t="n">
        <v>0.0482069910663433</v>
      </c>
      <c r="D2393" s="17" t="n">
        <f aca="false">(C2393-$B$4)/($B$6/SQRT($B$7))</f>
        <v>0.241034955331717</v>
      </c>
      <c r="E2393" s="0" t="str">
        <f aca="false">IF(OR(AND($B$9="superior",D2393&gt;$B$10),AND($B$9="inferior",D2393&lt;-$B$10)),"Rechazar H0","No rechazar H0")</f>
        <v>No rechazar H0</v>
      </c>
      <c r="F2393" s="0" t="str">
        <f aca="false">IF(AND(B2393="H0 verdadera",E2393="Rechazar H0"),"Error tipo I",IF(AND(B2393="Ha verdadera",E2393="No rechazar H0"),"Error tipo II","Decisión correcta"))</f>
        <v>Decisión correcta</v>
      </c>
    </row>
    <row r="2394" customFormat="false" ht="15" hidden="false" customHeight="false" outlineLevel="0" collapsed="false">
      <c r="A2394" s="0" t="n">
        <v>2373</v>
      </c>
      <c r="B2394" s="0" t="s">
        <v>85</v>
      </c>
      <c r="C2394" s="17" t="n">
        <v>-0.247076838159129</v>
      </c>
      <c r="D2394" s="17" t="n">
        <f aca="false">(C2394-$B$4)/($B$6/SQRT($B$7))</f>
        <v>-1.23538419079564</v>
      </c>
      <c r="E2394" s="0" t="str">
        <f aca="false">IF(OR(AND($B$9="superior",D2394&gt;$B$10),AND($B$9="inferior",D2394&lt;-$B$10)),"Rechazar H0","No rechazar H0")</f>
        <v>No rechazar H0</v>
      </c>
      <c r="F2394" s="0" t="str">
        <f aca="false">IF(AND(B2394="H0 verdadera",E2394="Rechazar H0"),"Error tipo I",IF(AND(B2394="Ha verdadera",E2394="No rechazar H0"),"Error tipo II","Decisión correcta"))</f>
        <v>Decisión correcta</v>
      </c>
    </row>
    <row r="2395" customFormat="false" ht="15" hidden="false" customHeight="false" outlineLevel="0" collapsed="false">
      <c r="A2395" s="0" t="n">
        <v>2374</v>
      </c>
      <c r="B2395" s="0" t="s">
        <v>86</v>
      </c>
      <c r="C2395" s="17" t="n">
        <v>-0.602133936902781</v>
      </c>
      <c r="D2395" s="17" t="n">
        <f aca="false">(C2395-$B$4)/($B$6/SQRT($B$7))</f>
        <v>-3.0106696845139</v>
      </c>
      <c r="E2395" s="0" t="str">
        <f aca="false">IF(OR(AND($B$9="superior",D2395&gt;$B$10),AND($B$9="inferior",D2395&lt;-$B$10)),"Rechazar H0","No rechazar H0")</f>
        <v>Rechazar H0</v>
      </c>
      <c r="F2395" s="0" t="str">
        <f aca="false">IF(AND(B2395="H0 verdadera",E2395="Rechazar H0"),"Error tipo I",IF(AND(B2395="Ha verdadera",E2395="No rechazar H0"),"Error tipo II","Decisión correcta"))</f>
        <v>Decisión correcta</v>
      </c>
    </row>
    <row r="2396" customFormat="false" ht="15" hidden="false" customHeight="false" outlineLevel="0" collapsed="false">
      <c r="A2396" s="0" t="n">
        <v>2375</v>
      </c>
      <c r="B2396" s="0" t="s">
        <v>86</v>
      </c>
      <c r="C2396" s="17" t="n">
        <v>-0.162866885619483</v>
      </c>
      <c r="D2396" s="17" t="n">
        <f aca="false">(C2396-$B$4)/($B$6/SQRT($B$7))</f>
        <v>-0.814334428097415</v>
      </c>
      <c r="E2396" s="0" t="str">
        <f aca="false">IF(OR(AND($B$9="superior",D2396&gt;$B$10),AND($B$9="inferior",D2396&lt;-$B$10)),"Rechazar H0","No rechazar H0")</f>
        <v>No rechazar H0</v>
      </c>
      <c r="F2396" s="0" t="str">
        <f aca="false">IF(AND(B2396="H0 verdadera",E2396="Rechazar H0"),"Error tipo I",IF(AND(B2396="Ha verdadera",E2396="No rechazar H0"),"Error tipo II","Decisión correcta"))</f>
        <v>Error tipo II</v>
      </c>
    </row>
    <row r="2397" customFormat="false" ht="15" hidden="false" customHeight="false" outlineLevel="0" collapsed="false">
      <c r="A2397" s="0" t="n">
        <v>2376</v>
      </c>
      <c r="B2397" s="0" t="s">
        <v>85</v>
      </c>
      <c r="C2397" s="17" t="n">
        <v>0.387983047331049</v>
      </c>
      <c r="D2397" s="17" t="n">
        <f aca="false">(C2397-$B$4)/($B$6/SQRT($B$7))</f>
        <v>1.93991523665524</v>
      </c>
      <c r="E2397" s="0" t="str">
        <f aca="false">IF(OR(AND($B$9="superior",D2397&gt;$B$10),AND($B$9="inferior",D2397&lt;-$B$10)),"Rechazar H0","No rechazar H0")</f>
        <v>No rechazar H0</v>
      </c>
      <c r="F2397" s="0" t="str">
        <f aca="false">IF(AND(B2397="H0 verdadera",E2397="Rechazar H0"),"Error tipo I",IF(AND(B2397="Ha verdadera",E2397="No rechazar H0"),"Error tipo II","Decisión correcta"))</f>
        <v>Decisión correcta</v>
      </c>
    </row>
    <row r="2398" customFormat="false" ht="15" hidden="false" customHeight="false" outlineLevel="0" collapsed="false">
      <c r="A2398" s="0" t="n">
        <v>2377</v>
      </c>
      <c r="B2398" s="0" t="s">
        <v>85</v>
      </c>
      <c r="C2398" s="17" t="n">
        <v>-0.054202703965639</v>
      </c>
      <c r="D2398" s="17" t="n">
        <f aca="false">(C2398-$B$4)/($B$6/SQRT($B$7))</f>
        <v>-0.271013519828195</v>
      </c>
      <c r="E2398" s="0" t="str">
        <f aca="false">IF(OR(AND($B$9="superior",D2398&gt;$B$10),AND($B$9="inferior",D2398&lt;-$B$10)),"Rechazar H0","No rechazar H0")</f>
        <v>No rechazar H0</v>
      </c>
      <c r="F2398" s="0" t="str">
        <f aca="false">IF(AND(B2398="H0 verdadera",E2398="Rechazar H0"),"Error tipo I",IF(AND(B2398="Ha verdadera",E2398="No rechazar H0"),"Error tipo II","Decisión correcta"))</f>
        <v>Decisión correcta</v>
      </c>
    </row>
    <row r="2399" customFormat="false" ht="15" hidden="false" customHeight="false" outlineLevel="0" collapsed="false">
      <c r="A2399" s="0" t="n">
        <v>2378</v>
      </c>
      <c r="B2399" s="0" t="s">
        <v>86</v>
      </c>
      <c r="C2399" s="17" t="n">
        <v>-0.292429973682579</v>
      </c>
      <c r="D2399" s="17" t="n">
        <f aca="false">(C2399-$B$4)/($B$6/SQRT($B$7))</f>
        <v>-1.46214986841289</v>
      </c>
      <c r="E2399" s="0" t="str">
        <f aca="false">IF(OR(AND($B$9="superior",D2399&gt;$B$10),AND($B$9="inferior",D2399&lt;-$B$10)),"Rechazar H0","No rechazar H0")</f>
        <v>No rechazar H0</v>
      </c>
      <c r="F2399" s="0" t="str">
        <f aca="false">IF(AND(B2399="H0 verdadera",E2399="Rechazar H0"),"Error tipo I",IF(AND(B2399="Ha verdadera",E2399="No rechazar H0"),"Error tipo II","Decisión correcta"))</f>
        <v>Error tipo II</v>
      </c>
    </row>
    <row r="2400" customFormat="false" ht="15" hidden="false" customHeight="false" outlineLevel="0" collapsed="false">
      <c r="A2400" s="0" t="n">
        <v>2379</v>
      </c>
      <c r="B2400" s="0" t="s">
        <v>85</v>
      </c>
      <c r="C2400" s="17" t="n">
        <v>-0.267692109579664</v>
      </c>
      <c r="D2400" s="17" t="n">
        <f aca="false">(C2400-$B$4)/($B$6/SQRT($B$7))</f>
        <v>-1.33846054789832</v>
      </c>
      <c r="E2400" s="0" t="str">
        <f aca="false">IF(OR(AND($B$9="superior",D2400&gt;$B$10),AND($B$9="inferior",D2400&lt;-$B$10)),"Rechazar H0","No rechazar H0")</f>
        <v>No rechazar H0</v>
      </c>
      <c r="F2400" s="0" t="str">
        <f aca="false">IF(AND(B2400="H0 verdadera",E2400="Rechazar H0"),"Error tipo I",IF(AND(B2400="Ha verdadera",E2400="No rechazar H0"),"Error tipo II","Decisión correcta"))</f>
        <v>Decisión correcta</v>
      </c>
    </row>
    <row r="2401" customFormat="false" ht="15" hidden="false" customHeight="false" outlineLevel="0" collapsed="false">
      <c r="A2401" s="0" t="n">
        <v>2380</v>
      </c>
      <c r="B2401" s="0" t="s">
        <v>86</v>
      </c>
      <c r="C2401" s="17" t="n">
        <v>-0.199740280559362</v>
      </c>
      <c r="D2401" s="17" t="n">
        <f aca="false">(C2401-$B$4)/($B$6/SQRT($B$7))</f>
        <v>-0.998701402796811</v>
      </c>
      <c r="E2401" s="0" t="str">
        <f aca="false">IF(OR(AND($B$9="superior",D2401&gt;$B$10),AND($B$9="inferior",D2401&lt;-$B$10)),"Rechazar H0","No rechazar H0")</f>
        <v>No rechazar H0</v>
      </c>
      <c r="F2401" s="0" t="str">
        <f aca="false">IF(AND(B2401="H0 verdadera",E2401="Rechazar H0"),"Error tipo I",IF(AND(B2401="Ha verdadera",E2401="No rechazar H0"),"Error tipo II","Decisión correcta"))</f>
        <v>Error tipo II</v>
      </c>
    </row>
    <row r="2402" customFormat="false" ht="15" hidden="false" customHeight="false" outlineLevel="0" collapsed="false">
      <c r="A2402" s="0" t="n">
        <v>2381</v>
      </c>
      <c r="B2402" s="0" t="s">
        <v>86</v>
      </c>
      <c r="C2402" s="17" t="n">
        <v>-0.289944381880767</v>
      </c>
      <c r="D2402" s="17" t="n">
        <f aca="false">(C2402-$B$4)/($B$6/SQRT($B$7))</f>
        <v>-1.44972190940383</v>
      </c>
      <c r="E2402" s="0" t="str">
        <f aca="false">IF(OR(AND($B$9="superior",D2402&gt;$B$10),AND($B$9="inferior",D2402&lt;-$B$10)),"Rechazar H0","No rechazar H0")</f>
        <v>No rechazar H0</v>
      </c>
      <c r="F2402" s="0" t="str">
        <f aca="false">IF(AND(B2402="H0 verdadera",E2402="Rechazar H0"),"Error tipo I",IF(AND(B2402="Ha verdadera",E2402="No rechazar H0"),"Error tipo II","Decisión correcta"))</f>
        <v>Error tipo II</v>
      </c>
    </row>
    <row r="2403" customFormat="false" ht="15" hidden="false" customHeight="false" outlineLevel="0" collapsed="false">
      <c r="A2403" s="0" t="n">
        <v>2382</v>
      </c>
      <c r="B2403" s="0" t="s">
        <v>86</v>
      </c>
      <c r="C2403" s="17" t="n">
        <v>-0.615113724019409</v>
      </c>
      <c r="D2403" s="17" t="n">
        <f aca="false">(C2403-$B$4)/($B$6/SQRT($B$7))</f>
        <v>-3.07556862009705</v>
      </c>
      <c r="E2403" s="0" t="str">
        <f aca="false">IF(OR(AND($B$9="superior",D2403&gt;$B$10),AND($B$9="inferior",D2403&lt;-$B$10)),"Rechazar H0","No rechazar H0")</f>
        <v>Rechazar H0</v>
      </c>
      <c r="F2403" s="0" t="str">
        <f aca="false">IF(AND(B2403="H0 verdadera",E2403="Rechazar H0"),"Error tipo I",IF(AND(B2403="Ha verdadera",E2403="No rechazar H0"),"Error tipo II","Decisión correcta"))</f>
        <v>Decisión correcta</v>
      </c>
    </row>
    <row r="2404" customFormat="false" ht="15" hidden="false" customHeight="false" outlineLevel="0" collapsed="false">
      <c r="A2404" s="0" t="n">
        <v>2383</v>
      </c>
      <c r="B2404" s="0" t="s">
        <v>86</v>
      </c>
      <c r="C2404" s="17" t="n">
        <v>-0.144144177575169</v>
      </c>
      <c r="D2404" s="17" t="n">
        <f aca="false">(C2404-$B$4)/($B$6/SQRT($B$7))</f>
        <v>-0.720720887875844</v>
      </c>
      <c r="E2404" s="0" t="str">
        <f aca="false">IF(OR(AND($B$9="superior",D2404&gt;$B$10),AND($B$9="inferior",D2404&lt;-$B$10)),"Rechazar H0","No rechazar H0")</f>
        <v>No rechazar H0</v>
      </c>
      <c r="F2404" s="0" t="str">
        <f aca="false">IF(AND(B2404="H0 verdadera",E2404="Rechazar H0"),"Error tipo I",IF(AND(B2404="Ha verdadera",E2404="No rechazar H0"),"Error tipo II","Decisión correcta"))</f>
        <v>Error tipo II</v>
      </c>
    </row>
    <row r="2405" customFormat="false" ht="15" hidden="false" customHeight="false" outlineLevel="0" collapsed="false">
      <c r="A2405" s="0" t="n">
        <v>2384</v>
      </c>
      <c r="B2405" s="0" t="s">
        <v>86</v>
      </c>
      <c r="C2405" s="17" t="n">
        <v>-0.546310031916677</v>
      </c>
      <c r="D2405" s="17" t="n">
        <f aca="false">(C2405-$B$4)/($B$6/SQRT($B$7))</f>
        <v>-2.73155015958339</v>
      </c>
      <c r="E2405" s="0" t="str">
        <f aca="false">IF(OR(AND($B$9="superior",D2405&gt;$B$10),AND($B$9="inferior",D2405&lt;-$B$10)),"Rechazar H0","No rechazar H0")</f>
        <v>Rechazar H0</v>
      </c>
      <c r="F2405" s="0" t="str">
        <f aca="false">IF(AND(B2405="H0 verdadera",E2405="Rechazar H0"),"Error tipo I",IF(AND(B2405="Ha verdadera",E2405="No rechazar H0"),"Error tipo II","Decisión correcta"))</f>
        <v>Decisión correcta</v>
      </c>
    </row>
    <row r="2406" customFormat="false" ht="15" hidden="false" customHeight="false" outlineLevel="0" collapsed="false">
      <c r="A2406" s="0" t="n">
        <v>2385</v>
      </c>
      <c r="B2406" s="0" t="s">
        <v>85</v>
      </c>
      <c r="C2406" s="17" t="n">
        <v>-0.0139589953761264</v>
      </c>
      <c r="D2406" s="17" t="n">
        <f aca="false">(C2406-$B$4)/($B$6/SQRT($B$7))</f>
        <v>-0.069794976880632</v>
      </c>
      <c r="E2406" s="0" t="str">
        <f aca="false">IF(OR(AND($B$9="superior",D2406&gt;$B$10),AND($B$9="inferior",D2406&lt;-$B$10)),"Rechazar H0","No rechazar H0")</f>
        <v>No rechazar H0</v>
      </c>
      <c r="F2406" s="0" t="str">
        <f aca="false">IF(AND(B2406="H0 verdadera",E2406="Rechazar H0"),"Error tipo I",IF(AND(B2406="Ha verdadera",E2406="No rechazar H0"),"Error tipo II","Decisión correcta"))</f>
        <v>Decisión correcta</v>
      </c>
    </row>
    <row r="2407" customFormat="false" ht="15" hidden="false" customHeight="false" outlineLevel="0" collapsed="false">
      <c r="A2407" s="0" t="n">
        <v>2386</v>
      </c>
      <c r="B2407" s="0" t="s">
        <v>86</v>
      </c>
      <c r="C2407" s="17" t="n">
        <v>-0.24260965062372</v>
      </c>
      <c r="D2407" s="17" t="n">
        <f aca="false">(C2407-$B$4)/($B$6/SQRT($B$7))</f>
        <v>-1.2130482531186</v>
      </c>
      <c r="E2407" s="0" t="str">
        <f aca="false">IF(OR(AND($B$9="superior",D2407&gt;$B$10),AND($B$9="inferior",D2407&lt;-$B$10)),"Rechazar H0","No rechazar H0")</f>
        <v>No rechazar H0</v>
      </c>
      <c r="F2407" s="0" t="str">
        <f aca="false">IF(AND(B2407="H0 verdadera",E2407="Rechazar H0"),"Error tipo I",IF(AND(B2407="Ha verdadera",E2407="No rechazar H0"),"Error tipo II","Decisión correcta"))</f>
        <v>Error tipo II</v>
      </c>
    </row>
    <row r="2408" customFormat="false" ht="15" hidden="false" customHeight="false" outlineLevel="0" collapsed="false">
      <c r="A2408" s="0" t="n">
        <v>2387</v>
      </c>
      <c r="B2408" s="0" t="s">
        <v>85</v>
      </c>
      <c r="C2408" s="17" t="n">
        <v>-0.400386611448706</v>
      </c>
      <c r="D2408" s="17" t="n">
        <f aca="false">(C2408-$B$4)/($B$6/SQRT($B$7))</f>
        <v>-2.00193305724353</v>
      </c>
      <c r="E2408" s="0" t="str">
        <f aca="false">IF(OR(AND($B$9="superior",D2408&gt;$B$10),AND($B$9="inferior",D2408&lt;-$B$10)),"Rechazar H0","No rechazar H0")</f>
        <v>Rechazar H0</v>
      </c>
      <c r="F2408" s="0" t="str">
        <f aca="false">IF(AND(B2408="H0 verdadera",E2408="Rechazar H0"),"Error tipo I",IF(AND(B2408="Ha verdadera",E2408="No rechazar H0"),"Error tipo II","Decisión correcta"))</f>
        <v>Error tipo I</v>
      </c>
    </row>
    <row r="2409" customFormat="false" ht="15" hidden="false" customHeight="false" outlineLevel="0" collapsed="false">
      <c r="A2409" s="0" t="n">
        <v>2388</v>
      </c>
      <c r="B2409" s="0" t="s">
        <v>85</v>
      </c>
      <c r="C2409" s="17" t="n">
        <v>0.0596770495370273</v>
      </c>
      <c r="D2409" s="17" t="n">
        <f aca="false">(C2409-$B$4)/($B$6/SQRT($B$7))</f>
        <v>0.298385247685137</v>
      </c>
      <c r="E2409" s="0" t="str">
        <f aca="false">IF(OR(AND($B$9="superior",D2409&gt;$B$10),AND($B$9="inferior",D2409&lt;-$B$10)),"Rechazar H0","No rechazar H0")</f>
        <v>No rechazar H0</v>
      </c>
      <c r="F2409" s="0" t="str">
        <f aca="false">IF(AND(B2409="H0 verdadera",E2409="Rechazar H0"),"Error tipo I",IF(AND(B2409="Ha verdadera",E2409="No rechazar H0"),"Error tipo II","Decisión correcta"))</f>
        <v>Decisión correcta</v>
      </c>
    </row>
    <row r="2410" customFormat="false" ht="15" hidden="false" customHeight="false" outlineLevel="0" collapsed="false">
      <c r="A2410" s="0" t="n">
        <v>2389</v>
      </c>
      <c r="B2410" s="0" t="s">
        <v>86</v>
      </c>
      <c r="C2410" s="17" t="n">
        <v>-0.970665996378694</v>
      </c>
      <c r="D2410" s="17" t="n">
        <f aca="false">(C2410-$B$4)/($B$6/SQRT($B$7))</f>
        <v>-4.85332998189347</v>
      </c>
      <c r="E2410" s="0" t="str">
        <f aca="false">IF(OR(AND($B$9="superior",D2410&gt;$B$10),AND($B$9="inferior",D2410&lt;-$B$10)),"Rechazar H0","No rechazar H0")</f>
        <v>Rechazar H0</v>
      </c>
      <c r="F2410" s="0" t="str">
        <f aca="false">IF(AND(B2410="H0 verdadera",E2410="Rechazar H0"),"Error tipo I",IF(AND(B2410="Ha verdadera",E2410="No rechazar H0"),"Error tipo II","Decisión correcta"))</f>
        <v>Decisión correcta</v>
      </c>
    </row>
    <row r="2411" customFormat="false" ht="15" hidden="false" customHeight="false" outlineLevel="0" collapsed="false">
      <c r="A2411" s="0" t="n">
        <v>2390</v>
      </c>
      <c r="B2411" s="0" t="s">
        <v>85</v>
      </c>
      <c r="C2411" s="17" t="n">
        <v>-0.0309660407707934</v>
      </c>
      <c r="D2411" s="17" t="n">
        <f aca="false">(C2411-$B$4)/($B$6/SQRT($B$7))</f>
        <v>-0.154830203853967</v>
      </c>
      <c r="E2411" s="0" t="str">
        <f aca="false">IF(OR(AND($B$9="superior",D2411&gt;$B$10),AND($B$9="inferior",D2411&lt;-$B$10)),"Rechazar H0","No rechazar H0")</f>
        <v>No rechazar H0</v>
      </c>
      <c r="F2411" s="0" t="str">
        <f aca="false">IF(AND(B2411="H0 verdadera",E2411="Rechazar H0"),"Error tipo I",IF(AND(B2411="Ha verdadera",E2411="No rechazar H0"),"Error tipo II","Decisión correcta"))</f>
        <v>Decisión correcta</v>
      </c>
    </row>
    <row r="2412" customFormat="false" ht="15" hidden="false" customHeight="false" outlineLevel="0" collapsed="false">
      <c r="A2412" s="0" t="n">
        <v>2391</v>
      </c>
      <c r="B2412" s="0" t="s">
        <v>86</v>
      </c>
      <c r="C2412" s="17" t="n">
        <v>-0.152881438857671</v>
      </c>
      <c r="D2412" s="17" t="n">
        <f aca="false">(C2412-$B$4)/($B$6/SQRT($B$7))</f>
        <v>-0.764407194288355</v>
      </c>
      <c r="E2412" s="0" t="str">
        <f aca="false">IF(OR(AND($B$9="superior",D2412&gt;$B$10),AND($B$9="inferior",D2412&lt;-$B$10)),"Rechazar H0","No rechazar H0")</f>
        <v>No rechazar H0</v>
      </c>
      <c r="F2412" s="0" t="str">
        <f aca="false">IF(AND(B2412="H0 verdadera",E2412="Rechazar H0"),"Error tipo I",IF(AND(B2412="Ha verdadera",E2412="No rechazar H0"),"Error tipo II","Decisión correcta"))</f>
        <v>Error tipo II</v>
      </c>
    </row>
    <row r="2413" customFormat="false" ht="15" hidden="false" customHeight="false" outlineLevel="0" collapsed="false">
      <c r="A2413" s="0" t="n">
        <v>2392</v>
      </c>
      <c r="B2413" s="0" t="s">
        <v>86</v>
      </c>
      <c r="C2413" s="17" t="n">
        <v>-0.280793265740189</v>
      </c>
      <c r="D2413" s="17" t="n">
        <f aca="false">(C2413-$B$4)/($B$6/SQRT($B$7))</f>
        <v>-1.40396632870094</v>
      </c>
      <c r="E2413" s="0" t="str">
        <f aca="false">IF(OR(AND($B$9="superior",D2413&gt;$B$10),AND($B$9="inferior",D2413&lt;-$B$10)),"Rechazar H0","No rechazar H0")</f>
        <v>No rechazar H0</v>
      </c>
      <c r="F2413" s="0" t="str">
        <f aca="false">IF(AND(B2413="H0 verdadera",E2413="Rechazar H0"),"Error tipo I",IF(AND(B2413="Ha verdadera",E2413="No rechazar H0"),"Error tipo II","Decisión correcta"))</f>
        <v>Error tipo II</v>
      </c>
    </row>
    <row r="2414" customFormat="false" ht="15" hidden="false" customHeight="false" outlineLevel="0" collapsed="false">
      <c r="A2414" s="0" t="n">
        <v>2393</v>
      </c>
      <c r="B2414" s="0" t="s">
        <v>86</v>
      </c>
      <c r="C2414" s="17" t="n">
        <v>-0.711632576073158</v>
      </c>
      <c r="D2414" s="17" t="n">
        <f aca="false">(C2414-$B$4)/($B$6/SQRT($B$7))</f>
        <v>-3.55816288036579</v>
      </c>
      <c r="E2414" s="0" t="str">
        <f aca="false">IF(OR(AND($B$9="superior",D2414&gt;$B$10),AND($B$9="inferior",D2414&lt;-$B$10)),"Rechazar H0","No rechazar H0")</f>
        <v>Rechazar H0</v>
      </c>
      <c r="F2414" s="0" t="str">
        <f aca="false">IF(AND(B2414="H0 verdadera",E2414="Rechazar H0"),"Error tipo I",IF(AND(B2414="Ha verdadera",E2414="No rechazar H0"),"Error tipo II","Decisión correcta"))</f>
        <v>Decisión correcta</v>
      </c>
    </row>
    <row r="2415" customFormat="false" ht="15" hidden="false" customHeight="false" outlineLevel="0" collapsed="false">
      <c r="A2415" s="0" t="n">
        <v>2394</v>
      </c>
      <c r="B2415" s="0" t="s">
        <v>85</v>
      </c>
      <c r="C2415" s="17" t="n">
        <v>0.212605885138662</v>
      </c>
      <c r="D2415" s="17" t="n">
        <f aca="false">(C2415-$B$4)/($B$6/SQRT($B$7))</f>
        <v>1.06302942569331</v>
      </c>
      <c r="E2415" s="0" t="str">
        <f aca="false">IF(OR(AND($B$9="superior",D2415&gt;$B$10),AND($B$9="inferior",D2415&lt;-$B$10)),"Rechazar H0","No rechazar H0")</f>
        <v>No rechazar H0</v>
      </c>
      <c r="F2415" s="0" t="str">
        <f aca="false">IF(AND(B2415="H0 verdadera",E2415="Rechazar H0"),"Error tipo I",IF(AND(B2415="Ha verdadera",E2415="No rechazar H0"),"Error tipo II","Decisión correcta"))</f>
        <v>Decisión correcta</v>
      </c>
    </row>
    <row r="2416" customFormat="false" ht="15" hidden="false" customHeight="false" outlineLevel="0" collapsed="false">
      <c r="A2416" s="0" t="n">
        <v>2395</v>
      </c>
      <c r="B2416" s="0" t="s">
        <v>86</v>
      </c>
      <c r="C2416" s="17" t="n">
        <v>-0.245366969531595</v>
      </c>
      <c r="D2416" s="17" t="n">
        <f aca="false">(C2416-$B$4)/($B$6/SQRT($B$7))</f>
        <v>-1.22683484765798</v>
      </c>
      <c r="E2416" s="0" t="str">
        <f aca="false">IF(OR(AND($B$9="superior",D2416&gt;$B$10),AND($B$9="inferior",D2416&lt;-$B$10)),"Rechazar H0","No rechazar H0")</f>
        <v>No rechazar H0</v>
      </c>
      <c r="F2416" s="0" t="str">
        <f aca="false">IF(AND(B2416="H0 verdadera",E2416="Rechazar H0"),"Error tipo I",IF(AND(B2416="Ha verdadera",E2416="No rechazar H0"),"Error tipo II","Decisión correcta"))</f>
        <v>Error tipo II</v>
      </c>
    </row>
    <row r="2417" customFormat="false" ht="15" hidden="false" customHeight="false" outlineLevel="0" collapsed="false">
      <c r="A2417" s="0" t="n">
        <v>2396</v>
      </c>
      <c r="B2417" s="0" t="s">
        <v>85</v>
      </c>
      <c r="C2417" s="17" t="n">
        <v>0.00531544811023272</v>
      </c>
      <c r="D2417" s="17" t="n">
        <f aca="false">(C2417-$B$4)/($B$6/SQRT($B$7))</f>
        <v>0.0265772405511636</v>
      </c>
      <c r="E2417" s="0" t="str">
        <f aca="false">IF(OR(AND($B$9="superior",D2417&gt;$B$10),AND($B$9="inferior",D2417&lt;-$B$10)),"Rechazar H0","No rechazar H0")</f>
        <v>No rechazar H0</v>
      </c>
      <c r="F2417" s="0" t="str">
        <f aca="false">IF(AND(B2417="H0 verdadera",E2417="Rechazar H0"),"Error tipo I",IF(AND(B2417="Ha verdadera",E2417="No rechazar H0"),"Error tipo II","Decisión correcta"))</f>
        <v>Decisión correcta</v>
      </c>
    </row>
    <row r="2418" customFormat="false" ht="15" hidden="false" customHeight="false" outlineLevel="0" collapsed="false">
      <c r="A2418" s="0" t="n">
        <v>2397</v>
      </c>
      <c r="B2418" s="0" t="s">
        <v>85</v>
      </c>
      <c r="C2418" s="17" t="n">
        <v>0.129265582585154</v>
      </c>
      <c r="D2418" s="17" t="n">
        <f aca="false">(C2418-$B$4)/($B$6/SQRT($B$7))</f>
        <v>0.646327912925771</v>
      </c>
      <c r="E2418" s="0" t="str">
        <f aca="false">IF(OR(AND($B$9="superior",D2418&gt;$B$10),AND($B$9="inferior",D2418&lt;-$B$10)),"Rechazar H0","No rechazar H0")</f>
        <v>No rechazar H0</v>
      </c>
      <c r="F2418" s="0" t="str">
        <f aca="false">IF(AND(B2418="H0 verdadera",E2418="Rechazar H0"),"Error tipo I",IF(AND(B2418="Ha verdadera",E2418="No rechazar H0"),"Error tipo II","Decisión correcta"))</f>
        <v>Decisión correcta</v>
      </c>
    </row>
    <row r="2419" customFormat="false" ht="15" hidden="false" customHeight="false" outlineLevel="0" collapsed="false">
      <c r="A2419" s="0" t="n">
        <v>2398</v>
      </c>
      <c r="B2419" s="0" t="s">
        <v>86</v>
      </c>
      <c r="C2419" s="17" t="n">
        <v>-0.305643621703898</v>
      </c>
      <c r="D2419" s="17" t="n">
        <f aca="false">(C2419-$B$4)/($B$6/SQRT($B$7))</f>
        <v>-1.52821810851949</v>
      </c>
      <c r="E2419" s="0" t="str">
        <f aca="false">IF(OR(AND($B$9="superior",D2419&gt;$B$10),AND($B$9="inferior",D2419&lt;-$B$10)),"Rechazar H0","No rechazar H0")</f>
        <v>No rechazar H0</v>
      </c>
      <c r="F2419" s="0" t="str">
        <f aca="false">IF(AND(B2419="H0 verdadera",E2419="Rechazar H0"),"Error tipo I",IF(AND(B2419="Ha verdadera",E2419="No rechazar H0"),"Error tipo II","Decisión correcta"))</f>
        <v>Error tipo II</v>
      </c>
    </row>
    <row r="2420" customFormat="false" ht="15" hidden="false" customHeight="false" outlineLevel="0" collapsed="false">
      <c r="A2420" s="0" t="n">
        <v>2399</v>
      </c>
      <c r="B2420" s="0" t="s">
        <v>86</v>
      </c>
      <c r="C2420" s="17" t="n">
        <v>-0.310001041881664</v>
      </c>
      <c r="D2420" s="17" t="n">
        <f aca="false">(C2420-$B$4)/($B$6/SQRT($B$7))</f>
        <v>-1.55000520940832</v>
      </c>
      <c r="E2420" s="0" t="str">
        <f aca="false">IF(OR(AND($B$9="superior",D2420&gt;$B$10),AND($B$9="inferior",D2420&lt;-$B$10)),"Rechazar H0","No rechazar H0")</f>
        <v>No rechazar H0</v>
      </c>
      <c r="F2420" s="0" t="str">
        <f aca="false">IF(AND(B2420="H0 verdadera",E2420="Rechazar H0"),"Error tipo I",IF(AND(B2420="Ha verdadera",E2420="No rechazar H0"),"Error tipo II","Decisión correcta"))</f>
        <v>Error tipo II</v>
      </c>
    </row>
    <row r="2421" customFormat="false" ht="15" hidden="false" customHeight="false" outlineLevel="0" collapsed="false">
      <c r="A2421" s="0" t="n">
        <v>2400</v>
      </c>
      <c r="B2421" s="0" t="s">
        <v>85</v>
      </c>
      <c r="C2421" s="17" t="n">
        <v>-0.335147669234678</v>
      </c>
      <c r="D2421" s="17" t="n">
        <f aca="false">(C2421-$B$4)/($B$6/SQRT($B$7))</f>
        <v>-1.67573834617339</v>
      </c>
      <c r="E2421" s="0" t="str">
        <f aca="false">IF(OR(AND($B$9="superior",D2421&gt;$B$10),AND($B$9="inferior",D2421&lt;-$B$10)),"Rechazar H0","No rechazar H0")</f>
        <v>Rechazar H0</v>
      </c>
      <c r="F2421" s="0" t="str">
        <f aca="false">IF(AND(B2421="H0 verdadera",E2421="Rechazar H0"),"Error tipo I",IF(AND(B2421="Ha verdadera",E2421="No rechazar H0"),"Error tipo II","Decisión correcta"))</f>
        <v>Error tipo I</v>
      </c>
    </row>
    <row r="2422" customFormat="false" ht="15" hidden="false" customHeight="false" outlineLevel="0" collapsed="false">
      <c r="A2422" s="0" t="n">
        <v>2401</v>
      </c>
      <c r="B2422" s="0" t="s">
        <v>86</v>
      </c>
      <c r="C2422" s="17" t="n">
        <v>-0.249799712200377</v>
      </c>
      <c r="D2422" s="17" t="n">
        <f aca="false">(C2422-$B$4)/($B$6/SQRT($B$7))</f>
        <v>-1.24899856100189</v>
      </c>
      <c r="E2422" s="0" t="str">
        <f aca="false">IF(OR(AND($B$9="superior",D2422&gt;$B$10),AND($B$9="inferior",D2422&lt;-$B$10)),"Rechazar H0","No rechazar H0")</f>
        <v>No rechazar H0</v>
      </c>
      <c r="F2422" s="0" t="str">
        <f aca="false">IF(AND(B2422="H0 verdadera",E2422="Rechazar H0"),"Error tipo I",IF(AND(B2422="Ha verdadera",E2422="No rechazar H0"),"Error tipo II","Decisión correcta"))</f>
        <v>Error tipo II</v>
      </c>
    </row>
    <row r="2423" customFormat="false" ht="15" hidden="false" customHeight="false" outlineLevel="0" collapsed="false">
      <c r="A2423" s="0" t="n">
        <v>2402</v>
      </c>
      <c r="B2423" s="0" t="s">
        <v>86</v>
      </c>
      <c r="C2423" s="17" t="n">
        <v>-0.215992412594589</v>
      </c>
      <c r="D2423" s="17" t="n">
        <f aca="false">(C2423-$B$4)/($B$6/SQRT($B$7))</f>
        <v>-1.07996206297294</v>
      </c>
      <c r="E2423" s="0" t="str">
        <f aca="false">IF(OR(AND($B$9="superior",D2423&gt;$B$10),AND($B$9="inferior",D2423&lt;-$B$10)),"Rechazar H0","No rechazar H0")</f>
        <v>No rechazar H0</v>
      </c>
      <c r="F2423" s="0" t="str">
        <f aca="false">IF(AND(B2423="H0 verdadera",E2423="Rechazar H0"),"Error tipo I",IF(AND(B2423="Ha verdadera",E2423="No rechazar H0"),"Error tipo II","Decisión correcta"))</f>
        <v>Error tipo II</v>
      </c>
    </row>
    <row r="2424" customFormat="false" ht="15" hidden="false" customHeight="false" outlineLevel="0" collapsed="false">
      <c r="A2424" s="0" t="n">
        <v>2403</v>
      </c>
      <c r="B2424" s="0" t="s">
        <v>85</v>
      </c>
      <c r="C2424" s="17" t="n">
        <v>0.0699057603055214</v>
      </c>
      <c r="D2424" s="17" t="n">
        <f aca="false">(C2424-$B$4)/($B$6/SQRT($B$7))</f>
        <v>0.349528801527607</v>
      </c>
      <c r="E2424" s="0" t="str">
        <f aca="false">IF(OR(AND($B$9="superior",D2424&gt;$B$10),AND($B$9="inferior",D2424&lt;-$B$10)),"Rechazar H0","No rechazar H0")</f>
        <v>No rechazar H0</v>
      </c>
      <c r="F2424" s="0" t="str">
        <f aca="false">IF(AND(B2424="H0 verdadera",E2424="Rechazar H0"),"Error tipo I",IF(AND(B2424="Ha verdadera",E2424="No rechazar H0"),"Error tipo II","Decisión correcta"))</f>
        <v>Decisión correcta</v>
      </c>
    </row>
    <row r="2425" customFormat="false" ht="15" hidden="false" customHeight="false" outlineLevel="0" collapsed="false">
      <c r="A2425" s="0" t="n">
        <v>2404</v>
      </c>
      <c r="B2425" s="0" t="s">
        <v>86</v>
      </c>
      <c r="C2425" s="17" t="n">
        <v>-0.728035681864329</v>
      </c>
      <c r="D2425" s="17" t="n">
        <f aca="false">(C2425-$B$4)/($B$6/SQRT($B$7))</f>
        <v>-3.64017840932164</v>
      </c>
      <c r="E2425" s="0" t="str">
        <f aca="false">IF(OR(AND($B$9="superior",D2425&gt;$B$10),AND($B$9="inferior",D2425&lt;-$B$10)),"Rechazar H0","No rechazar H0")</f>
        <v>Rechazar H0</v>
      </c>
      <c r="F2425" s="0" t="str">
        <f aca="false">IF(AND(B2425="H0 verdadera",E2425="Rechazar H0"),"Error tipo I",IF(AND(B2425="Ha verdadera",E2425="No rechazar H0"),"Error tipo II","Decisión correcta"))</f>
        <v>Decisión correcta</v>
      </c>
    </row>
    <row r="2426" customFormat="false" ht="15" hidden="false" customHeight="false" outlineLevel="0" collapsed="false">
      <c r="A2426" s="0" t="n">
        <v>2405</v>
      </c>
      <c r="B2426" s="0" t="s">
        <v>86</v>
      </c>
      <c r="C2426" s="17" t="n">
        <v>-0.680386751888341</v>
      </c>
      <c r="D2426" s="17" t="n">
        <f aca="false">(C2426-$B$4)/($B$6/SQRT($B$7))</f>
        <v>-3.4019337594417</v>
      </c>
      <c r="E2426" s="0" t="str">
        <f aca="false">IF(OR(AND($B$9="superior",D2426&gt;$B$10),AND($B$9="inferior",D2426&lt;-$B$10)),"Rechazar H0","No rechazar H0")</f>
        <v>Rechazar H0</v>
      </c>
      <c r="F2426" s="0" t="str">
        <f aca="false">IF(AND(B2426="H0 verdadera",E2426="Rechazar H0"),"Error tipo I",IF(AND(B2426="Ha verdadera",E2426="No rechazar H0"),"Error tipo II","Decisión correcta"))</f>
        <v>Decisión correcta</v>
      </c>
    </row>
    <row r="2427" customFormat="false" ht="15" hidden="false" customHeight="false" outlineLevel="0" collapsed="false">
      <c r="A2427" s="0" t="n">
        <v>2406</v>
      </c>
      <c r="B2427" s="0" t="s">
        <v>86</v>
      </c>
      <c r="C2427" s="17" t="n">
        <v>-0.291509080720068</v>
      </c>
      <c r="D2427" s="17" t="n">
        <f aca="false">(C2427-$B$4)/($B$6/SQRT($B$7))</f>
        <v>-1.45754540360034</v>
      </c>
      <c r="E2427" s="0" t="str">
        <f aca="false">IF(OR(AND($B$9="superior",D2427&gt;$B$10),AND($B$9="inferior",D2427&lt;-$B$10)),"Rechazar H0","No rechazar H0")</f>
        <v>No rechazar H0</v>
      </c>
      <c r="F2427" s="0" t="str">
        <f aca="false">IF(AND(B2427="H0 verdadera",E2427="Rechazar H0"),"Error tipo I",IF(AND(B2427="Ha verdadera",E2427="No rechazar H0"),"Error tipo II","Decisión correcta"))</f>
        <v>Error tipo II</v>
      </c>
    </row>
    <row r="2428" customFormat="false" ht="15" hidden="false" customHeight="false" outlineLevel="0" collapsed="false">
      <c r="A2428" s="0" t="n">
        <v>2407</v>
      </c>
      <c r="B2428" s="0" t="s">
        <v>85</v>
      </c>
      <c r="C2428" s="17" t="n">
        <v>-0.031506769948599</v>
      </c>
      <c r="D2428" s="17" t="n">
        <f aca="false">(C2428-$B$4)/($B$6/SQRT($B$7))</f>
        <v>-0.157533849742995</v>
      </c>
      <c r="E2428" s="0" t="str">
        <f aca="false">IF(OR(AND($B$9="superior",D2428&gt;$B$10),AND($B$9="inferior",D2428&lt;-$B$10)),"Rechazar H0","No rechazar H0")</f>
        <v>No rechazar H0</v>
      </c>
      <c r="F2428" s="0" t="str">
        <f aca="false">IF(AND(B2428="H0 verdadera",E2428="Rechazar H0"),"Error tipo I",IF(AND(B2428="Ha verdadera",E2428="No rechazar H0"),"Error tipo II","Decisión correcta"))</f>
        <v>Decisión correcta</v>
      </c>
    </row>
    <row r="2429" customFormat="false" ht="15" hidden="false" customHeight="false" outlineLevel="0" collapsed="false">
      <c r="A2429" s="0" t="n">
        <v>2408</v>
      </c>
      <c r="B2429" s="0" t="s">
        <v>86</v>
      </c>
      <c r="C2429" s="17" t="n">
        <v>-0.105706876024982</v>
      </c>
      <c r="D2429" s="17" t="n">
        <f aca="false">(C2429-$B$4)/($B$6/SQRT($B$7))</f>
        <v>-0.528534380124909</v>
      </c>
      <c r="E2429" s="0" t="str">
        <f aca="false">IF(OR(AND($B$9="superior",D2429&gt;$B$10),AND($B$9="inferior",D2429&lt;-$B$10)),"Rechazar H0","No rechazar H0")</f>
        <v>No rechazar H0</v>
      </c>
      <c r="F2429" s="0" t="str">
        <f aca="false">IF(AND(B2429="H0 verdadera",E2429="Rechazar H0"),"Error tipo I",IF(AND(B2429="Ha verdadera",E2429="No rechazar H0"),"Error tipo II","Decisión correcta"))</f>
        <v>Error tipo II</v>
      </c>
    </row>
    <row r="2430" customFormat="false" ht="15" hidden="false" customHeight="false" outlineLevel="0" collapsed="false">
      <c r="A2430" s="0" t="n">
        <v>2409</v>
      </c>
      <c r="B2430" s="0" t="s">
        <v>86</v>
      </c>
      <c r="C2430" s="17" t="n">
        <v>-0.405290522084162</v>
      </c>
      <c r="D2430" s="17" t="n">
        <f aca="false">(C2430-$B$4)/($B$6/SQRT($B$7))</f>
        <v>-2.02645261042081</v>
      </c>
      <c r="E2430" s="0" t="str">
        <f aca="false">IF(OR(AND($B$9="superior",D2430&gt;$B$10),AND($B$9="inferior",D2430&lt;-$B$10)),"Rechazar H0","No rechazar H0")</f>
        <v>Rechazar H0</v>
      </c>
      <c r="F2430" s="0" t="str">
        <f aca="false">IF(AND(B2430="H0 verdadera",E2430="Rechazar H0"),"Error tipo I",IF(AND(B2430="Ha verdadera",E2430="No rechazar H0"),"Error tipo II","Decisión correcta"))</f>
        <v>Decisión correcta</v>
      </c>
    </row>
    <row r="2431" customFormat="false" ht="15" hidden="false" customHeight="false" outlineLevel="0" collapsed="false">
      <c r="A2431" s="0" t="n">
        <v>2410</v>
      </c>
      <c r="B2431" s="0" t="s">
        <v>85</v>
      </c>
      <c r="C2431" s="17" t="n">
        <v>0.211211706633191</v>
      </c>
      <c r="D2431" s="17" t="n">
        <f aca="false">(C2431-$B$4)/($B$6/SQRT($B$7))</f>
        <v>1.05605853316596</v>
      </c>
      <c r="E2431" s="0" t="str">
        <f aca="false">IF(OR(AND($B$9="superior",D2431&gt;$B$10),AND($B$9="inferior",D2431&lt;-$B$10)),"Rechazar H0","No rechazar H0")</f>
        <v>No rechazar H0</v>
      </c>
      <c r="F2431" s="0" t="str">
        <f aca="false">IF(AND(B2431="H0 verdadera",E2431="Rechazar H0"),"Error tipo I",IF(AND(B2431="Ha verdadera",E2431="No rechazar H0"),"Error tipo II","Decisión correcta"))</f>
        <v>Decisión correcta</v>
      </c>
    </row>
    <row r="2432" customFormat="false" ht="15" hidden="false" customHeight="false" outlineLevel="0" collapsed="false">
      <c r="A2432" s="0" t="n">
        <v>2411</v>
      </c>
      <c r="B2432" s="0" t="s">
        <v>85</v>
      </c>
      <c r="C2432" s="17" t="n">
        <v>-0.133063891320964</v>
      </c>
      <c r="D2432" s="17" t="n">
        <f aca="false">(C2432-$B$4)/($B$6/SQRT($B$7))</f>
        <v>-0.665319456604818</v>
      </c>
      <c r="E2432" s="0" t="str">
        <f aca="false">IF(OR(AND($B$9="superior",D2432&gt;$B$10),AND($B$9="inferior",D2432&lt;-$B$10)),"Rechazar H0","No rechazar H0")</f>
        <v>No rechazar H0</v>
      </c>
      <c r="F2432" s="0" t="str">
        <f aca="false">IF(AND(B2432="H0 verdadera",E2432="Rechazar H0"),"Error tipo I",IF(AND(B2432="Ha verdadera",E2432="No rechazar H0"),"Error tipo II","Decisión correcta"))</f>
        <v>Decisión correcta</v>
      </c>
    </row>
    <row r="2433" customFormat="false" ht="15" hidden="false" customHeight="false" outlineLevel="0" collapsed="false">
      <c r="A2433" s="0" t="n">
        <v>2412</v>
      </c>
      <c r="B2433" s="0" t="s">
        <v>86</v>
      </c>
      <c r="C2433" s="17" t="n">
        <v>-0.544510271508019</v>
      </c>
      <c r="D2433" s="17" t="n">
        <f aca="false">(C2433-$B$4)/($B$6/SQRT($B$7))</f>
        <v>-2.7225513575401</v>
      </c>
      <c r="E2433" s="0" t="str">
        <f aca="false">IF(OR(AND($B$9="superior",D2433&gt;$B$10),AND($B$9="inferior",D2433&lt;-$B$10)),"Rechazar H0","No rechazar H0")</f>
        <v>Rechazar H0</v>
      </c>
      <c r="F2433" s="0" t="str">
        <f aca="false">IF(AND(B2433="H0 verdadera",E2433="Rechazar H0"),"Error tipo I",IF(AND(B2433="Ha verdadera",E2433="No rechazar H0"),"Error tipo II","Decisión correcta"))</f>
        <v>Decisión correcta</v>
      </c>
    </row>
    <row r="2434" customFormat="false" ht="15" hidden="false" customHeight="false" outlineLevel="0" collapsed="false">
      <c r="A2434" s="0" t="n">
        <v>2413</v>
      </c>
      <c r="B2434" s="0" t="s">
        <v>86</v>
      </c>
      <c r="C2434" s="17" t="n">
        <v>-0.216380630922874</v>
      </c>
      <c r="D2434" s="17" t="n">
        <f aca="false">(C2434-$B$4)/($B$6/SQRT($B$7))</f>
        <v>-1.08190315461437</v>
      </c>
      <c r="E2434" s="0" t="str">
        <f aca="false">IF(OR(AND($B$9="superior",D2434&gt;$B$10),AND($B$9="inferior",D2434&lt;-$B$10)),"Rechazar H0","No rechazar H0")</f>
        <v>No rechazar H0</v>
      </c>
      <c r="F2434" s="0" t="str">
        <f aca="false">IF(AND(B2434="H0 verdadera",E2434="Rechazar H0"),"Error tipo I",IF(AND(B2434="Ha verdadera",E2434="No rechazar H0"),"Error tipo II","Decisión correcta"))</f>
        <v>Error tipo II</v>
      </c>
    </row>
    <row r="2435" customFormat="false" ht="15" hidden="false" customHeight="false" outlineLevel="0" collapsed="false">
      <c r="A2435" s="0" t="n">
        <v>2414</v>
      </c>
      <c r="B2435" s="0" t="s">
        <v>85</v>
      </c>
      <c r="C2435" s="17" t="n">
        <v>0.00671806557839111</v>
      </c>
      <c r="D2435" s="17" t="n">
        <f aca="false">(C2435-$B$4)/($B$6/SQRT($B$7))</f>
        <v>0.0335903278919555</v>
      </c>
      <c r="E2435" s="0" t="str">
        <f aca="false">IF(OR(AND($B$9="superior",D2435&gt;$B$10),AND($B$9="inferior",D2435&lt;-$B$10)),"Rechazar H0","No rechazar H0")</f>
        <v>No rechazar H0</v>
      </c>
      <c r="F2435" s="0" t="str">
        <f aca="false">IF(AND(B2435="H0 verdadera",E2435="Rechazar H0"),"Error tipo I",IF(AND(B2435="Ha verdadera",E2435="No rechazar H0"),"Error tipo II","Decisión correcta"))</f>
        <v>Decisión correcta</v>
      </c>
    </row>
    <row r="2436" customFormat="false" ht="15" hidden="false" customHeight="false" outlineLevel="0" collapsed="false">
      <c r="A2436" s="0" t="n">
        <v>2415</v>
      </c>
      <c r="B2436" s="0" t="s">
        <v>86</v>
      </c>
      <c r="C2436" s="17" t="n">
        <v>-0.58024091183549</v>
      </c>
      <c r="D2436" s="17" t="n">
        <f aca="false">(C2436-$B$4)/($B$6/SQRT($B$7))</f>
        <v>-2.90120455917745</v>
      </c>
      <c r="E2436" s="0" t="str">
        <f aca="false">IF(OR(AND($B$9="superior",D2436&gt;$B$10),AND($B$9="inferior",D2436&lt;-$B$10)),"Rechazar H0","No rechazar H0")</f>
        <v>Rechazar H0</v>
      </c>
      <c r="F2436" s="0" t="str">
        <f aca="false">IF(AND(B2436="H0 verdadera",E2436="Rechazar H0"),"Error tipo I",IF(AND(B2436="Ha verdadera",E2436="No rechazar H0"),"Error tipo II","Decisión correcta"))</f>
        <v>Decisión correcta</v>
      </c>
    </row>
    <row r="2437" customFormat="false" ht="15" hidden="false" customHeight="false" outlineLevel="0" collapsed="false">
      <c r="A2437" s="0" t="n">
        <v>2416</v>
      </c>
      <c r="B2437" s="0" t="s">
        <v>86</v>
      </c>
      <c r="C2437" s="17" t="n">
        <v>-0.575851534210651</v>
      </c>
      <c r="D2437" s="17" t="n">
        <f aca="false">(C2437-$B$4)/($B$6/SQRT($B$7))</f>
        <v>-2.87925767105326</v>
      </c>
      <c r="E2437" s="0" t="str">
        <f aca="false">IF(OR(AND($B$9="superior",D2437&gt;$B$10),AND($B$9="inferior",D2437&lt;-$B$10)),"Rechazar H0","No rechazar H0")</f>
        <v>Rechazar H0</v>
      </c>
      <c r="F2437" s="0" t="str">
        <f aca="false">IF(AND(B2437="H0 verdadera",E2437="Rechazar H0"),"Error tipo I",IF(AND(B2437="Ha verdadera",E2437="No rechazar H0"),"Error tipo II","Decisión correcta"))</f>
        <v>Decisión correcta</v>
      </c>
    </row>
    <row r="2438" customFormat="false" ht="15" hidden="false" customHeight="false" outlineLevel="0" collapsed="false">
      <c r="A2438" s="0" t="n">
        <v>2417</v>
      </c>
      <c r="B2438" s="0" t="s">
        <v>85</v>
      </c>
      <c r="C2438" s="17" t="n">
        <v>-0.0121932371953727</v>
      </c>
      <c r="D2438" s="17" t="n">
        <f aca="false">(C2438-$B$4)/($B$6/SQRT($B$7))</f>
        <v>-0.0609661859768636</v>
      </c>
      <c r="E2438" s="0" t="str">
        <f aca="false">IF(OR(AND($B$9="superior",D2438&gt;$B$10),AND($B$9="inferior",D2438&lt;-$B$10)),"Rechazar H0","No rechazar H0")</f>
        <v>No rechazar H0</v>
      </c>
      <c r="F2438" s="0" t="str">
        <f aca="false">IF(AND(B2438="H0 verdadera",E2438="Rechazar H0"),"Error tipo I",IF(AND(B2438="Ha verdadera",E2438="No rechazar H0"),"Error tipo II","Decisión correcta"))</f>
        <v>Decisión correcta</v>
      </c>
    </row>
    <row r="2439" customFormat="false" ht="15" hidden="false" customHeight="false" outlineLevel="0" collapsed="false">
      <c r="A2439" s="0" t="n">
        <v>2418</v>
      </c>
      <c r="B2439" s="0" t="s">
        <v>85</v>
      </c>
      <c r="C2439" s="17" t="n">
        <v>-0.0865139326963647</v>
      </c>
      <c r="D2439" s="17" t="n">
        <f aca="false">(C2439-$B$4)/($B$6/SQRT($B$7))</f>
        <v>-0.432569663481823</v>
      </c>
      <c r="E2439" s="0" t="str">
        <f aca="false">IF(OR(AND($B$9="superior",D2439&gt;$B$10),AND($B$9="inferior",D2439&lt;-$B$10)),"Rechazar H0","No rechazar H0")</f>
        <v>No rechazar H0</v>
      </c>
      <c r="F2439" s="0" t="str">
        <f aca="false">IF(AND(B2439="H0 verdadera",E2439="Rechazar H0"),"Error tipo I",IF(AND(B2439="Ha verdadera",E2439="No rechazar H0"),"Error tipo II","Decisión correcta"))</f>
        <v>Decisión correcta</v>
      </c>
    </row>
    <row r="2440" customFormat="false" ht="15" hidden="false" customHeight="false" outlineLevel="0" collapsed="false">
      <c r="A2440" s="0" t="n">
        <v>2419</v>
      </c>
      <c r="B2440" s="0" t="s">
        <v>86</v>
      </c>
      <c r="C2440" s="17" t="n">
        <v>-0.5729991709595</v>
      </c>
      <c r="D2440" s="17" t="n">
        <f aca="false">(C2440-$B$4)/($B$6/SQRT($B$7))</f>
        <v>-2.8649958547975</v>
      </c>
      <c r="E2440" s="0" t="str">
        <f aca="false">IF(OR(AND($B$9="superior",D2440&gt;$B$10),AND($B$9="inferior",D2440&lt;-$B$10)),"Rechazar H0","No rechazar H0")</f>
        <v>Rechazar H0</v>
      </c>
      <c r="F2440" s="0" t="str">
        <f aca="false">IF(AND(B2440="H0 verdadera",E2440="Rechazar H0"),"Error tipo I",IF(AND(B2440="Ha verdadera",E2440="No rechazar H0"),"Error tipo II","Decisión correcta"))</f>
        <v>Decisión correcta</v>
      </c>
    </row>
    <row r="2441" customFormat="false" ht="15" hidden="false" customHeight="false" outlineLevel="0" collapsed="false">
      <c r="A2441" s="0" t="n">
        <v>2420</v>
      </c>
      <c r="B2441" s="0" t="s">
        <v>85</v>
      </c>
      <c r="C2441" s="17" t="n">
        <v>-0.135387618730705</v>
      </c>
      <c r="D2441" s="17" t="n">
        <f aca="false">(C2441-$B$4)/($B$6/SQRT($B$7))</f>
        <v>-0.676938093653526</v>
      </c>
      <c r="E2441" s="0" t="str">
        <f aca="false">IF(OR(AND($B$9="superior",D2441&gt;$B$10),AND($B$9="inferior",D2441&lt;-$B$10)),"Rechazar H0","No rechazar H0")</f>
        <v>No rechazar H0</v>
      </c>
      <c r="F2441" s="0" t="str">
        <f aca="false">IF(AND(B2441="H0 verdadera",E2441="Rechazar H0"),"Error tipo I",IF(AND(B2441="Ha verdadera",E2441="No rechazar H0"),"Error tipo II","Decisión correcta"))</f>
        <v>Decisión correcta</v>
      </c>
    </row>
    <row r="2442" customFormat="false" ht="15" hidden="false" customHeight="false" outlineLevel="0" collapsed="false">
      <c r="A2442" s="0" t="n">
        <v>2421</v>
      </c>
      <c r="B2442" s="0" t="s">
        <v>86</v>
      </c>
      <c r="C2442" s="17" t="n">
        <v>-0.554053287613623</v>
      </c>
      <c r="D2442" s="17" t="n">
        <f aca="false">(C2442-$B$4)/($B$6/SQRT($B$7))</f>
        <v>-2.77026643806812</v>
      </c>
      <c r="E2442" s="0" t="str">
        <f aca="false">IF(OR(AND($B$9="superior",D2442&gt;$B$10),AND($B$9="inferior",D2442&lt;-$B$10)),"Rechazar H0","No rechazar H0")</f>
        <v>Rechazar H0</v>
      </c>
      <c r="F2442" s="0" t="str">
        <f aca="false">IF(AND(B2442="H0 verdadera",E2442="Rechazar H0"),"Error tipo I",IF(AND(B2442="Ha verdadera",E2442="No rechazar H0"),"Error tipo II","Decisión correcta"))</f>
        <v>Decisión correcta</v>
      </c>
    </row>
    <row r="2443" customFormat="false" ht="15" hidden="false" customHeight="false" outlineLevel="0" collapsed="false">
      <c r="A2443" s="0" t="n">
        <v>2422</v>
      </c>
      <c r="B2443" s="0" t="s">
        <v>85</v>
      </c>
      <c r="C2443" s="17" t="n">
        <v>-0.0253637435130928</v>
      </c>
      <c r="D2443" s="17" t="n">
        <f aca="false">(C2443-$B$4)/($B$6/SQRT($B$7))</f>
        <v>-0.126818717565464</v>
      </c>
      <c r="E2443" s="0" t="str">
        <f aca="false">IF(OR(AND($B$9="superior",D2443&gt;$B$10),AND($B$9="inferior",D2443&lt;-$B$10)),"Rechazar H0","No rechazar H0")</f>
        <v>No rechazar H0</v>
      </c>
      <c r="F2443" s="0" t="str">
        <f aca="false">IF(AND(B2443="H0 verdadera",E2443="Rechazar H0"),"Error tipo I",IF(AND(B2443="Ha verdadera",E2443="No rechazar H0"),"Error tipo II","Decisión correcta"))</f>
        <v>Decisión correcta</v>
      </c>
    </row>
    <row r="2444" customFormat="false" ht="15" hidden="false" customHeight="false" outlineLevel="0" collapsed="false">
      <c r="A2444" s="0" t="n">
        <v>2423</v>
      </c>
      <c r="B2444" s="0" t="s">
        <v>85</v>
      </c>
      <c r="C2444" s="17" t="n">
        <v>0.232050435794465</v>
      </c>
      <c r="D2444" s="17" t="n">
        <f aca="false">(C2444-$B$4)/($B$6/SQRT($B$7))</f>
        <v>1.16025217897233</v>
      </c>
      <c r="E2444" s="0" t="str">
        <f aca="false">IF(OR(AND($B$9="superior",D2444&gt;$B$10),AND($B$9="inferior",D2444&lt;-$B$10)),"Rechazar H0","No rechazar H0")</f>
        <v>No rechazar H0</v>
      </c>
      <c r="F2444" s="0" t="str">
        <f aca="false">IF(AND(B2444="H0 verdadera",E2444="Rechazar H0"),"Error tipo I",IF(AND(B2444="Ha verdadera",E2444="No rechazar H0"),"Error tipo II","Decisión correcta"))</f>
        <v>Decisión correcta</v>
      </c>
    </row>
    <row r="2445" customFormat="false" ht="15" hidden="false" customHeight="false" outlineLevel="0" collapsed="false">
      <c r="A2445" s="0" t="n">
        <v>2424</v>
      </c>
      <c r="B2445" s="0" t="s">
        <v>86</v>
      </c>
      <c r="C2445" s="17" t="n">
        <v>-0.345708574993915</v>
      </c>
      <c r="D2445" s="17" t="n">
        <f aca="false">(C2445-$B$4)/($B$6/SQRT($B$7))</f>
        <v>-1.72854287496958</v>
      </c>
      <c r="E2445" s="0" t="str">
        <f aca="false">IF(OR(AND($B$9="superior",D2445&gt;$B$10),AND($B$9="inferior",D2445&lt;-$B$10)),"Rechazar H0","No rechazar H0")</f>
        <v>Rechazar H0</v>
      </c>
      <c r="F2445" s="0" t="str">
        <f aca="false">IF(AND(B2445="H0 verdadera",E2445="Rechazar H0"),"Error tipo I",IF(AND(B2445="Ha verdadera",E2445="No rechazar H0"),"Error tipo II","Decisión correcta"))</f>
        <v>Decisión correcta</v>
      </c>
    </row>
    <row r="2446" customFormat="false" ht="15" hidden="false" customHeight="false" outlineLevel="0" collapsed="false">
      <c r="A2446" s="0" t="n">
        <v>2425</v>
      </c>
      <c r="B2446" s="0" t="s">
        <v>85</v>
      </c>
      <c r="C2446" s="17" t="n">
        <v>-0.0505993184364038</v>
      </c>
      <c r="D2446" s="17" t="n">
        <f aca="false">(C2446-$B$4)/($B$6/SQRT($B$7))</f>
        <v>-0.252996592182019</v>
      </c>
      <c r="E2446" s="0" t="str">
        <f aca="false">IF(OR(AND($B$9="superior",D2446&gt;$B$10),AND($B$9="inferior",D2446&lt;-$B$10)),"Rechazar H0","No rechazar H0")</f>
        <v>No rechazar H0</v>
      </c>
      <c r="F2446" s="0" t="str">
        <f aca="false">IF(AND(B2446="H0 verdadera",E2446="Rechazar H0"),"Error tipo I",IF(AND(B2446="Ha verdadera",E2446="No rechazar H0"),"Error tipo II","Decisión correcta"))</f>
        <v>Decisión correcta</v>
      </c>
    </row>
    <row r="2447" customFormat="false" ht="15" hidden="false" customHeight="false" outlineLevel="0" collapsed="false">
      <c r="A2447" s="0" t="n">
        <v>2426</v>
      </c>
      <c r="B2447" s="0" t="s">
        <v>86</v>
      </c>
      <c r="C2447" s="17" t="n">
        <v>-0.492505487056521</v>
      </c>
      <c r="D2447" s="17" t="n">
        <f aca="false">(C2447-$B$4)/($B$6/SQRT($B$7))</f>
        <v>-2.4625274352826</v>
      </c>
      <c r="E2447" s="0" t="str">
        <f aca="false">IF(OR(AND($B$9="superior",D2447&gt;$B$10),AND($B$9="inferior",D2447&lt;-$B$10)),"Rechazar H0","No rechazar H0")</f>
        <v>Rechazar H0</v>
      </c>
      <c r="F2447" s="0" t="str">
        <f aca="false">IF(AND(B2447="H0 verdadera",E2447="Rechazar H0"),"Error tipo I",IF(AND(B2447="Ha verdadera",E2447="No rechazar H0"),"Error tipo II","Decisión correcta"))</f>
        <v>Decisión correcta</v>
      </c>
    </row>
    <row r="2448" customFormat="false" ht="15" hidden="false" customHeight="false" outlineLevel="0" collapsed="false">
      <c r="A2448" s="0" t="n">
        <v>2427</v>
      </c>
      <c r="B2448" s="0" t="s">
        <v>86</v>
      </c>
      <c r="C2448" s="17" t="n">
        <v>-0.139090969825574</v>
      </c>
      <c r="D2448" s="17" t="n">
        <f aca="false">(C2448-$B$4)/($B$6/SQRT($B$7))</f>
        <v>-0.69545484912787</v>
      </c>
      <c r="E2448" s="0" t="str">
        <f aca="false">IF(OR(AND($B$9="superior",D2448&gt;$B$10),AND($B$9="inferior",D2448&lt;-$B$10)),"Rechazar H0","No rechazar H0")</f>
        <v>No rechazar H0</v>
      </c>
      <c r="F2448" s="0" t="str">
        <f aca="false">IF(AND(B2448="H0 verdadera",E2448="Rechazar H0"),"Error tipo I",IF(AND(B2448="Ha verdadera",E2448="No rechazar H0"),"Error tipo II","Decisión correcta"))</f>
        <v>Error tipo II</v>
      </c>
    </row>
    <row r="2449" customFormat="false" ht="15" hidden="false" customHeight="false" outlineLevel="0" collapsed="false">
      <c r="A2449" s="0" t="n">
        <v>2428</v>
      </c>
      <c r="B2449" s="0" t="s">
        <v>86</v>
      </c>
      <c r="C2449" s="17" t="n">
        <v>-0.250981336739465</v>
      </c>
      <c r="D2449" s="17" t="n">
        <f aca="false">(C2449-$B$4)/($B$6/SQRT($B$7))</f>
        <v>-1.25490668369732</v>
      </c>
      <c r="E2449" s="0" t="str">
        <f aca="false">IF(OR(AND($B$9="superior",D2449&gt;$B$10),AND($B$9="inferior",D2449&lt;-$B$10)),"Rechazar H0","No rechazar H0")</f>
        <v>No rechazar H0</v>
      </c>
      <c r="F2449" s="0" t="str">
        <f aca="false">IF(AND(B2449="H0 verdadera",E2449="Rechazar H0"),"Error tipo I",IF(AND(B2449="Ha verdadera",E2449="No rechazar H0"),"Error tipo II","Decisión correcta"))</f>
        <v>Error tipo II</v>
      </c>
    </row>
    <row r="2450" customFormat="false" ht="15" hidden="false" customHeight="false" outlineLevel="0" collapsed="false">
      <c r="A2450" s="0" t="n">
        <v>2429</v>
      </c>
      <c r="B2450" s="0" t="s">
        <v>85</v>
      </c>
      <c r="C2450" s="17" t="n">
        <v>0.199713777271414</v>
      </c>
      <c r="D2450" s="17" t="n">
        <f aca="false">(C2450-$B$4)/($B$6/SQRT($B$7))</f>
        <v>0.998568886357072</v>
      </c>
      <c r="E2450" s="0" t="str">
        <f aca="false">IF(OR(AND($B$9="superior",D2450&gt;$B$10),AND($B$9="inferior",D2450&lt;-$B$10)),"Rechazar H0","No rechazar H0")</f>
        <v>No rechazar H0</v>
      </c>
      <c r="F2450" s="0" t="str">
        <f aca="false">IF(AND(B2450="H0 verdadera",E2450="Rechazar H0"),"Error tipo I",IF(AND(B2450="Ha verdadera",E2450="No rechazar H0"),"Error tipo II","Decisión correcta"))</f>
        <v>Decisión correcta</v>
      </c>
    </row>
    <row r="2451" customFormat="false" ht="15" hidden="false" customHeight="false" outlineLevel="0" collapsed="false">
      <c r="A2451" s="0" t="n">
        <v>2430</v>
      </c>
      <c r="B2451" s="0" t="s">
        <v>86</v>
      </c>
      <c r="C2451" s="17" t="n">
        <v>-0.412925997724914</v>
      </c>
      <c r="D2451" s="17" t="n">
        <f aca="false">(C2451-$B$4)/($B$6/SQRT($B$7))</f>
        <v>-2.06462998862457</v>
      </c>
      <c r="E2451" s="0" t="str">
        <f aca="false">IF(OR(AND($B$9="superior",D2451&gt;$B$10),AND($B$9="inferior",D2451&lt;-$B$10)),"Rechazar H0","No rechazar H0")</f>
        <v>Rechazar H0</v>
      </c>
      <c r="F2451" s="0" t="str">
        <f aca="false">IF(AND(B2451="H0 verdadera",E2451="Rechazar H0"),"Error tipo I",IF(AND(B2451="Ha verdadera",E2451="No rechazar H0"),"Error tipo II","Decisión correcta"))</f>
        <v>Decisión correcta</v>
      </c>
    </row>
    <row r="2452" customFormat="false" ht="15" hidden="false" customHeight="false" outlineLevel="0" collapsed="false">
      <c r="A2452" s="0" t="n">
        <v>2431</v>
      </c>
      <c r="B2452" s="0" t="s">
        <v>85</v>
      </c>
      <c r="C2452" s="17" t="n">
        <v>-0.270828419842797</v>
      </c>
      <c r="D2452" s="17" t="n">
        <f aca="false">(C2452-$B$4)/($B$6/SQRT($B$7))</f>
        <v>-1.35414209921399</v>
      </c>
      <c r="E2452" s="0" t="str">
        <f aca="false">IF(OR(AND($B$9="superior",D2452&gt;$B$10),AND($B$9="inferior",D2452&lt;-$B$10)),"Rechazar H0","No rechazar H0")</f>
        <v>No rechazar H0</v>
      </c>
      <c r="F2452" s="0" t="str">
        <f aca="false">IF(AND(B2452="H0 verdadera",E2452="Rechazar H0"),"Error tipo I",IF(AND(B2452="Ha verdadera",E2452="No rechazar H0"),"Error tipo II","Decisión correcta"))</f>
        <v>Decisión correcta</v>
      </c>
    </row>
    <row r="2453" customFormat="false" ht="15" hidden="false" customHeight="false" outlineLevel="0" collapsed="false">
      <c r="A2453" s="0" t="n">
        <v>2432</v>
      </c>
      <c r="B2453" s="0" t="s">
        <v>85</v>
      </c>
      <c r="C2453" s="17" t="n">
        <v>0.0172075620620551</v>
      </c>
      <c r="D2453" s="17" t="n">
        <f aca="false">(C2453-$B$4)/($B$6/SQRT($B$7))</f>
        <v>0.0860378103102756</v>
      </c>
      <c r="E2453" s="0" t="str">
        <f aca="false">IF(OR(AND($B$9="superior",D2453&gt;$B$10),AND($B$9="inferior",D2453&lt;-$B$10)),"Rechazar H0","No rechazar H0")</f>
        <v>No rechazar H0</v>
      </c>
      <c r="F2453" s="0" t="str">
        <f aca="false">IF(AND(B2453="H0 verdadera",E2453="Rechazar H0"),"Error tipo I",IF(AND(B2453="Ha verdadera",E2453="No rechazar H0"),"Error tipo II","Decisión correcta"))</f>
        <v>Decisión correcta</v>
      </c>
    </row>
    <row r="2454" customFormat="false" ht="15" hidden="false" customHeight="false" outlineLevel="0" collapsed="false">
      <c r="A2454" s="0" t="n">
        <v>2433</v>
      </c>
      <c r="B2454" s="0" t="s">
        <v>85</v>
      </c>
      <c r="C2454" s="17" t="n">
        <v>-0.0647578790866999</v>
      </c>
      <c r="D2454" s="17" t="n">
        <f aca="false">(C2454-$B$4)/($B$6/SQRT($B$7))</f>
        <v>-0.323789395433499</v>
      </c>
      <c r="E2454" s="0" t="str">
        <f aca="false">IF(OR(AND($B$9="superior",D2454&gt;$B$10),AND($B$9="inferior",D2454&lt;-$B$10)),"Rechazar H0","No rechazar H0")</f>
        <v>No rechazar H0</v>
      </c>
      <c r="F2454" s="0" t="str">
        <f aca="false">IF(AND(B2454="H0 verdadera",E2454="Rechazar H0"),"Error tipo I",IF(AND(B2454="Ha verdadera",E2454="No rechazar H0"),"Error tipo II","Decisión correcta"))</f>
        <v>Decisión correcta</v>
      </c>
    </row>
    <row r="2455" customFormat="false" ht="15" hidden="false" customHeight="false" outlineLevel="0" collapsed="false">
      <c r="A2455" s="0" t="n">
        <v>2434</v>
      </c>
      <c r="B2455" s="0" t="s">
        <v>86</v>
      </c>
      <c r="C2455" s="17" t="n">
        <v>-0.671833941411219</v>
      </c>
      <c r="D2455" s="17" t="n">
        <f aca="false">(C2455-$B$4)/($B$6/SQRT($B$7))</f>
        <v>-3.3591697070561</v>
      </c>
      <c r="E2455" s="0" t="str">
        <f aca="false">IF(OR(AND($B$9="superior",D2455&gt;$B$10),AND($B$9="inferior",D2455&lt;-$B$10)),"Rechazar H0","No rechazar H0")</f>
        <v>Rechazar H0</v>
      </c>
      <c r="F2455" s="0" t="str">
        <f aca="false">IF(AND(B2455="H0 verdadera",E2455="Rechazar H0"),"Error tipo I",IF(AND(B2455="Ha verdadera",E2455="No rechazar H0"),"Error tipo II","Decisión correcta"))</f>
        <v>Decisión correcta</v>
      </c>
    </row>
    <row r="2456" customFormat="false" ht="15" hidden="false" customHeight="false" outlineLevel="0" collapsed="false">
      <c r="A2456" s="0" t="n">
        <v>2435</v>
      </c>
      <c r="B2456" s="0" t="s">
        <v>86</v>
      </c>
      <c r="C2456" s="17" t="n">
        <v>-0.621796381322322</v>
      </c>
      <c r="D2456" s="17" t="n">
        <f aca="false">(C2456-$B$4)/($B$6/SQRT($B$7))</f>
        <v>-3.10898190661161</v>
      </c>
      <c r="E2456" s="0" t="str">
        <f aca="false">IF(OR(AND($B$9="superior",D2456&gt;$B$10),AND($B$9="inferior",D2456&lt;-$B$10)),"Rechazar H0","No rechazar H0")</f>
        <v>Rechazar H0</v>
      </c>
      <c r="F2456" s="0" t="str">
        <f aca="false">IF(AND(B2456="H0 verdadera",E2456="Rechazar H0"),"Error tipo I",IF(AND(B2456="Ha verdadera",E2456="No rechazar H0"),"Error tipo II","Decisión correcta"))</f>
        <v>Decisión correcta</v>
      </c>
    </row>
    <row r="2457" customFormat="false" ht="15" hidden="false" customHeight="false" outlineLevel="0" collapsed="false">
      <c r="A2457" s="0" t="n">
        <v>2436</v>
      </c>
      <c r="B2457" s="0" t="s">
        <v>86</v>
      </c>
      <c r="C2457" s="17" t="n">
        <v>-0.50579286771104</v>
      </c>
      <c r="D2457" s="17" t="n">
        <f aca="false">(C2457-$B$4)/($B$6/SQRT($B$7))</f>
        <v>-2.5289643385552</v>
      </c>
      <c r="E2457" s="0" t="str">
        <f aca="false">IF(OR(AND($B$9="superior",D2457&gt;$B$10),AND($B$9="inferior",D2457&lt;-$B$10)),"Rechazar H0","No rechazar H0")</f>
        <v>Rechazar H0</v>
      </c>
      <c r="F2457" s="0" t="str">
        <f aca="false">IF(AND(B2457="H0 verdadera",E2457="Rechazar H0"),"Error tipo I",IF(AND(B2457="Ha verdadera",E2457="No rechazar H0"),"Error tipo II","Decisión correcta"))</f>
        <v>Decisión correcta</v>
      </c>
    </row>
    <row r="2458" customFormat="false" ht="15" hidden="false" customHeight="false" outlineLevel="0" collapsed="false">
      <c r="A2458" s="0" t="n">
        <v>2437</v>
      </c>
      <c r="B2458" s="0" t="s">
        <v>86</v>
      </c>
      <c r="C2458" s="17" t="n">
        <v>-0.251936354505764</v>
      </c>
      <c r="D2458" s="17" t="n">
        <f aca="false">(C2458-$B$4)/($B$6/SQRT($B$7))</f>
        <v>-1.25968177252882</v>
      </c>
      <c r="E2458" s="0" t="str">
        <f aca="false">IF(OR(AND($B$9="superior",D2458&gt;$B$10),AND($B$9="inferior",D2458&lt;-$B$10)),"Rechazar H0","No rechazar H0")</f>
        <v>No rechazar H0</v>
      </c>
      <c r="F2458" s="0" t="str">
        <f aca="false">IF(AND(B2458="H0 verdadera",E2458="Rechazar H0"),"Error tipo I",IF(AND(B2458="Ha verdadera",E2458="No rechazar H0"),"Error tipo II","Decisión correcta"))</f>
        <v>Error tipo II</v>
      </c>
    </row>
    <row r="2459" customFormat="false" ht="15" hidden="false" customHeight="false" outlineLevel="0" collapsed="false">
      <c r="A2459" s="0" t="n">
        <v>2438</v>
      </c>
      <c r="B2459" s="0" t="s">
        <v>85</v>
      </c>
      <c r="C2459" s="17" t="n">
        <v>0.0621714336737253</v>
      </c>
      <c r="D2459" s="17" t="n">
        <f aca="false">(C2459-$B$4)/($B$6/SQRT($B$7))</f>
        <v>0.310857168368626</v>
      </c>
      <c r="E2459" s="0" t="str">
        <f aca="false">IF(OR(AND($B$9="superior",D2459&gt;$B$10),AND($B$9="inferior",D2459&lt;-$B$10)),"Rechazar H0","No rechazar H0")</f>
        <v>No rechazar H0</v>
      </c>
      <c r="F2459" s="0" t="str">
        <f aca="false">IF(AND(B2459="H0 verdadera",E2459="Rechazar H0"),"Error tipo I",IF(AND(B2459="Ha verdadera",E2459="No rechazar H0"),"Error tipo II","Decisión correcta"))</f>
        <v>Decisión correcta</v>
      </c>
    </row>
    <row r="2460" customFormat="false" ht="15" hidden="false" customHeight="false" outlineLevel="0" collapsed="false">
      <c r="A2460" s="0" t="n">
        <v>2439</v>
      </c>
      <c r="B2460" s="0" t="s">
        <v>85</v>
      </c>
      <c r="C2460" s="17" t="n">
        <v>-0.0550811413433648</v>
      </c>
      <c r="D2460" s="17" t="n">
        <f aca="false">(C2460-$B$4)/($B$6/SQRT($B$7))</f>
        <v>-0.275405706716824</v>
      </c>
      <c r="E2460" s="0" t="str">
        <f aca="false">IF(OR(AND($B$9="superior",D2460&gt;$B$10),AND($B$9="inferior",D2460&lt;-$B$10)),"Rechazar H0","No rechazar H0")</f>
        <v>No rechazar H0</v>
      </c>
      <c r="F2460" s="0" t="str">
        <f aca="false">IF(AND(B2460="H0 verdadera",E2460="Rechazar H0"),"Error tipo I",IF(AND(B2460="Ha verdadera",E2460="No rechazar H0"),"Error tipo II","Decisión correcta"))</f>
        <v>Decisión correcta</v>
      </c>
    </row>
    <row r="2461" customFormat="false" ht="15" hidden="false" customHeight="false" outlineLevel="0" collapsed="false">
      <c r="A2461" s="0" t="n">
        <v>2440</v>
      </c>
      <c r="B2461" s="0" t="s">
        <v>85</v>
      </c>
      <c r="C2461" s="17" t="n">
        <v>-0.22323895140102</v>
      </c>
      <c r="D2461" s="17" t="n">
        <f aca="false">(C2461-$B$4)/($B$6/SQRT($B$7))</f>
        <v>-1.1161947570051</v>
      </c>
      <c r="E2461" s="0" t="str">
        <f aca="false">IF(OR(AND($B$9="superior",D2461&gt;$B$10),AND($B$9="inferior",D2461&lt;-$B$10)),"Rechazar H0","No rechazar H0")</f>
        <v>No rechazar H0</v>
      </c>
      <c r="F2461" s="0" t="str">
        <f aca="false">IF(AND(B2461="H0 verdadera",E2461="Rechazar H0"),"Error tipo I",IF(AND(B2461="Ha verdadera",E2461="No rechazar H0"),"Error tipo II","Decisión correcta"))</f>
        <v>Decisión correcta</v>
      </c>
    </row>
    <row r="2462" customFormat="false" ht="15" hidden="false" customHeight="false" outlineLevel="0" collapsed="false">
      <c r="A2462" s="0" t="n">
        <v>2441</v>
      </c>
      <c r="B2462" s="0" t="s">
        <v>85</v>
      </c>
      <c r="C2462" s="17" t="n">
        <v>0.122321920482443</v>
      </c>
      <c r="D2462" s="17" t="n">
        <f aca="false">(C2462-$B$4)/($B$6/SQRT($B$7))</f>
        <v>0.611609602412213</v>
      </c>
      <c r="E2462" s="0" t="str">
        <f aca="false">IF(OR(AND($B$9="superior",D2462&gt;$B$10),AND($B$9="inferior",D2462&lt;-$B$10)),"Rechazar H0","No rechazar H0")</f>
        <v>No rechazar H0</v>
      </c>
      <c r="F2462" s="0" t="str">
        <f aca="false">IF(AND(B2462="H0 verdadera",E2462="Rechazar H0"),"Error tipo I",IF(AND(B2462="Ha verdadera",E2462="No rechazar H0"),"Error tipo II","Decisión correcta"))</f>
        <v>Decisión correcta</v>
      </c>
    </row>
    <row r="2463" customFormat="false" ht="15" hidden="false" customHeight="false" outlineLevel="0" collapsed="false">
      <c r="A2463" s="0" t="n">
        <v>2442</v>
      </c>
      <c r="B2463" s="0" t="s">
        <v>86</v>
      </c>
      <c r="C2463" s="17" t="n">
        <v>-0.609594523281991</v>
      </c>
      <c r="D2463" s="17" t="n">
        <f aca="false">(C2463-$B$4)/($B$6/SQRT($B$7))</f>
        <v>-3.04797261640995</v>
      </c>
      <c r="E2463" s="0" t="str">
        <f aca="false">IF(OR(AND($B$9="superior",D2463&gt;$B$10),AND($B$9="inferior",D2463&lt;-$B$10)),"Rechazar H0","No rechazar H0")</f>
        <v>Rechazar H0</v>
      </c>
      <c r="F2463" s="0" t="str">
        <f aca="false">IF(AND(B2463="H0 verdadera",E2463="Rechazar H0"),"Error tipo I",IF(AND(B2463="Ha verdadera",E2463="No rechazar H0"),"Error tipo II","Decisión correcta"))</f>
        <v>Decisión correcta</v>
      </c>
    </row>
    <row r="2464" customFormat="false" ht="15" hidden="false" customHeight="false" outlineLevel="0" collapsed="false">
      <c r="A2464" s="0" t="n">
        <v>2443</v>
      </c>
      <c r="B2464" s="0" t="s">
        <v>86</v>
      </c>
      <c r="C2464" s="17" t="n">
        <v>0.0225644041901373</v>
      </c>
      <c r="D2464" s="17" t="n">
        <f aca="false">(C2464-$B$4)/($B$6/SQRT($B$7))</f>
        <v>0.112822020950687</v>
      </c>
      <c r="E2464" s="0" t="str">
        <f aca="false">IF(OR(AND($B$9="superior",D2464&gt;$B$10),AND($B$9="inferior",D2464&lt;-$B$10)),"Rechazar H0","No rechazar H0")</f>
        <v>No rechazar H0</v>
      </c>
      <c r="F2464" s="0" t="str">
        <f aca="false">IF(AND(B2464="H0 verdadera",E2464="Rechazar H0"),"Error tipo I",IF(AND(B2464="Ha verdadera",E2464="No rechazar H0"),"Error tipo II","Decisión correcta"))</f>
        <v>Error tipo II</v>
      </c>
    </row>
    <row r="2465" customFormat="false" ht="15" hidden="false" customHeight="false" outlineLevel="0" collapsed="false">
      <c r="A2465" s="0" t="n">
        <v>2444</v>
      </c>
      <c r="B2465" s="0" t="s">
        <v>85</v>
      </c>
      <c r="C2465" s="17" t="n">
        <v>0.0630581842324539</v>
      </c>
      <c r="D2465" s="17" t="n">
        <f aca="false">(C2465-$B$4)/($B$6/SQRT($B$7))</f>
        <v>0.31529092116227</v>
      </c>
      <c r="E2465" s="0" t="str">
        <f aca="false">IF(OR(AND($B$9="superior",D2465&gt;$B$10),AND($B$9="inferior",D2465&lt;-$B$10)),"Rechazar H0","No rechazar H0")</f>
        <v>No rechazar H0</v>
      </c>
      <c r="F2465" s="0" t="str">
        <f aca="false">IF(AND(B2465="H0 verdadera",E2465="Rechazar H0"),"Error tipo I",IF(AND(B2465="Ha verdadera",E2465="No rechazar H0"),"Error tipo II","Decisión correcta"))</f>
        <v>Decisión correcta</v>
      </c>
    </row>
    <row r="2466" customFormat="false" ht="15" hidden="false" customHeight="false" outlineLevel="0" collapsed="false">
      <c r="A2466" s="0" t="n">
        <v>2445</v>
      </c>
      <c r="B2466" s="0" t="s">
        <v>85</v>
      </c>
      <c r="C2466" s="17" t="n">
        <v>0.0486639845847159</v>
      </c>
      <c r="D2466" s="17" t="n">
        <f aca="false">(C2466-$B$4)/($B$6/SQRT($B$7))</f>
        <v>0.24331992292358</v>
      </c>
      <c r="E2466" s="0" t="str">
        <f aca="false">IF(OR(AND($B$9="superior",D2466&gt;$B$10),AND($B$9="inferior",D2466&lt;-$B$10)),"Rechazar H0","No rechazar H0")</f>
        <v>No rechazar H0</v>
      </c>
      <c r="F2466" s="0" t="str">
        <f aca="false">IF(AND(B2466="H0 verdadera",E2466="Rechazar H0"),"Error tipo I",IF(AND(B2466="Ha verdadera",E2466="No rechazar H0"),"Error tipo II","Decisión correcta"))</f>
        <v>Decisión correcta</v>
      </c>
    </row>
    <row r="2467" customFormat="false" ht="15" hidden="false" customHeight="false" outlineLevel="0" collapsed="false">
      <c r="A2467" s="0" t="n">
        <v>2446</v>
      </c>
      <c r="B2467" s="0" t="s">
        <v>85</v>
      </c>
      <c r="C2467" s="17" t="n">
        <v>-0.253528116905431</v>
      </c>
      <c r="D2467" s="17" t="n">
        <f aca="false">(C2467-$B$4)/($B$6/SQRT($B$7))</f>
        <v>-1.26764058452716</v>
      </c>
      <c r="E2467" s="0" t="str">
        <f aca="false">IF(OR(AND($B$9="superior",D2467&gt;$B$10),AND($B$9="inferior",D2467&lt;-$B$10)),"Rechazar H0","No rechazar H0")</f>
        <v>No rechazar H0</v>
      </c>
      <c r="F2467" s="0" t="str">
        <f aca="false">IF(AND(B2467="H0 verdadera",E2467="Rechazar H0"),"Error tipo I",IF(AND(B2467="Ha verdadera",E2467="No rechazar H0"),"Error tipo II","Decisión correcta"))</f>
        <v>Decisión correcta</v>
      </c>
    </row>
    <row r="2468" customFormat="false" ht="15" hidden="false" customHeight="false" outlineLevel="0" collapsed="false">
      <c r="A2468" s="0" t="n">
        <v>2447</v>
      </c>
      <c r="B2468" s="0" t="s">
        <v>86</v>
      </c>
      <c r="C2468" s="17" t="n">
        <v>-0.386088028723547</v>
      </c>
      <c r="D2468" s="17" t="n">
        <f aca="false">(C2468-$B$4)/($B$6/SQRT($B$7))</f>
        <v>-1.93044014361773</v>
      </c>
      <c r="E2468" s="0" t="str">
        <f aca="false">IF(OR(AND($B$9="superior",D2468&gt;$B$10),AND($B$9="inferior",D2468&lt;-$B$10)),"Rechazar H0","No rechazar H0")</f>
        <v>Rechazar H0</v>
      </c>
      <c r="F2468" s="0" t="str">
        <f aca="false">IF(AND(B2468="H0 verdadera",E2468="Rechazar H0"),"Error tipo I",IF(AND(B2468="Ha verdadera",E2468="No rechazar H0"),"Error tipo II","Decisión correcta"))</f>
        <v>Decisión correcta</v>
      </c>
    </row>
    <row r="2469" customFormat="false" ht="15" hidden="false" customHeight="false" outlineLevel="0" collapsed="false">
      <c r="A2469" s="0" t="n">
        <v>2448</v>
      </c>
      <c r="B2469" s="0" t="s">
        <v>85</v>
      </c>
      <c r="C2469" s="17" t="n">
        <v>0.143741148231368</v>
      </c>
      <c r="D2469" s="17" t="n">
        <f aca="false">(C2469-$B$4)/($B$6/SQRT($B$7))</f>
        <v>0.718705741156839</v>
      </c>
      <c r="E2469" s="0" t="str">
        <f aca="false">IF(OR(AND($B$9="superior",D2469&gt;$B$10),AND($B$9="inferior",D2469&lt;-$B$10)),"Rechazar H0","No rechazar H0")</f>
        <v>No rechazar H0</v>
      </c>
      <c r="F2469" s="0" t="str">
        <f aca="false">IF(AND(B2469="H0 verdadera",E2469="Rechazar H0"),"Error tipo I",IF(AND(B2469="Ha verdadera",E2469="No rechazar H0"),"Error tipo II","Decisión correcta"))</f>
        <v>Decisión correcta</v>
      </c>
    </row>
    <row r="2470" customFormat="false" ht="15" hidden="false" customHeight="false" outlineLevel="0" collapsed="false">
      <c r="A2470" s="0" t="n">
        <v>2449</v>
      </c>
      <c r="B2470" s="0" t="s">
        <v>86</v>
      </c>
      <c r="C2470" s="17" t="n">
        <v>-0.474551930555951</v>
      </c>
      <c r="D2470" s="17" t="n">
        <f aca="false">(C2470-$B$4)/($B$6/SQRT($B$7))</f>
        <v>-2.37275965277976</v>
      </c>
      <c r="E2470" s="0" t="str">
        <f aca="false">IF(OR(AND($B$9="superior",D2470&gt;$B$10),AND($B$9="inferior",D2470&lt;-$B$10)),"Rechazar H0","No rechazar H0")</f>
        <v>Rechazar H0</v>
      </c>
      <c r="F2470" s="0" t="str">
        <f aca="false">IF(AND(B2470="H0 verdadera",E2470="Rechazar H0"),"Error tipo I",IF(AND(B2470="Ha verdadera",E2470="No rechazar H0"),"Error tipo II","Decisión correcta"))</f>
        <v>Decisión correcta</v>
      </c>
    </row>
    <row r="2471" customFormat="false" ht="15" hidden="false" customHeight="false" outlineLevel="0" collapsed="false">
      <c r="A2471" s="0" t="n">
        <v>2450</v>
      </c>
      <c r="B2471" s="0" t="s">
        <v>85</v>
      </c>
      <c r="C2471" s="17" t="n">
        <v>-0.354262726653906</v>
      </c>
      <c r="D2471" s="17" t="n">
        <f aca="false">(C2471-$B$4)/($B$6/SQRT($B$7))</f>
        <v>-1.77131363326953</v>
      </c>
      <c r="E2471" s="0" t="str">
        <f aca="false">IF(OR(AND($B$9="superior",D2471&gt;$B$10),AND($B$9="inferior",D2471&lt;-$B$10)),"Rechazar H0","No rechazar H0")</f>
        <v>Rechazar H0</v>
      </c>
      <c r="F2471" s="0" t="str">
        <f aca="false">IF(AND(B2471="H0 verdadera",E2471="Rechazar H0"),"Error tipo I",IF(AND(B2471="Ha verdadera",E2471="No rechazar H0"),"Error tipo II","Decisión correcta"))</f>
        <v>Error tipo I</v>
      </c>
    </row>
    <row r="2472" customFormat="false" ht="15" hidden="false" customHeight="false" outlineLevel="0" collapsed="false">
      <c r="A2472" s="0" t="n">
        <v>2451</v>
      </c>
      <c r="B2472" s="0" t="s">
        <v>86</v>
      </c>
      <c r="C2472" s="17" t="n">
        <v>-0.371863287650219</v>
      </c>
      <c r="D2472" s="17" t="n">
        <f aca="false">(C2472-$B$4)/($B$6/SQRT($B$7))</f>
        <v>-1.8593164382511</v>
      </c>
      <c r="E2472" s="0" t="str">
        <f aca="false">IF(OR(AND($B$9="superior",D2472&gt;$B$10),AND($B$9="inferior",D2472&lt;-$B$10)),"Rechazar H0","No rechazar H0")</f>
        <v>Rechazar H0</v>
      </c>
      <c r="F2472" s="0" t="str">
        <f aca="false">IF(AND(B2472="H0 verdadera",E2472="Rechazar H0"),"Error tipo I",IF(AND(B2472="Ha verdadera",E2472="No rechazar H0"),"Error tipo II","Decisión correcta"))</f>
        <v>Decisión correcta</v>
      </c>
    </row>
    <row r="2473" customFormat="false" ht="15" hidden="false" customHeight="false" outlineLevel="0" collapsed="false">
      <c r="A2473" s="0" t="n">
        <v>2452</v>
      </c>
      <c r="B2473" s="0" t="s">
        <v>86</v>
      </c>
      <c r="C2473" s="17" t="n">
        <v>-0.178951763239614</v>
      </c>
      <c r="D2473" s="17" t="n">
        <f aca="false">(C2473-$B$4)/($B$6/SQRT($B$7))</f>
        <v>-0.894758816198069</v>
      </c>
      <c r="E2473" s="0" t="str">
        <f aca="false">IF(OR(AND($B$9="superior",D2473&gt;$B$10),AND($B$9="inferior",D2473&lt;-$B$10)),"Rechazar H0","No rechazar H0")</f>
        <v>No rechazar H0</v>
      </c>
      <c r="F2473" s="0" t="str">
        <f aca="false">IF(AND(B2473="H0 verdadera",E2473="Rechazar H0"),"Error tipo I",IF(AND(B2473="Ha verdadera",E2473="No rechazar H0"),"Error tipo II","Decisión correcta"))</f>
        <v>Error tipo II</v>
      </c>
    </row>
    <row r="2474" customFormat="false" ht="15" hidden="false" customHeight="false" outlineLevel="0" collapsed="false">
      <c r="A2474" s="0" t="n">
        <v>2453</v>
      </c>
      <c r="B2474" s="0" t="s">
        <v>85</v>
      </c>
      <c r="C2474" s="17" t="n">
        <v>-0.309350694668882</v>
      </c>
      <c r="D2474" s="17" t="n">
        <f aca="false">(C2474-$B$4)/($B$6/SQRT($B$7))</f>
        <v>-1.54675347334441</v>
      </c>
      <c r="E2474" s="0" t="str">
        <f aca="false">IF(OR(AND($B$9="superior",D2474&gt;$B$10),AND($B$9="inferior",D2474&lt;-$B$10)),"Rechazar H0","No rechazar H0")</f>
        <v>No rechazar H0</v>
      </c>
      <c r="F2474" s="0" t="str">
        <f aca="false">IF(AND(B2474="H0 verdadera",E2474="Rechazar H0"),"Error tipo I",IF(AND(B2474="Ha verdadera",E2474="No rechazar H0"),"Error tipo II","Decisión correcta"))</f>
        <v>Decisión correcta</v>
      </c>
    </row>
    <row r="2475" customFormat="false" ht="15" hidden="false" customHeight="false" outlineLevel="0" collapsed="false">
      <c r="A2475" s="0" t="n">
        <v>2454</v>
      </c>
      <c r="B2475" s="0" t="s">
        <v>86</v>
      </c>
      <c r="C2475" s="17" t="n">
        <v>-0.440696502153872</v>
      </c>
      <c r="D2475" s="17" t="n">
        <f aca="false">(C2475-$B$4)/($B$6/SQRT($B$7))</f>
        <v>-2.20348251076936</v>
      </c>
      <c r="E2475" s="0" t="str">
        <f aca="false">IF(OR(AND($B$9="superior",D2475&gt;$B$10),AND($B$9="inferior",D2475&lt;-$B$10)),"Rechazar H0","No rechazar H0")</f>
        <v>Rechazar H0</v>
      </c>
      <c r="F2475" s="0" t="str">
        <f aca="false">IF(AND(B2475="H0 verdadera",E2475="Rechazar H0"),"Error tipo I",IF(AND(B2475="Ha verdadera",E2475="No rechazar H0"),"Error tipo II","Decisión correcta"))</f>
        <v>Decisión correcta</v>
      </c>
    </row>
    <row r="2476" customFormat="false" ht="15" hidden="false" customHeight="false" outlineLevel="0" collapsed="false">
      <c r="A2476" s="0" t="n">
        <v>2455</v>
      </c>
      <c r="B2476" s="0" t="s">
        <v>85</v>
      </c>
      <c r="C2476" s="17" t="n">
        <v>-0.279667678025408</v>
      </c>
      <c r="D2476" s="17" t="n">
        <f aca="false">(C2476-$B$4)/($B$6/SQRT($B$7))</f>
        <v>-1.39833839012704</v>
      </c>
      <c r="E2476" s="0" t="str">
        <f aca="false">IF(OR(AND($B$9="superior",D2476&gt;$B$10),AND($B$9="inferior",D2476&lt;-$B$10)),"Rechazar H0","No rechazar H0")</f>
        <v>No rechazar H0</v>
      </c>
      <c r="F2476" s="0" t="str">
        <f aca="false">IF(AND(B2476="H0 verdadera",E2476="Rechazar H0"),"Error tipo I",IF(AND(B2476="Ha verdadera",E2476="No rechazar H0"),"Error tipo II","Decisión correcta"))</f>
        <v>Decisión correcta</v>
      </c>
    </row>
    <row r="2477" customFormat="false" ht="15" hidden="false" customHeight="false" outlineLevel="0" collapsed="false">
      <c r="A2477" s="0" t="n">
        <v>2456</v>
      </c>
      <c r="B2477" s="0" t="s">
        <v>86</v>
      </c>
      <c r="C2477" s="17" t="n">
        <v>-0.666465430911346</v>
      </c>
      <c r="D2477" s="17" t="n">
        <f aca="false">(C2477-$B$4)/($B$6/SQRT($B$7))</f>
        <v>-3.33232715455673</v>
      </c>
      <c r="E2477" s="0" t="str">
        <f aca="false">IF(OR(AND($B$9="superior",D2477&gt;$B$10),AND($B$9="inferior",D2477&lt;-$B$10)),"Rechazar H0","No rechazar H0")</f>
        <v>Rechazar H0</v>
      </c>
      <c r="F2477" s="0" t="str">
        <f aca="false">IF(AND(B2477="H0 verdadera",E2477="Rechazar H0"),"Error tipo I",IF(AND(B2477="Ha verdadera",E2477="No rechazar H0"),"Error tipo II","Decisión correcta"))</f>
        <v>Decisión correcta</v>
      </c>
    </row>
    <row r="2478" customFormat="false" ht="15" hidden="false" customHeight="false" outlineLevel="0" collapsed="false">
      <c r="A2478" s="0" t="n">
        <v>2457</v>
      </c>
      <c r="B2478" s="0" t="s">
        <v>85</v>
      </c>
      <c r="C2478" s="17" t="n">
        <v>0.276463632333439</v>
      </c>
      <c r="D2478" s="17" t="n">
        <f aca="false">(C2478-$B$4)/($B$6/SQRT($B$7))</f>
        <v>1.38231816166719</v>
      </c>
      <c r="E2478" s="0" t="str">
        <f aca="false">IF(OR(AND($B$9="superior",D2478&gt;$B$10),AND($B$9="inferior",D2478&lt;-$B$10)),"Rechazar H0","No rechazar H0")</f>
        <v>No rechazar H0</v>
      </c>
      <c r="F2478" s="0" t="str">
        <f aca="false">IF(AND(B2478="H0 verdadera",E2478="Rechazar H0"),"Error tipo I",IF(AND(B2478="Ha verdadera",E2478="No rechazar H0"),"Error tipo II","Decisión correcta"))</f>
        <v>Decisión correcta</v>
      </c>
    </row>
    <row r="2479" customFormat="false" ht="15" hidden="false" customHeight="false" outlineLevel="0" collapsed="false">
      <c r="A2479" s="0" t="n">
        <v>2458</v>
      </c>
      <c r="B2479" s="0" t="s">
        <v>85</v>
      </c>
      <c r="C2479" s="17" t="n">
        <v>-0.0487608923651281</v>
      </c>
      <c r="D2479" s="17" t="n">
        <f aca="false">(C2479-$B$4)/($B$6/SQRT($B$7))</f>
        <v>-0.24380446182564</v>
      </c>
      <c r="E2479" s="0" t="str">
        <f aca="false">IF(OR(AND($B$9="superior",D2479&gt;$B$10),AND($B$9="inferior",D2479&lt;-$B$10)),"Rechazar H0","No rechazar H0")</f>
        <v>No rechazar H0</v>
      </c>
      <c r="F2479" s="0" t="str">
        <f aca="false">IF(AND(B2479="H0 verdadera",E2479="Rechazar H0"),"Error tipo I",IF(AND(B2479="Ha verdadera",E2479="No rechazar H0"),"Error tipo II","Decisión correcta"))</f>
        <v>Decisión correcta</v>
      </c>
    </row>
    <row r="2480" customFormat="false" ht="15" hidden="false" customHeight="false" outlineLevel="0" collapsed="false">
      <c r="A2480" s="0" t="n">
        <v>2459</v>
      </c>
      <c r="B2480" s="0" t="s">
        <v>85</v>
      </c>
      <c r="C2480" s="17" t="n">
        <v>0.0326307223469779</v>
      </c>
      <c r="D2480" s="17" t="n">
        <f aca="false">(C2480-$B$4)/($B$6/SQRT($B$7))</f>
        <v>0.16315361173489</v>
      </c>
      <c r="E2480" s="0" t="str">
        <f aca="false">IF(OR(AND($B$9="superior",D2480&gt;$B$10),AND($B$9="inferior",D2480&lt;-$B$10)),"Rechazar H0","No rechazar H0")</f>
        <v>No rechazar H0</v>
      </c>
      <c r="F2480" s="0" t="str">
        <f aca="false">IF(AND(B2480="H0 verdadera",E2480="Rechazar H0"),"Error tipo I",IF(AND(B2480="Ha verdadera",E2480="No rechazar H0"),"Error tipo II","Decisión correcta"))</f>
        <v>Decisión correcta</v>
      </c>
    </row>
    <row r="2481" customFormat="false" ht="15" hidden="false" customHeight="false" outlineLevel="0" collapsed="false">
      <c r="A2481" s="0" t="n">
        <v>2460</v>
      </c>
      <c r="B2481" s="0" t="s">
        <v>85</v>
      </c>
      <c r="C2481" s="17" t="n">
        <v>-0.201792174756533</v>
      </c>
      <c r="D2481" s="17" t="n">
        <f aca="false">(C2481-$B$4)/($B$6/SQRT($B$7))</f>
        <v>-1.00896087378267</v>
      </c>
      <c r="E2481" s="0" t="str">
        <f aca="false">IF(OR(AND($B$9="superior",D2481&gt;$B$10),AND($B$9="inferior",D2481&lt;-$B$10)),"Rechazar H0","No rechazar H0")</f>
        <v>No rechazar H0</v>
      </c>
      <c r="F2481" s="0" t="str">
        <f aca="false">IF(AND(B2481="H0 verdadera",E2481="Rechazar H0"),"Error tipo I",IF(AND(B2481="Ha verdadera",E2481="No rechazar H0"),"Error tipo II","Decisión correcta"))</f>
        <v>Decisión correcta</v>
      </c>
    </row>
    <row r="2482" customFormat="false" ht="15" hidden="false" customHeight="false" outlineLevel="0" collapsed="false">
      <c r="A2482" s="0" t="n">
        <v>2461</v>
      </c>
      <c r="B2482" s="0" t="s">
        <v>86</v>
      </c>
      <c r="C2482" s="17" t="n">
        <v>-0.166194755903229</v>
      </c>
      <c r="D2482" s="17" t="n">
        <f aca="false">(C2482-$B$4)/($B$6/SQRT($B$7))</f>
        <v>-0.830973779516147</v>
      </c>
      <c r="E2482" s="0" t="str">
        <f aca="false">IF(OR(AND($B$9="superior",D2482&gt;$B$10),AND($B$9="inferior",D2482&lt;-$B$10)),"Rechazar H0","No rechazar H0")</f>
        <v>No rechazar H0</v>
      </c>
      <c r="F2482" s="0" t="str">
        <f aca="false">IF(AND(B2482="H0 verdadera",E2482="Rechazar H0"),"Error tipo I",IF(AND(B2482="Ha verdadera",E2482="No rechazar H0"),"Error tipo II","Decisión correcta"))</f>
        <v>Error tipo II</v>
      </c>
    </row>
    <row r="2483" customFormat="false" ht="15" hidden="false" customHeight="false" outlineLevel="0" collapsed="false">
      <c r="A2483" s="0" t="n">
        <v>2462</v>
      </c>
      <c r="B2483" s="0" t="s">
        <v>85</v>
      </c>
      <c r="C2483" s="17" t="n">
        <v>-0.124113213767923</v>
      </c>
      <c r="D2483" s="17" t="n">
        <f aca="false">(C2483-$B$4)/($B$6/SQRT($B$7))</f>
        <v>-0.620566068839616</v>
      </c>
      <c r="E2483" s="0" t="str">
        <f aca="false">IF(OR(AND($B$9="superior",D2483&gt;$B$10),AND($B$9="inferior",D2483&lt;-$B$10)),"Rechazar H0","No rechazar H0")</f>
        <v>No rechazar H0</v>
      </c>
      <c r="F2483" s="0" t="str">
        <f aca="false">IF(AND(B2483="H0 verdadera",E2483="Rechazar H0"),"Error tipo I",IF(AND(B2483="Ha verdadera",E2483="No rechazar H0"),"Error tipo II","Decisión correcta"))</f>
        <v>Decisión correcta</v>
      </c>
    </row>
    <row r="2484" customFormat="false" ht="15" hidden="false" customHeight="false" outlineLevel="0" collapsed="false">
      <c r="A2484" s="0" t="n">
        <v>2463</v>
      </c>
      <c r="B2484" s="0" t="s">
        <v>86</v>
      </c>
      <c r="C2484" s="17" t="n">
        <v>-0.3398395095162</v>
      </c>
      <c r="D2484" s="17" t="n">
        <f aca="false">(C2484-$B$4)/($B$6/SQRT($B$7))</f>
        <v>-1.699197547581</v>
      </c>
      <c r="E2484" s="0" t="str">
        <f aca="false">IF(OR(AND($B$9="superior",D2484&gt;$B$10),AND($B$9="inferior",D2484&lt;-$B$10)),"Rechazar H0","No rechazar H0")</f>
        <v>Rechazar H0</v>
      </c>
      <c r="F2484" s="0" t="str">
        <f aca="false">IF(AND(B2484="H0 verdadera",E2484="Rechazar H0"),"Error tipo I",IF(AND(B2484="Ha verdadera",E2484="No rechazar H0"),"Error tipo II","Decisión correcta"))</f>
        <v>Decisión correcta</v>
      </c>
    </row>
    <row r="2485" customFormat="false" ht="15" hidden="false" customHeight="false" outlineLevel="0" collapsed="false">
      <c r="A2485" s="0" t="n">
        <v>2464</v>
      </c>
      <c r="B2485" s="0" t="s">
        <v>86</v>
      </c>
      <c r="C2485" s="17" t="n">
        <v>-0.266647809712435</v>
      </c>
      <c r="D2485" s="17" t="n">
        <f aca="false">(C2485-$B$4)/($B$6/SQRT($B$7))</f>
        <v>-1.33323904856217</v>
      </c>
      <c r="E2485" s="0" t="str">
        <f aca="false">IF(OR(AND($B$9="superior",D2485&gt;$B$10),AND($B$9="inferior",D2485&lt;-$B$10)),"Rechazar H0","No rechazar H0")</f>
        <v>No rechazar H0</v>
      </c>
      <c r="F2485" s="0" t="str">
        <f aca="false">IF(AND(B2485="H0 verdadera",E2485="Rechazar H0"),"Error tipo I",IF(AND(B2485="Ha verdadera",E2485="No rechazar H0"),"Error tipo II","Decisión correcta"))</f>
        <v>Error tipo II</v>
      </c>
    </row>
    <row r="2486" customFormat="false" ht="15" hidden="false" customHeight="false" outlineLevel="0" collapsed="false">
      <c r="A2486" s="0" t="n">
        <v>2465</v>
      </c>
      <c r="B2486" s="0" t="s">
        <v>85</v>
      </c>
      <c r="C2486" s="17" t="n">
        <v>0.0513291798333527</v>
      </c>
      <c r="D2486" s="17" t="n">
        <f aca="false">(C2486-$B$4)/($B$6/SQRT($B$7))</f>
        <v>0.256645899166763</v>
      </c>
      <c r="E2486" s="0" t="str">
        <f aca="false">IF(OR(AND($B$9="superior",D2486&gt;$B$10),AND($B$9="inferior",D2486&lt;-$B$10)),"Rechazar H0","No rechazar H0")</f>
        <v>No rechazar H0</v>
      </c>
      <c r="F2486" s="0" t="str">
        <f aca="false">IF(AND(B2486="H0 verdadera",E2486="Rechazar H0"),"Error tipo I",IF(AND(B2486="Ha verdadera",E2486="No rechazar H0"),"Error tipo II","Decisión correcta"))</f>
        <v>Decisión correcta</v>
      </c>
    </row>
    <row r="2487" customFormat="false" ht="15" hidden="false" customHeight="false" outlineLevel="0" collapsed="false">
      <c r="A2487" s="0" t="n">
        <v>2466</v>
      </c>
      <c r="B2487" s="0" t="s">
        <v>85</v>
      </c>
      <c r="C2487" s="17" t="n">
        <v>0.0228558826562968</v>
      </c>
      <c r="D2487" s="17" t="n">
        <f aca="false">(C2487-$B$4)/($B$6/SQRT($B$7))</f>
        <v>0.114279413281484</v>
      </c>
      <c r="E2487" s="0" t="str">
        <f aca="false">IF(OR(AND($B$9="superior",D2487&gt;$B$10),AND($B$9="inferior",D2487&lt;-$B$10)),"Rechazar H0","No rechazar H0")</f>
        <v>No rechazar H0</v>
      </c>
      <c r="F2487" s="0" t="str">
        <f aca="false">IF(AND(B2487="H0 verdadera",E2487="Rechazar H0"),"Error tipo I",IF(AND(B2487="Ha verdadera",E2487="No rechazar H0"),"Error tipo II","Decisión correcta"))</f>
        <v>Decisión correcta</v>
      </c>
    </row>
    <row r="2488" customFormat="false" ht="15" hidden="false" customHeight="false" outlineLevel="0" collapsed="false">
      <c r="A2488" s="0" t="n">
        <v>2467</v>
      </c>
      <c r="B2488" s="0" t="s">
        <v>85</v>
      </c>
      <c r="C2488" s="17" t="n">
        <v>-0.0353216560614086</v>
      </c>
      <c r="D2488" s="17" t="n">
        <f aca="false">(C2488-$B$4)/($B$6/SQRT($B$7))</f>
        <v>-0.176608280307043</v>
      </c>
      <c r="E2488" s="0" t="str">
        <f aca="false">IF(OR(AND($B$9="superior",D2488&gt;$B$10),AND($B$9="inferior",D2488&lt;-$B$10)),"Rechazar H0","No rechazar H0")</f>
        <v>No rechazar H0</v>
      </c>
      <c r="F2488" s="0" t="str">
        <f aca="false">IF(AND(B2488="H0 verdadera",E2488="Rechazar H0"),"Error tipo I",IF(AND(B2488="Ha verdadera",E2488="No rechazar H0"),"Error tipo II","Decisión correcta"))</f>
        <v>Decisión correcta</v>
      </c>
    </row>
    <row r="2489" customFormat="false" ht="15" hidden="false" customHeight="false" outlineLevel="0" collapsed="false">
      <c r="A2489" s="0" t="n">
        <v>2468</v>
      </c>
      <c r="B2489" s="0" t="s">
        <v>85</v>
      </c>
      <c r="C2489" s="17" t="n">
        <v>-0.164587110885545</v>
      </c>
      <c r="D2489" s="17" t="n">
        <f aca="false">(C2489-$B$4)/($B$6/SQRT($B$7))</f>
        <v>-0.822935554427723</v>
      </c>
      <c r="E2489" s="0" t="str">
        <f aca="false">IF(OR(AND($B$9="superior",D2489&gt;$B$10),AND($B$9="inferior",D2489&lt;-$B$10)),"Rechazar H0","No rechazar H0")</f>
        <v>No rechazar H0</v>
      </c>
      <c r="F2489" s="0" t="str">
        <f aca="false">IF(AND(B2489="H0 verdadera",E2489="Rechazar H0"),"Error tipo I",IF(AND(B2489="Ha verdadera",E2489="No rechazar H0"),"Error tipo II","Decisión correcta"))</f>
        <v>Decisión correcta</v>
      </c>
    </row>
    <row r="2490" customFormat="false" ht="15" hidden="false" customHeight="false" outlineLevel="0" collapsed="false">
      <c r="A2490" s="0" t="n">
        <v>2469</v>
      </c>
      <c r="B2490" s="0" t="s">
        <v>85</v>
      </c>
      <c r="C2490" s="17" t="n">
        <v>0.248324649350842</v>
      </c>
      <c r="D2490" s="17" t="n">
        <f aca="false">(C2490-$B$4)/($B$6/SQRT($B$7))</f>
        <v>1.24162324675421</v>
      </c>
      <c r="E2490" s="0" t="str">
        <f aca="false">IF(OR(AND($B$9="superior",D2490&gt;$B$10),AND($B$9="inferior",D2490&lt;-$B$10)),"Rechazar H0","No rechazar H0")</f>
        <v>No rechazar H0</v>
      </c>
      <c r="F2490" s="0" t="str">
        <f aca="false">IF(AND(B2490="H0 verdadera",E2490="Rechazar H0"),"Error tipo I",IF(AND(B2490="Ha verdadera",E2490="No rechazar H0"),"Error tipo II","Decisión correcta"))</f>
        <v>Decisión correcta</v>
      </c>
    </row>
    <row r="2491" customFormat="false" ht="15" hidden="false" customHeight="false" outlineLevel="0" collapsed="false">
      <c r="A2491" s="0" t="n">
        <v>2470</v>
      </c>
      <c r="B2491" s="0" t="s">
        <v>86</v>
      </c>
      <c r="C2491" s="17" t="n">
        <v>-0.36792892850531</v>
      </c>
      <c r="D2491" s="17" t="n">
        <f aca="false">(C2491-$B$4)/($B$6/SQRT($B$7))</f>
        <v>-1.83964464252655</v>
      </c>
      <c r="E2491" s="0" t="str">
        <f aca="false">IF(OR(AND($B$9="superior",D2491&gt;$B$10),AND($B$9="inferior",D2491&lt;-$B$10)),"Rechazar H0","No rechazar H0")</f>
        <v>Rechazar H0</v>
      </c>
      <c r="F2491" s="0" t="str">
        <f aca="false">IF(AND(B2491="H0 verdadera",E2491="Rechazar H0"),"Error tipo I",IF(AND(B2491="Ha verdadera",E2491="No rechazar H0"),"Error tipo II","Decisión correcta"))</f>
        <v>Decisión correcta</v>
      </c>
    </row>
    <row r="2492" customFormat="false" ht="15" hidden="false" customHeight="false" outlineLevel="0" collapsed="false">
      <c r="A2492" s="0" t="n">
        <v>2471</v>
      </c>
      <c r="B2492" s="0" t="s">
        <v>85</v>
      </c>
      <c r="C2492" s="17" t="n">
        <v>-0.169709459189913</v>
      </c>
      <c r="D2492" s="17" t="n">
        <f aca="false">(C2492-$B$4)/($B$6/SQRT($B$7))</f>
        <v>-0.848547295949563</v>
      </c>
      <c r="E2492" s="0" t="str">
        <f aca="false">IF(OR(AND($B$9="superior",D2492&gt;$B$10),AND($B$9="inferior",D2492&lt;-$B$10)),"Rechazar H0","No rechazar H0")</f>
        <v>No rechazar H0</v>
      </c>
      <c r="F2492" s="0" t="str">
        <f aca="false">IF(AND(B2492="H0 verdadera",E2492="Rechazar H0"),"Error tipo I",IF(AND(B2492="Ha verdadera",E2492="No rechazar H0"),"Error tipo II","Decisión correcta"))</f>
        <v>Decisión correcta</v>
      </c>
    </row>
    <row r="2493" customFormat="false" ht="15" hidden="false" customHeight="false" outlineLevel="0" collapsed="false">
      <c r="A2493" s="0" t="n">
        <v>2472</v>
      </c>
      <c r="B2493" s="0" t="s">
        <v>86</v>
      </c>
      <c r="C2493" s="17" t="n">
        <v>-0.237081029313903</v>
      </c>
      <c r="D2493" s="17" t="n">
        <f aca="false">(C2493-$B$4)/($B$6/SQRT($B$7))</f>
        <v>-1.18540514656952</v>
      </c>
      <c r="E2493" s="0" t="str">
        <f aca="false">IF(OR(AND($B$9="superior",D2493&gt;$B$10),AND($B$9="inferior",D2493&lt;-$B$10)),"Rechazar H0","No rechazar H0")</f>
        <v>No rechazar H0</v>
      </c>
      <c r="F2493" s="0" t="str">
        <f aca="false">IF(AND(B2493="H0 verdadera",E2493="Rechazar H0"),"Error tipo I",IF(AND(B2493="Ha verdadera",E2493="No rechazar H0"),"Error tipo II","Decisión correcta"))</f>
        <v>Error tipo II</v>
      </c>
    </row>
    <row r="2494" customFormat="false" ht="15" hidden="false" customHeight="false" outlineLevel="0" collapsed="false">
      <c r="A2494" s="0" t="n">
        <v>2473</v>
      </c>
      <c r="B2494" s="0" t="s">
        <v>85</v>
      </c>
      <c r="C2494" s="17" t="n">
        <v>0.10906745543973</v>
      </c>
      <c r="D2494" s="17" t="n">
        <f aca="false">(C2494-$B$4)/($B$6/SQRT($B$7))</f>
        <v>0.545337277198648</v>
      </c>
      <c r="E2494" s="0" t="str">
        <f aca="false">IF(OR(AND($B$9="superior",D2494&gt;$B$10),AND($B$9="inferior",D2494&lt;-$B$10)),"Rechazar H0","No rechazar H0")</f>
        <v>No rechazar H0</v>
      </c>
      <c r="F2494" s="0" t="str">
        <f aca="false">IF(AND(B2494="H0 verdadera",E2494="Rechazar H0"),"Error tipo I",IF(AND(B2494="Ha verdadera",E2494="No rechazar H0"),"Error tipo II","Decisión correcta"))</f>
        <v>Decisión correcta</v>
      </c>
    </row>
    <row r="2495" customFormat="false" ht="15" hidden="false" customHeight="false" outlineLevel="0" collapsed="false">
      <c r="A2495" s="0" t="n">
        <v>2474</v>
      </c>
      <c r="B2495" s="0" t="s">
        <v>86</v>
      </c>
      <c r="C2495" s="17" t="n">
        <v>-0.626490838868714</v>
      </c>
      <c r="D2495" s="17" t="n">
        <f aca="false">(C2495-$B$4)/($B$6/SQRT($B$7))</f>
        <v>-3.13245419434357</v>
      </c>
      <c r="E2495" s="0" t="str">
        <f aca="false">IF(OR(AND($B$9="superior",D2495&gt;$B$10),AND($B$9="inferior",D2495&lt;-$B$10)),"Rechazar H0","No rechazar H0")</f>
        <v>Rechazar H0</v>
      </c>
      <c r="F2495" s="0" t="str">
        <f aca="false">IF(AND(B2495="H0 verdadera",E2495="Rechazar H0"),"Error tipo I",IF(AND(B2495="Ha verdadera",E2495="No rechazar H0"),"Error tipo II","Decisión correcta"))</f>
        <v>Decisión correcta</v>
      </c>
    </row>
    <row r="2496" customFormat="false" ht="15" hidden="false" customHeight="false" outlineLevel="0" collapsed="false">
      <c r="A2496" s="0" t="n">
        <v>2475</v>
      </c>
      <c r="B2496" s="0" t="s">
        <v>86</v>
      </c>
      <c r="C2496" s="17" t="n">
        <v>-0.292261456294594</v>
      </c>
      <c r="D2496" s="17" t="n">
        <f aca="false">(C2496-$B$4)/($B$6/SQRT($B$7))</f>
        <v>-1.46130728147297</v>
      </c>
      <c r="E2496" s="0" t="str">
        <f aca="false">IF(OR(AND($B$9="superior",D2496&gt;$B$10),AND($B$9="inferior",D2496&lt;-$B$10)),"Rechazar H0","No rechazar H0")</f>
        <v>No rechazar H0</v>
      </c>
      <c r="F2496" s="0" t="str">
        <f aca="false">IF(AND(B2496="H0 verdadera",E2496="Rechazar H0"),"Error tipo I",IF(AND(B2496="Ha verdadera",E2496="No rechazar H0"),"Error tipo II","Decisión correcta"))</f>
        <v>Error tipo II</v>
      </c>
    </row>
    <row r="2497" customFormat="false" ht="15" hidden="false" customHeight="false" outlineLevel="0" collapsed="false">
      <c r="A2497" s="0" t="n">
        <v>2476</v>
      </c>
      <c r="B2497" s="0" t="s">
        <v>86</v>
      </c>
      <c r="C2497" s="17" t="n">
        <v>-0.472733549964944</v>
      </c>
      <c r="D2497" s="17" t="n">
        <f aca="false">(C2497-$B$4)/($B$6/SQRT($B$7))</f>
        <v>-2.36366774982472</v>
      </c>
      <c r="E2497" s="0" t="str">
        <f aca="false">IF(OR(AND($B$9="superior",D2497&gt;$B$10),AND($B$9="inferior",D2497&lt;-$B$10)),"Rechazar H0","No rechazar H0")</f>
        <v>Rechazar H0</v>
      </c>
      <c r="F2497" s="0" t="str">
        <f aca="false">IF(AND(B2497="H0 verdadera",E2497="Rechazar H0"),"Error tipo I",IF(AND(B2497="Ha verdadera",E2497="No rechazar H0"),"Error tipo II","Decisión correcta"))</f>
        <v>Decisión correcta</v>
      </c>
    </row>
    <row r="2498" customFormat="false" ht="15" hidden="false" customHeight="false" outlineLevel="0" collapsed="false">
      <c r="A2498" s="0" t="n">
        <v>2477</v>
      </c>
      <c r="B2498" s="0" t="s">
        <v>85</v>
      </c>
      <c r="C2498" s="17" t="n">
        <v>-0.0467188309815585</v>
      </c>
      <c r="D2498" s="17" t="n">
        <f aca="false">(C2498-$B$4)/($B$6/SQRT($B$7))</f>
        <v>-0.233594154907792</v>
      </c>
      <c r="E2498" s="0" t="str">
        <f aca="false">IF(OR(AND($B$9="superior",D2498&gt;$B$10),AND($B$9="inferior",D2498&lt;-$B$10)),"Rechazar H0","No rechazar H0")</f>
        <v>No rechazar H0</v>
      </c>
      <c r="F2498" s="0" t="str">
        <f aca="false">IF(AND(B2498="H0 verdadera",E2498="Rechazar H0"),"Error tipo I",IF(AND(B2498="Ha verdadera",E2498="No rechazar H0"),"Error tipo II","Decisión correcta"))</f>
        <v>Decisión correcta</v>
      </c>
    </row>
    <row r="2499" customFormat="false" ht="15" hidden="false" customHeight="false" outlineLevel="0" collapsed="false">
      <c r="A2499" s="0" t="n">
        <v>2478</v>
      </c>
      <c r="B2499" s="0" t="s">
        <v>86</v>
      </c>
      <c r="C2499" s="17" t="n">
        <v>-0.497469787811702</v>
      </c>
      <c r="D2499" s="17" t="n">
        <f aca="false">(C2499-$B$4)/($B$6/SQRT($B$7))</f>
        <v>-2.48734893905851</v>
      </c>
      <c r="E2499" s="0" t="str">
        <f aca="false">IF(OR(AND($B$9="superior",D2499&gt;$B$10),AND($B$9="inferior",D2499&lt;-$B$10)),"Rechazar H0","No rechazar H0")</f>
        <v>Rechazar H0</v>
      </c>
      <c r="F2499" s="0" t="str">
        <f aca="false">IF(AND(B2499="H0 verdadera",E2499="Rechazar H0"),"Error tipo I",IF(AND(B2499="Ha verdadera",E2499="No rechazar H0"),"Error tipo II","Decisión correcta"))</f>
        <v>Decisión correcta</v>
      </c>
    </row>
    <row r="2500" customFormat="false" ht="15" hidden="false" customHeight="false" outlineLevel="0" collapsed="false">
      <c r="A2500" s="0" t="n">
        <v>2479</v>
      </c>
      <c r="B2500" s="0" t="s">
        <v>86</v>
      </c>
      <c r="C2500" s="17" t="n">
        <v>-0.0966444287262673</v>
      </c>
      <c r="D2500" s="17" t="n">
        <f aca="false">(C2500-$B$4)/($B$6/SQRT($B$7))</f>
        <v>-0.483222143631336</v>
      </c>
      <c r="E2500" s="0" t="str">
        <f aca="false">IF(OR(AND($B$9="superior",D2500&gt;$B$10),AND($B$9="inferior",D2500&lt;-$B$10)),"Rechazar H0","No rechazar H0")</f>
        <v>No rechazar H0</v>
      </c>
      <c r="F2500" s="0" t="str">
        <f aca="false">IF(AND(B2500="H0 verdadera",E2500="Rechazar H0"),"Error tipo I",IF(AND(B2500="Ha verdadera",E2500="No rechazar H0"),"Error tipo II","Decisión correcta"))</f>
        <v>Error tipo II</v>
      </c>
    </row>
    <row r="2501" customFormat="false" ht="15" hidden="false" customHeight="false" outlineLevel="0" collapsed="false">
      <c r="A2501" s="0" t="n">
        <v>2480</v>
      </c>
      <c r="B2501" s="0" t="s">
        <v>85</v>
      </c>
      <c r="C2501" s="17" t="n">
        <v>0.406958296019484</v>
      </c>
      <c r="D2501" s="17" t="n">
        <f aca="false">(C2501-$B$4)/($B$6/SQRT($B$7))</f>
        <v>2.03479148009742</v>
      </c>
      <c r="E2501" s="0" t="str">
        <f aca="false">IF(OR(AND($B$9="superior",D2501&gt;$B$10),AND($B$9="inferior",D2501&lt;-$B$10)),"Rechazar H0","No rechazar H0")</f>
        <v>No rechazar H0</v>
      </c>
      <c r="F2501" s="0" t="str">
        <f aca="false">IF(AND(B2501="H0 verdadera",E2501="Rechazar H0"),"Error tipo I",IF(AND(B2501="Ha verdadera",E2501="No rechazar H0"),"Error tipo II","Decisión correcta"))</f>
        <v>Decisión correcta</v>
      </c>
    </row>
    <row r="2502" customFormat="false" ht="15" hidden="false" customHeight="false" outlineLevel="0" collapsed="false">
      <c r="A2502" s="0" t="n">
        <v>2481</v>
      </c>
      <c r="B2502" s="0" t="s">
        <v>86</v>
      </c>
      <c r="C2502" s="17" t="n">
        <v>-0.29406200376212</v>
      </c>
      <c r="D2502" s="17" t="n">
        <f aca="false">(C2502-$B$4)/($B$6/SQRT($B$7))</f>
        <v>-1.4703100188106</v>
      </c>
      <c r="E2502" s="0" t="str">
        <f aca="false">IF(OR(AND($B$9="superior",D2502&gt;$B$10),AND($B$9="inferior",D2502&lt;-$B$10)),"Rechazar H0","No rechazar H0")</f>
        <v>No rechazar H0</v>
      </c>
      <c r="F2502" s="0" t="str">
        <f aca="false">IF(AND(B2502="H0 verdadera",E2502="Rechazar H0"),"Error tipo I",IF(AND(B2502="Ha verdadera",E2502="No rechazar H0"),"Error tipo II","Decisión correcta"))</f>
        <v>Error tipo II</v>
      </c>
    </row>
    <row r="2503" customFormat="false" ht="15" hidden="false" customHeight="false" outlineLevel="0" collapsed="false">
      <c r="A2503" s="0" t="n">
        <v>2482</v>
      </c>
      <c r="B2503" s="0" t="s">
        <v>85</v>
      </c>
      <c r="C2503" s="17" t="n">
        <v>0.0588152364349031</v>
      </c>
      <c r="D2503" s="17" t="n">
        <f aca="false">(C2503-$B$4)/($B$6/SQRT($B$7))</f>
        <v>0.294076182174515</v>
      </c>
      <c r="E2503" s="0" t="str">
        <f aca="false">IF(OR(AND($B$9="superior",D2503&gt;$B$10),AND($B$9="inferior",D2503&lt;-$B$10)),"Rechazar H0","No rechazar H0")</f>
        <v>No rechazar H0</v>
      </c>
      <c r="F2503" s="0" t="str">
        <f aca="false">IF(AND(B2503="H0 verdadera",E2503="Rechazar H0"),"Error tipo I",IF(AND(B2503="Ha verdadera",E2503="No rechazar H0"),"Error tipo II","Decisión correcta"))</f>
        <v>Decisión correcta</v>
      </c>
    </row>
    <row r="2504" customFormat="false" ht="15" hidden="false" customHeight="false" outlineLevel="0" collapsed="false">
      <c r="A2504" s="0" t="n">
        <v>2483</v>
      </c>
      <c r="B2504" s="0" t="s">
        <v>85</v>
      </c>
      <c r="C2504" s="17" t="n">
        <v>-0.141410281102334</v>
      </c>
      <c r="D2504" s="17" t="n">
        <f aca="false">(C2504-$B$4)/($B$6/SQRT($B$7))</f>
        <v>-0.707051405511671</v>
      </c>
      <c r="E2504" s="0" t="str">
        <f aca="false">IF(OR(AND($B$9="superior",D2504&gt;$B$10),AND($B$9="inferior",D2504&lt;-$B$10)),"Rechazar H0","No rechazar H0")</f>
        <v>No rechazar H0</v>
      </c>
      <c r="F2504" s="0" t="str">
        <f aca="false">IF(AND(B2504="H0 verdadera",E2504="Rechazar H0"),"Error tipo I",IF(AND(B2504="Ha verdadera",E2504="No rechazar H0"),"Error tipo II","Decisión correcta"))</f>
        <v>Decisión correcta</v>
      </c>
    </row>
    <row r="2505" customFormat="false" ht="15" hidden="false" customHeight="false" outlineLevel="0" collapsed="false">
      <c r="A2505" s="0" t="n">
        <v>2484</v>
      </c>
      <c r="B2505" s="0" t="s">
        <v>85</v>
      </c>
      <c r="C2505" s="17" t="n">
        <v>-0.0637126001169994</v>
      </c>
      <c r="D2505" s="17" t="n">
        <f aca="false">(C2505-$B$4)/($B$6/SQRT($B$7))</f>
        <v>-0.318563000584997</v>
      </c>
      <c r="E2505" s="0" t="str">
        <f aca="false">IF(OR(AND($B$9="superior",D2505&gt;$B$10),AND($B$9="inferior",D2505&lt;-$B$10)),"Rechazar H0","No rechazar H0")</f>
        <v>No rechazar H0</v>
      </c>
      <c r="F2505" s="0" t="str">
        <f aca="false">IF(AND(B2505="H0 verdadera",E2505="Rechazar H0"),"Error tipo I",IF(AND(B2505="Ha verdadera",E2505="No rechazar H0"),"Error tipo II","Decisión correcta"))</f>
        <v>Decisión correcta</v>
      </c>
    </row>
    <row r="2506" customFormat="false" ht="15" hidden="false" customHeight="false" outlineLevel="0" collapsed="false">
      <c r="A2506" s="0" t="n">
        <v>2485</v>
      </c>
      <c r="B2506" s="0" t="s">
        <v>85</v>
      </c>
      <c r="C2506" s="17" t="n">
        <v>0.00221227603538164</v>
      </c>
      <c r="D2506" s="17" t="n">
        <f aca="false">(C2506-$B$4)/($B$6/SQRT($B$7))</f>
        <v>0.0110613801769082</v>
      </c>
      <c r="E2506" s="0" t="str">
        <f aca="false">IF(OR(AND($B$9="superior",D2506&gt;$B$10),AND($B$9="inferior",D2506&lt;-$B$10)),"Rechazar H0","No rechazar H0")</f>
        <v>No rechazar H0</v>
      </c>
      <c r="F2506" s="0" t="str">
        <f aca="false">IF(AND(B2506="H0 verdadera",E2506="Rechazar H0"),"Error tipo I",IF(AND(B2506="Ha verdadera",E2506="No rechazar H0"),"Error tipo II","Decisión correcta"))</f>
        <v>Decisión correcta</v>
      </c>
    </row>
    <row r="2507" customFormat="false" ht="15" hidden="false" customHeight="false" outlineLevel="0" collapsed="false">
      <c r="A2507" s="0" t="n">
        <v>2486</v>
      </c>
      <c r="B2507" s="0" t="s">
        <v>85</v>
      </c>
      <c r="C2507" s="17" t="n">
        <v>0.189482358647866</v>
      </c>
      <c r="D2507" s="17" t="n">
        <f aca="false">(C2507-$B$4)/($B$6/SQRT($B$7))</f>
        <v>0.947411793239331</v>
      </c>
      <c r="E2507" s="0" t="str">
        <f aca="false">IF(OR(AND($B$9="superior",D2507&gt;$B$10),AND($B$9="inferior",D2507&lt;-$B$10)),"Rechazar H0","No rechazar H0")</f>
        <v>No rechazar H0</v>
      </c>
      <c r="F2507" s="0" t="str">
        <f aca="false">IF(AND(B2507="H0 verdadera",E2507="Rechazar H0"),"Error tipo I",IF(AND(B2507="Ha verdadera",E2507="No rechazar H0"),"Error tipo II","Decisión correcta"))</f>
        <v>Decisión correcta</v>
      </c>
    </row>
    <row r="2508" customFormat="false" ht="15" hidden="false" customHeight="false" outlineLevel="0" collapsed="false">
      <c r="A2508" s="0" t="n">
        <v>2487</v>
      </c>
      <c r="B2508" s="0" t="s">
        <v>85</v>
      </c>
      <c r="C2508" s="17" t="n">
        <v>0.247667283795448</v>
      </c>
      <c r="D2508" s="17" t="n">
        <f aca="false">(C2508-$B$4)/($B$6/SQRT($B$7))</f>
        <v>1.23833641897724</v>
      </c>
      <c r="E2508" s="0" t="str">
        <f aca="false">IF(OR(AND($B$9="superior",D2508&gt;$B$10),AND($B$9="inferior",D2508&lt;-$B$10)),"Rechazar H0","No rechazar H0")</f>
        <v>No rechazar H0</v>
      </c>
      <c r="F2508" s="0" t="str">
        <f aca="false">IF(AND(B2508="H0 verdadera",E2508="Rechazar H0"),"Error tipo I",IF(AND(B2508="Ha verdadera",E2508="No rechazar H0"),"Error tipo II","Decisión correcta"))</f>
        <v>Decisión correcta</v>
      </c>
    </row>
    <row r="2509" customFormat="false" ht="15" hidden="false" customHeight="false" outlineLevel="0" collapsed="false">
      <c r="A2509" s="0" t="n">
        <v>2488</v>
      </c>
      <c r="B2509" s="0" t="s">
        <v>85</v>
      </c>
      <c r="C2509" s="17" t="n">
        <v>-0.115271646521208</v>
      </c>
      <c r="D2509" s="17" t="n">
        <f aca="false">(C2509-$B$4)/($B$6/SQRT($B$7))</f>
        <v>-0.57635823260604</v>
      </c>
      <c r="E2509" s="0" t="str">
        <f aca="false">IF(OR(AND($B$9="superior",D2509&gt;$B$10),AND($B$9="inferior",D2509&lt;-$B$10)),"Rechazar H0","No rechazar H0")</f>
        <v>No rechazar H0</v>
      </c>
      <c r="F2509" s="0" t="str">
        <f aca="false">IF(AND(B2509="H0 verdadera",E2509="Rechazar H0"),"Error tipo I",IF(AND(B2509="Ha verdadera",E2509="No rechazar H0"),"Error tipo II","Decisión correcta"))</f>
        <v>Decisión correcta</v>
      </c>
    </row>
    <row r="2510" customFormat="false" ht="15" hidden="false" customHeight="false" outlineLevel="0" collapsed="false">
      <c r="A2510" s="0" t="n">
        <v>2489</v>
      </c>
      <c r="B2510" s="0" t="s">
        <v>85</v>
      </c>
      <c r="C2510" s="17" t="n">
        <v>-0.301685100787116</v>
      </c>
      <c r="D2510" s="17" t="n">
        <f aca="false">(C2510-$B$4)/($B$6/SQRT($B$7))</f>
        <v>-1.50842550393558</v>
      </c>
      <c r="E2510" s="0" t="str">
        <f aca="false">IF(OR(AND($B$9="superior",D2510&gt;$B$10),AND($B$9="inferior",D2510&lt;-$B$10)),"Rechazar H0","No rechazar H0")</f>
        <v>No rechazar H0</v>
      </c>
      <c r="F2510" s="0" t="str">
        <f aca="false">IF(AND(B2510="H0 verdadera",E2510="Rechazar H0"),"Error tipo I",IF(AND(B2510="Ha verdadera",E2510="No rechazar H0"),"Error tipo II","Decisión correcta"))</f>
        <v>Decisión correcta</v>
      </c>
    </row>
    <row r="2511" customFormat="false" ht="15" hidden="false" customHeight="false" outlineLevel="0" collapsed="false">
      <c r="A2511" s="0" t="n">
        <v>2490</v>
      </c>
      <c r="B2511" s="0" t="s">
        <v>85</v>
      </c>
      <c r="C2511" s="17" t="n">
        <v>0.143944181664496</v>
      </c>
      <c r="D2511" s="17" t="n">
        <f aca="false">(C2511-$B$4)/($B$6/SQRT($B$7))</f>
        <v>0.719720908322479</v>
      </c>
      <c r="E2511" s="0" t="str">
        <f aca="false">IF(OR(AND($B$9="superior",D2511&gt;$B$10),AND($B$9="inferior",D2511&lt;-$B$10)),"Rechazar H0","No rechazar H0")</f>
        <v>No rechazar H0</v>
      </c>
      <c r="F2511" s="0" t="str">
        <f aca="false">IF(AND(B2511="H0 verdadera",E2511="Rechazar H0"),"Error tipo I",IF(AND(B2511="Ha verdadera",E2511="No rechazar H0"),"Error tipo II","Decisión correcta"))</f>
        <v>Decisión correcta</v>
      </c>
    </row>
    <row r="2512" customFormat="false" ht="15" hidden="false" customHeight="false" outlineLevel="0" collapsed="false">
      <c r="A2512" s="0" t="n">
        <v>2491</v>
      </c>
      <c r="B2512" s="0" t="s">
        <v>86</v>
      </c>
      <c r="C2512" s="17" t="n">
        <v>-0.134382514693624</v>
      </c>
      <c r="D2512" s="17" t="n">
        <f aca="false">(C2512-$B$4)/($B$6/SQRT($B$7))</f>
        <v>-0.671912573468121</v>
      </c>
      <c r="E2512" s="0" t="str">
        <f aca="false">IF(OR(AND($B$9="superior",D2512&gt;$B$10),AND($B$9="inferior",D2512&lt;-$B$10)),"Rechazar H0","No rechazar H0")</f>
        <v>No rechazar H0</v>
      </c>
      <c r="F2512" s="0" t="str">
        <f aca="false">IF(AND(B2512="H0 verdadera",E2512="Rechazar H0"),"Error tipo I",IF(AND(B2512="Ha verdadera",E2512="No rechazar H0"),"Error tipo II","Decisión correcta"))</f>
        <v>Error tipo II</v>
      </c>
    </row>
    <row r="2513" customFormat="false" ht="15" hidden="false" customHeight="false" outlineLevel="0" collapsed="false">
      <c r="A2513" s="0" t="n">
        <v>2492</v>
      </c>
      <c r="B2513" s="0" t="s">
        <v>85</v>
      </c>
      <c r="C2513" s="17" t="n">
        <v>-0.0927157564648763</v>
      </c>
      <c r="D2513" s="17" t="n">
        <f aca="false">(C2513-$B$4)/($B$6/SQRT($B$7))</f>
        <v>-0.463578782324382</v>
      </c>
      <c r="E2513" s="0" t="str">
        <f aca="false">IF(OR(AND($B$9="superior",D2513&gt;$B$10),AND($B$9="inferior",D2513&lt;-$B$10)),"Rechazar H0","No rechazar H0")</f>
        <v>No rechazar H0</v>
      </c>
      <c r="F2513" s="0" t="str">
        <f aca="false">IF(AND(B2513="H0 verdadera",E2513="Rechazar H0"),"Error tipo I",IF(AND(B2513="Ha verdadera",E2513="No rechazar H0"),"Error tipo II","Decisión correcta"))</f>
        <v>Decisión correcta</v>
      </c>
    </row>
    <row r="2514" customFormat="false" ht="15" hidden="false" customHeight="false" outlineLevel="0" collapsed="false">
      <c r="A2514" s="0" t="n">
        <v>2493</v>
      </c>
      <c r="B2514" s="0" t="s">
        <v>85</v>
      </c>
      <c r="C2514" s="17" t="n">
        <v>0.0933327439417888</v>
      </c>
      <c r="D2514" s="17" t="n">
        <f aca="false">(C2514-$B$4)/($B$6/SQRT($B$7))</f>
        <v>0.466663719708944</v>
      </c>
      <c r="E2514" s="0" t="str">
        <f aca="false">IF(OR(AND($B$9="superior",D2514&gt;$B$10),AND($B$9="inferior",D2514&lt;-$B$10)),"Rechazar H0","No rechazar H0")</f>
        <v>No rechazar H0</v>
      </c>
      <c r="F2514" s="0" t="str">
        <f aca="false">IF(AND(B2514="H0 verdadera",E2514="Rechazar H0"),"Error tipo I",IF(AND(B2514="Ha verdadera",E2514="No rechazar H0"),"Error tipo II","Decisión correcta"))</f>
        <v>Decisión correcta</v>
      </c>
    </row>
    <row r="2515" customFormat="false" ht="15" hidden="false" customHeight="false" outlineLevel="0" collapsed="false">
      <c r="A2515" s="0" t="n">
        <v>2494</v>
      </c>
      <c r="B2515" s="0" t="s">
        <v>86</v>
      </c>
      <c r="C2515" s="17" t="n">
        <v>-0.562723739006437</v>
      </c>
      <c r="D2515" s="17" t="n">
        <f aca="false">(C2515-$B$4)/($B$6/SQRT($B$7))</f>
        <v>-2.81361869503218</v>
      </c>
      <c r="E2515" s="0" t="str">
        <f aca="false">IF(OR(AND($B$9="superior",D2515&gt;$B$10),AND($B$9="inferior",D2515&lt;-$B$10)),"Rechazar H0","No rechazar H0")</f>
        <v>Rechazar H0</v>
      </c>
      <c r="F2515" s="0" t="str">
        <f aca="false">IF(AND(B2515="H0 verdadera",E2515="Rechazar H0"),"Error tipo I",IF(AND(B2515="Ha verdadera",E2515="No rechazar H0"),"Error tipo II","Decisión correcta"))</f>
        <v>Decisión correcta</v>
      </c>
    </row>
    <row r="2516" customFormat="false" ht="15" hidden="false" customHeight="false" outlineLevel="0" collapsed="false">
      <c r="A2516" s="0" t="n">
        <v>2495</v>
      </c>
      <c r="B2516" s="0" t="s">
        <v>85</v>
      </c>
      <c r="C2516" s="17" t="n">
        <v>0.266611454926854</v>
      </c>
      <c r="D2516" s="17" t="n">
        <f aca="false">(C2516-$B$4)/($B$6/SQRT($B$7))</f>
        <v>1.33305727463427</v>
      </c>
      <c r="E2516" s="0" t="str">
        <f aca="false">IF(OR(AND($B$9="superior",D2516&gt;$B$10),AND($B$9="inferior",D2516&lt;-$B$10)),"Rechazar H0","No rechazar H0")</f>
        <v>No rechazar H0</v>
      </c>
      <c r="F2516" s="0" t="str">
        <f aca="false">IF(AND(B2516="H0 verdadera",E2516="Rechazar H0"),"Error tipo I",IF(AND(B2516="Ha verdadera",E2516="No rechazar H0"),"Error tipo II","Decisión correcta"))</f>
        <v>Decisión correcta</v>
      </c>
    </row>
    <row r="2517" customFormat="false" ht="15" hidden="false" customHeight="false" outlineLevel="0" collapsed="false">
      <c r="A2517" s="0" t="n">
        <v>2496</v>
      </c>
      <c r="B2517" s="0" t="s">
        <v>86</v>
      </c>
      <c r="C2517" s="17" t="n">
        <v>-0.372867479923864</v>
      </c>
      <c r="D2517" s="17" t="n">
        <f aca="false">(C2517-$B$4)/($B$6/SQRT($B$7))</f>
        <v>-1.86433739961932</v>
      </c>
      <c r="E2517" s="0" t="str">
        <f aca="false">IF(OR(AND($B$9="superior",D2517&gt;$B$10),AND($B$9="inferior",D2517&lt;-$B$10)),"Rechazar H0","No rechazar H0")</f>
        <v>Rechazar H0</v>
      </c>
      <c r="F2517" s="0" t="str">
        <f aca="false">IF(AND(B2517="H0 verdadera",E2517="Rechazar H0"),"Error tipo I",IF(AND(B2517="Ha verdadera",E2517="No rechazar H0"),"Error tipo II","Decisión correcta"))</f>
        <v>Decisión correcta</v>
      </c>
    </row>
    <row r="2518" customFormat="false" ht="15" hidden="false" customHeight="false" outlineLevel="0" collapsed="false">
      <c r="A2518" s="0" t="n">
        <v>2497</v>
      </c>
      <c r="B2518" s="0" t="s">
        <v>85</v>
      </c>
      <c r="C2518" s="17" t="n">
        <v>-0.0985474988125597</v>
      </c>
      <c r="D2518" s="17" t="n">
        <f aca="false">(C2518-$B$4)/($B$6/SQRT($B$7))</f>
        <v>-0.492737494062799</v>
      </c>
      <c r="E2518" s="0" t="str">
        <f aca="false">IF(OR(AND($B$9="superior",D2518&gt;$B$10),AND($B$9="inferior",D2518&lt;-$B$10)),"Rechazar H0","No rechazar H0")</f>
        <v>No rechazar H0</v>
      </c>
      <c r="F2518" s="0" t="str">
        <f aca="false">IF(AND(B2518="H0 verdadera",E2518="Rechazar H0"),"Error tipo I",IF(AND(B2518="Ha verdadera",E2518="No rechazar H0"),"Error tipo II","Decisión correcta"))</f>
        <v>Decisión correcta</v>
      </c>
    </row>
    <row r="2519" customFormat="false" ht="15" hidden="false" customHeight="false" outlineLevel="0" collapsed="false">
      <c r="A2519" s="0" t="n">
        <v>2498</v>
      </c>
      <c r="B2519" s="0" t="s">
        <v>86</v>
      </c>
      <c r="C2519" s="17" t="n">
        <v>-0.375225748793813</v>
      </c>
      <c r="D2519" s="17" t="n">
        <f aca="false">(C2519-$B$4)/($B$6/SQRT($B$7))</f>
        <v>-1.87612874396907</v>
      </c>
      <c r="E2519" s="0" t="str">
        <f aca="false">IF(OR(AND($B$9="superior",D2519&gt;$B$10),AND($B$9="inferior",D2519&lt;-$B$10)),"Rechazar H0","No rechazar H0")</f>
        <v>Rechazar H0</v>
      </c>
      <c r="F2519" s="0" t="str">
        <f aca="false">IF(AND(B2519="H0 verdadera",E2519="Rechazar H0"),"Error tipo I",IF(AND(B2519="Ha verdadera",E2519="No rechazar H0"),"Error tipo II","Decisión correcta"))</f>
        <v>Decisión correcta</v>
      </c>
    </row>
    <row r="2520" customFormat="false" ht="15" hidden="false" customHeight="false" outlineLevel="0" collapsed="false">
      <c r="A2520" s="0" t="n">
        <v>2499</v>
      </c>
      <c r="B2520" s="0" t="s">
        <v>85</v>
      </c>
      <c r="C2520" s="17" t="n">
        <v>0.0164806359852472</v>
      </c>
      <c r="D2520" s="17" t="n">
        <f aca="false">(C2520-$B$4)/($B$6/SQRT($B$7))</f>
        <v>0.0824031799262358</v>
      </c>
      <c r="E2520" s="0" t="str">
        <f aca="false">IF(OR(AND($B$9="superior",D2520&gt;$B$10),AND($B$9="inferior",D2520&lt;-$B$10)),"Rechazar H0","No rechazar H0")</f>
        <v>No rechazar H0</v>
      </c>
      <c r="F2520" s="0" t="str">
        <f aca="false">IF(AND(B2520="H0 verdadera",E2520="Rechazar H0"),"Error tipo I",IF(AND(B2520="Ha verdadera",E2520="No rechazar H0"),"Error tipo II","Decisión correcta"))</f>
        <v>Decisión correcta</v>
      </c>
    </row>
    <row r="2521" customFormat="false" ht="15" hidden="false" customHeight="false" outlineLevel="0" collapsed="false">
      <c r="A2521" s="0" t="n">
        <v>2500</v>
      </c>
      <c r="B2521" s="0" t="s">
        <v>86</v>
      </c>
      <c r="C2521" s="17" t="n">
        <v>-0.337017211137561</v>
      </c>
      <c r="D2521" s="17" t="n">
        <f aca="false">(C2521-$B$4)/($B$6/SQRT($B$7))</f>
        <v>-1.68508605568781</v>
      </c>
      <c r="E2521" s="0" t="str">
        <f aca="false">IF(OR(AND($B$9="superior",D2521&gt;$B$10),AND($B$9="inferior",D2521&lt;-$B$10)),"Rechazar H0","No rechazar H0")</f>
        <v>Rechazar H0</v>
      </c>
      <c r="F2521" s="0" t="str">
        <f aca="false">IF(AND(B2521="H0 verdadera",E2521="Rechazar H0"),"Error tipo I",IF(AND(B2521="Ha verdadera",E2521="No rechazar H0"),"Error tipo II","Decisión correcta"))</f>
        <v>Decisión correcta</v>
      </c>
    </row>
    <row r="2522" customFormat="false" ht="15" hidden="false" customHeight="false" outlineLevel="0" collapsed="false">
      <c r="A2522" s="0" t="n">
        <v>2501</v>
      </c>
      <c r="B2522" s="0" t="s">
        <v>85</v>
      </c>
      <c r="C2522" s="17" t="n">
        <v>0.197463018754945</v>
      </c>
      <c r="D2522" s="17" t="n">
        <f aca="false">(C2522-$B$4)/($B$6/SQRT($B$7))</f>
        <v>0.987315093774726</v>
      </c>
      <c r="E2522" s="0" t="str">
        <f aca="false">IF(OR(AND($B$9="superior",D2522&gt;$B$10),AND($B$9="inferior",D2522&lt;-$B$10)),"Rechazar H0","No rechazar H0")</f>
        <v>No rechazar H0</v>
      </c>
      <c r="F2522" s="0" t="str">
        <f aca="false">IF(AND(B2522="H0 verdadera",E2522="Rechazar H0"),"Error tipo I",IF(AND(B2522="Ha verdadera",E2522="No rechazar H0"),"Error tipo II","Decisión correcta"))</f>
        <v>Decisión correcta</v>
      </c>
    </row>
    <row r="2523" customFormat="false" ht="15" hidden="false" customHeight="false" outlineLevel="0" collapsed="false">
      <c r="A2523" s="0" t="n">
        <v>2502</v>
      </c>
      <c r="B2523" s="0" t="s">
        <v>85</v>
      </c>
      <c r="C2523" s="17" t="n">
        <v>-0.0761482352089198</v>
      </c>
      <c r="D2523" s="17" t="n">
        <f aca="false">(C2523-$B$4)/($B$6/SQRT($B$7))</f>
        <v>-0.380741176044599</v>
      </c>
      <c r="E2523" s="0" t="str">
        <f aca="false">IF(OR(AND($B$9="superior",D2523&gt;$B$10),AND($B$9="inferior",D2523&lt;-$B$10)),"Rechazar H0","No rechazar H0")</f>
        <v>No rechazar H0</v>
      </c>
      <c r="F2523" s="0" t="str">
        <f aca="false">IF(AND(B2523="H0 verdadera",E2523="Rechazar H0"),"Error tipo I",IF(AND(B2523="Ha verdadera",E2523="No rechazar H0"),"Error tipo II","Decisión correcta"))</f>
        <v>Decisión correcta</v>
      </c>
    </row>
    <row r="2524" customFormat="false" ht="15" hidden="false" customHeight="false" outlineLevel="0" collapsed="false">
      <c r="A2524" s="0" t="n">
        <v>2503</v>
      </c>
      <c r="B2524" s="0" t="s">
        <v>85</v>
      </c>
      <c r="C2524" s="17" t="n">
        <v>0.143638071822988</v>
      </c>
      <c r="D2524" s="17" t="n">
        <f aca="false">(C2524-$B$4)/($B$6/SQRT($B$7))</f>
        <v>0.718190359114939</v>
      </c>
      <c r="E2524" s="0" t="str">
        <f aca="false">IF(OR(AND($B$9="superior",D2524&gt;$B$10),AND($B$9="inferior",D2524&lt;-$B$10)),"Rechazar H0","No rechazar H0")</f>
        <v>No rechazar H0</v>
      </c>
      <c r="F2524" s="0" t="str">
        <f aca="false">IF(AND(B2524="H0 verdadera",E2524="Rechazar H0"),"Error tipo I",IF(AND(B2524="Ha verdadera",E2524="No rechazar H0"),"Error tipo II","Decisión correcta"))</f>
        <v>Decisión correcta</v>
      </c>
    </row>
    <row r="2525" customFormat="false" ht="15" hidden="false" customHeight="false" outlineLevel="0" collapsed="false">
      <c r="A2525" s="0" t="n">
        <v>2504</v>
      </c>
      <c r="B2525" s="0" t="s">
        <v>85</v>
      </c>
      <c r="C2525" s="17" t="n">
        <v>0.0408991677022149</v>
      </c>
      <c r="D2525" s="17" t="n">
        <f aca="false">(C2525-$B$4)/($B$6/SQRT($B$7))</f>
        <v>0.204495838511074</v>
      </c>
      <c r="E2525" s="0" t="str">
        <f aca="false">IF(OR(AND($B$9="superior",D2525&gt;$B$10),AND($B$9="inferior",D2525&lt;-$B$10)),"Rechazar H0","No rechazar H0")</f>
        <v>No rechazar H0</v>
      </c>
      <c r="F2525" s="0" t="str">
        <f aca="false">IF(AND(B2525="H0 verdadera",E2525="Rechazar H0"),"Error tipo I",IF(AND(B2525="Ha verdadera",E2525="No rechazar H0"),"Error tipo II","Decisión correcta"))</f>
        <v>Decisión correcta</v>
      </c>
    </row>
    <row r="2526" customFormat="false" ht="15" hidden="false" customHeight="false" outlineLevel="0" collapsed="false">
      <c r="A2526" s="0" t="n">
        <v>2505</v>
      </c>
      <c r="B2526" s="0" t="s">
        <v>86</v>
      </c>
      <c r="C2526" s="17" t="n">
        <v>-0.23998387279317</v>
      </c>
      <c r="D2526" s="17" t="n">
        <f aca="false">(C2526-$B$4)/($B$6/SQRT($B$7))</f>
        <v>-1.19991936396585</v>
      </c>
      <c r="E2526" s="0" t="str">
        <f aca="false">IF(OR(AND($B$9="superior",D2526&gt;$B$10),AND($B$9="inferior",D2526&lt;-$B$10)),"Rechazar H0","No rechazar H0")</f>
        <v>No rechazar H0</v>
      </c>
      <c r="F2526" s="0" t="str">
        <f aca="false">IF(AND(B2526="H0 verdadera",E2526="Rechazar H0"),"Error tipo I",IF(AND(B2526="Ha verdadera",E2526="No rechazar H0"),"Error tipo II","Decisión correcta"))</f>
        <v>Error tipo II</v>
      </c>
    </row>
    <row r="2527" customFormat="false" ht="15" hidden="false" customHeight="false" outlineLevel="0" collapsed="false">
      <c r="A2527" s="0" t="n">
        <v>2506</v>
      </c>
      <c r="B2527" s="0" t="s">
        <v>86</v>
      </c>
      <c r="C2527" s="17" t="n">
        <v>-0.280222364307794</v>
      </c>
      <c r="D2527" s="17" t="n">
        <f aca="false">(C2527-$B$4)/($B$6/SQRT($B$7))</f>
        <v>-1.40111182153897</v>
      </c>
      <c r="E2527" s="0" t="str">
        <f aca="false">IF(OR(AND($B$9="superior",D2527&gt;$B$10),AND($B$9="inferior",D2527&lt;-$B$10)),"Rechazar H0","No rechazar H0")</f>
        <v>No rechazar H0</v>
      </c>
      <c r="F2527" s="0" t="str">
        <f aca="false">IF(AND(B2527="H0 verdadera",E2527="Rechazar H0"),"Error tipo I",IF(AND(B2527="Ha verdadera",E2527="No rechazar H0"),"Error tipo II","Decisión correcta"))</f>
        <v>Error tipo II</v>
      </c>
    </row>
    <row r="2528" customFormat="false" ht="15" hidden="false" customHeight="false" outlineLevel="0" collapsed="false">
      <c r="A2528" s="0" t="n">
        <v>2507</v>
      </c>
      <c r="B2528" s="0" t="s">
        <v>86</v>
      </c>
      <c r="C2528" s="17" t="n">
        <v>-0.256343916581863</v>
      </c>
      <c r="D2528" s="17" t="n">
        <f aca="false">(C2528-$B$4)/($B$6/SQRT($B$7))</f>
        <v>-1.28171958290931</v>
      </c>
      <c r="E2528" s="0" t="str">
        <f aca="false">IF(OR(AND($B$9="superior",D2528&gt;$B$10),AND($B$9="inferior",D2528&lt;-$B$10)),"Rechazar H0","No rechazar H0")</f>
        <v>No rechazar H0</v>
      </c>
      <c r="F2528" s="0" t="str">
        <f aca="false">IF(AND(B2528="H0 verdadera",E2528="Rechazar H0"),"Error tipo I",IF(AND(B2528="Ha verdadera",E2528="No rechazar H0"),"Error tipo II","Decisión correcta"))</f>
        <v>Error tipo II</v>
      </c>
    </row>
    <row r="2529" customFormat="false" ht="15" hidden="false" customHeight="false" outlineLevel="0" collapsed="false">
      <c r="A2529" s="0" t="n">
        <v>2508</v>
      </c>
      <c r="B2529" s="0" t="s">
        <v>85</v>
      </c>
      <c r="C2529" s="17" t="n">
        <v>0.253556310345117</v>
      </c>
      <c r="D2529" s="17" t="n">
        <f aca="false">(C2529-$B$4)/($B$6/SQRT($B$7))</f>
        <v>1.26778155172558</v>
      </c>
      <c r="E2529" s="0" t="str">
        <f aca="false">IF(OR(AND($B$9="superior",D2529&gt;$B$10),AND($B$9="inferior",D2529&lt;-$B$10)),"Rechazar H0","No rechazar H0")</f>
        <v>No rechazar H0</v>
      </c>
      <c r="F2529" s="0" t="str">
        <f aca="false">IF(AND(B2529="H0 verdadera",E2529="Rechazar H0"),"Error tipo I",IF(AND(B2529="Ha verdadera",E2529="No rechazar H0"),"Error tipo II","Decisión correcta"))</f>
        <v>Decisión correcta</v>
      </c>
    </row>
    <row r="2530" customFormat="false" ht="15" hidden="false" customHeight="false" outlineLevel="0" collapsed="false">
      <c r="A2530" s="0" t="n">
        <v>2509</v>
      </c>
      <c r="B2530" s="0" t="s">
        <v>85</v>
      </c>
      <c r="C2530" s="17" t="n">
        <v>0.00995385745471838</v>
      </c>
      <c r="D2530" s="17" t="n">
        <f aca="false">(C2530-$B$4)/($B$6/SQRT($B$7))</f>
        <v>0.0497692872735919</v>
      </c>
      <c r="E2530" s="0" t="str">
        <f aca="false">IF(OR(AND($B$9="superior",D2530&gt;$B$10),AND($B$9="inferior",D2530&lt;-$B$10)),"Rechazar H0","No rechazar H0")</f>
        <v>No rechazar H0</v>
      </c>
      <c r="F2530" s="0" t="str">
        <f aca="false">IF(AND(B2530="H0 verdadera",E2530="Rechazar H0"),"Error tipo I",IF(AND(B2530="Ha verdadera",E2530="No rechazar H0"),"Error tipo II","Decisión correcta"))</f>
        <v>Decisión correcta</v>
      </c>
    </row>
    <row r="2531" customFormat="false" ht="15" hidden="false" customHeight="false" outlineLevel="0" collapsed="false">
      <c r="A2531" s="0" t="n">
        <v>2510</v>
      </c>
      <c r="B2531" s="0" t="s">
        <v>86</v>
      </c>
      <c r="C2531" s="17" t="n">
        <v>-0.504570385592855</v>
      </c>
      <c r="D2531" s="17" t="n">
        <f aca="false">(C2531-$B$4)/($B$6/SQRT($B$7))</f>
        <v>-2.52285192796428</v>
      </c>
      <c r="E2531" s="0" t="str">
        <f aca="false">IF(OR(AND($B$9="superior",D2531&gt;$B$10),AND($B$9="inferior",D2531&lt;-$B$10)),"Rechazar H0","No rechazar H0")</f>
        <v>Rechazar H0</v>
      </c>
      <c r="F2531" s="0" t="str">
        <f aca="false">IF(AND(B2531="H0 verdadera",E2531="Rechazar H0"),"Error tipo I",IF(AND(B2531="Ha verdadera",E2531="No rechazar H0"),"Error tipo II","Decisión correcta"))</f>
        <v>Decisión correcta</v>
      </c>
    </row>
    <row r="2532" customFormat="false" ht="15" hidden="false" customHeight="false" outlineLevel="0" collapsed="false">
      <c r="A2532" s="0" t="n">
        <v>2511</v>
      </c>
      <c r="B2532" s="0" t="s">
        <v>85</v>
      </c>
      <c r="C2532" s="17" t="n">
        <v>-0.0379308290941635</v>
      </c>
      <c r="D2532" s="17" t="n">
        <f aca="false">(C2532-$B$4)/($B$6/SQRT($B$7))</f>
        <v>-0.189654145470817</v>
      </c>
      <c r="E2532" s="0" t="str">
        <f aca="false">IF(OR(AND($B$9="superior",D2532&gt;$B$10),AND($B$9="inferior",D2532&lt;-$B$10)),"Rechazar H0","No rechazar H0")</f>
        <v>No rechazar H0</v>
      </c>
      <c r="F2532" s="0" t="str">
        <f aca="false">IF(AND(B2532="H0 verdadera",E2532="Rechazar H0"),"Error tipo I",IF(AND(B2532="Ha verdadera",E2532="No rechazar H0"),"Error tipo II","Decisión correcta"))</f>
        <v>Decisión correcta</v>
      </c>
    </row>
    <row r="2533" customFormat="false" ht="15" hidden="false" customHeight="false" outlineLevel="0" collapsed="false">
      <c r="A2533" s="0" t="n">
        <v>2512</v>
      </c>
      <c r="B2533" s="0" t="s">
        <v>86</v>
      </c>
      <c r="C2533" s="17" t="n">
        <v>-0.296554792088308</v>
      </c>
      <c r="D2533" s="17" t="n">
        <f aca="false">(C2533-$B$4)/($B$6/SQRT($B$7))</f>
        <v>-1.48277396044154</v>
      </c>
      <c r="E2533" s="0" t="str">
        <f aca="false">IF(OR(AND($B$9="superior",D2533&gt;$B$10),AND($B$9="inferior",D2533&lt;-$B$10)),"Rechazar H0","No rechazar H0")</f>
        <v>No rechazar H0</v>
      </c>
      <c r="F2533" s="0" t="str">
        <f aca="false">IF(AND(B2533="H0 verdadera",E2533="Rechazar H0"),"Error tipo I",IF(AND(B2533="Ha verdadera",E2533="No rechazar H0"),"Error tipo II","Decisión correcta"))</f>
        <v>Error tipo II</v>
      </c>
    </row>
    <row r="2534" customFormat="false" ht="15" hidden="false" customHeight="false" outlineLevel="0" collapsed="false">
      <c r="A2534" s="0" t="n">
        <v>2513</v>
      </c>
      <c r="B2534" s="0" t="s">
        <v>86</v>
      </c>
      <c r="C2534" s="17" t="n">
        <v>-0.366092422725726</v>
      </c>
      <c r="D2534" s="17" t="n">
        <f aca="false">(C2534-$B$4)/($B$6/SQRT($B$7))</f>
        <v>-1.83046211362863</v>
      </c>
      <c r="E2534" s="0" t="str">
        <f aca="false">IF(OR(AND($B$9="superior",D2534&gt;$B$10),AND($B$9="inferior",D2534&lt;-$B$10)),"Rechazar H0","No rechazar H0")</f>
        <v>Rechazar H0</v>
      </c>
      <c r="F2534" s="0" t="str">
        <f aca="false">IF(AND(B2534="H0 verdadera",E2534="Rechazar H0"),"Error tipo I",IF(AND(B2534="Ha verdadera",E2534="No rechazar H0"),"Error tipo II","Decisión correcta"))</f>
        <v>Decisión correcta</v>
      </c>
    </row>
    <row r="2535" customFormat="false" ht="15" hidden="false" customHeight="false" outlineLevel="0" collapsed="false">
      <c r="A2535" s="0" t="n">
        <v>2514</v>
      </c>
      <c r="B2535" s="0" t="s">
        <v>86</v>
      </c>
      <c r="C2535" s="17" t="n">
        <v>-0.739571853841553</v>
      </c>
      <c r="D2535" s="17" t="n">
        <f aca="false">(C2535-$B$4)/($B$6/SQRT($B$7))</f>
        <v>-3.69785926920777</v>
      </c>
      <c r="E2535" s="0" t="str">
        <f aca="false">IF(OR(AND($B$9="superior",D2535&gt;$B$10),AND($B$9="inferior",D2535&lt;-$B$10)),"Rechazar H0","No rechazar H0")</f>
        <v>Rechazar H0</v>
      </c>
      <c r="F2535" s="0" t="str">
        <f aca="false">IF(AND(B2535="H0 verdadera",E2535="Rechazar H0"),"Error tipo I",IF(AND(B2535="Ha verdadera",E2535="No rechazar H0"),"Error tipo II","Decisión correcta"))</f>
        <v>Decisión correcta</v>
      </c>
    </row>
    <row r="2536" customFormat="false" ht="15" hidden="false" customHeight="false" outlineLevel="0" collapsed="false">
      <c r="A2536" s="0" t="n">
        <v>2515</v>
      </c>
      <c r="B2536" s="0" t="s">
        <v>85</v>
      </c>
      <c r="C2536" s="17" t="n">
        <v>-0.294961412575321</v>
      </c>
      <c r="D2536" s="17" t="n">
        <f aca="false">(C2536-$B$4)/($B$6/SQRT($B$7))</f>
        <v>-1.4748070628766</v>
      </c>
      <c r="E2536" s="0" t="str">
        <f aca="false">IF(OR(AND($B$9="superior",D2536&gt;$B$10),AND($B$9="inferior",D2536&lt;-$B$10)),"Rechazar H0","No rechazar H0")</f>
        <v>No rechazar H0</v>
      </c>
      <c r="F2536" s="0" t="str">
        <f aca="false">IF(AND(B2536="H0 verdadera",E2536="Rechazar H0"),"Error tipo I",IF(AND(B2536="Ha verdadera",E2536="No rechazar H0"),"Error tipo II","Decisión correcta"))</f>
        <v>Decisión correcta</v>
      </c>
    </row>
    <row r="2537" customFormat="false" ht="15" hidden="false" customHeight="false" outlineLevel="0" collapsed="false">
      <c r="A2537" s="0" t="n">
        <v>2516</v>
      </c>
      <c r="B2537" s="0" t="s">
        <v>85</v>
      </c>
      <c r="C2537" s="17" t="n">
        <v>-0.15914170911196</v>
      </c>
      <c r="D2537" s="17" t="n">
        <f aca="false">(C2537-$B$4)/($B$6/SQRT($B$7))</f>
        <v>-0.7957085455598</v>
      </c>
      <c r="E2537" s="0" t="str">
        <f aca="false">IF(OR(AND($B$9="superior",D2537&gt;$B$10),AND($B$9="inferior",D2537&lt;-$B$10)),"Rechazar H0","No rechazar H0")</f>
        <v>No rechazar H0</v>
      </c>
      <c r="F2537" s="0" t="str">
        <f aca="false">IF(AND(B2537="H0 verdadera",E2537="Rechazar H0"),"Error tipo I",IF(AND(B2537="Ha verdadera",E2537="No rechazar H0"),"Error tipo II","Decisión correcta"))</f>
        <v>Decisión correcta</v>
      </c>
    </row>
    <row r="2538" customFormat="false" ht="15" hidden="false" customHeight="false" outlineLevel="0" collapsed="false">
      <c r="A2538" s="0" t="n">
        <v>2517</v>
      </c>
      <c r="B2538" s="0" t="s">
        <v>85</v>
      </c>
      <c r="C2538" s="17" t="n">
        <v>0.669647088465257</v>
      </c>
      <c r="D2538" s="17" t="n">
        <f aca="false">(C2538-$B$4)/($B$6/SQRT($B$7))</f>
        <v>3.34823544232628</v>
      </c>
      <c r="E2538" s="0" t="str">
        <f aca="false">IF(OR(AND($B$9="superior",D2538&gt;$B$10),AND($B$9="inferior",D2538&lt;-$B$10)),"Rechazar H0","No rechazar H0")</f>
        <v>No rechazar H0</v>
      </c>
      <c r="F2538" s="0" t="str">
        <f aca="false">IF(AND(B2538="H0 verdadera",E2538="Rechazar H0"),"Error tipo I",IF(AND(B2538="Ha verdadera",E2538="No rechazar H0"),"Error tipo II","Decisión correcta"))</f>
        <v>Decisión correcta</v>
      </c>
    </row>
    <row r="2539" customFormat="false" ht="15" hidden="false" customHeight="false" outlineLevel="0" collapsed="false">
      <c r="A2539" s="0" t="n">
        <v>2518</v>
      </c>
      <c r="B2539" s="0" t="s">
        <v>86</v>
      </c>
      <c r="C2539" s="17" t="n">
        <v>-0.154847056031285</v>
      </c>
      <c r="D2539" s="17" t="n">
        <f aca="false">(C2539-$B$4)/($B$6/SQRT($B$7))</f>
        <v>-0.774235280156426</v>
      </c>
      <c r="E2539" s="0" t="str">
        <f aca="false">IF(OR(AND($B$9="superior",D2539&gt;$B$10),AND($B$9="inferior",D2539&lt;-$B$10)),"Rechazar H0","No rechazar H0")</f>
        <v>No rechazar H0</v>
      </c>
      <c r="F2539" s="0" t="str">
        <f aca="false">IF(AND(B2539="H0 verdadera",E2539="Rechazar H0"),"Error tipo I",IF(AND(B2539="Ha verdadera",E2539="No rechazar H0"),"Error tipo II","Decisión correcta"))</f>
        <v>Error tipo II</v>
      </c>
    </row>
    <row r="2540" customFormat="false" ht="15" hidden="false" customHeight="false" outlineLevel="0" collapsed="false">
      <c r="A2540" s="0" t="n">
        <v>2519</v>
      </c>
      <c r="B2540" s="0" t="s">
        <v>85</v>
      </c>
      <c r="C2540" s="17" t="n">
        <v>0.125961944309778</v>
      </c>
      <c r="D2540" s="17" t="n">
        <f aca="false">(C2540-$B$4)/($B$6/SQRT($B$7))</f>
        <v>0.629809721548889</v>
      </c>
      <c r="E2540" s="0" t="str">
        <f aca="false">IF(OR(AND($B$9="superior",D2540&gt;$B$10),AND($B$9="inferior",D2540&lt;-$B$10)),"Rechazar H0","No rechazar H0")</f>
        <v>No rechazar H0</v>
      </c>
      <c r="F2540" s="0" t="str">
        <f aca="false">IF(AND(B2540="H0 verdadera",E2540="Rechazar H0"),"Error tipo I",IF(AND(B2540="Ha verdadera",E2540="No rechazar H0"),"Error tipo II","Decisión correcta"))</f>
        <v>Decisión correcta</v>
      </c>
    </row>
    <row r="2541" customFormat="false" ht="15" hidden="false" customHeight="false" outlineLevel="0" collapsed="false">
      <c r="A2541" s="0" t="n">
        <v>2520</v>
      </c>
      <c r="B2541" s="0" t="s">
        <v>86</v>
      </c>
      <c r="C2541" s="17" t="n">
        <v>-0.424091779547481</v>
      </c>
      <c r="D2541" s="17" t="n">
        <f aca="false">(C2541-$B$4)/($B$6/SQRT($B$7))</f>
        <v>-2.12045889773741</v>
      </c>
      <c r="E2541" s="0" t="str">
        <f aca="false">IF(OR(AND($B$9="superior",D2541&gt;$B$10),AND($B$9="inferior",D2541&lt;-$B$10)),"Rechazar H0","No rechazar H0")</f>
        <v>Rechazar H0</v>
      </c>
      <c r="F2541" s="0" t="str">
        <f aca="false">IF(AND(B2541="H0 verdadera",E2541="Rechazar H0"),"Error tipo I",IF(AND(B2541="Ha verdadera",E2541="No rechazar H0"),"Error tipo II","Decisión correcta"))</f>
        <v>Decisión correcta</v>
      </c>
    </row>
    <row r="2542" customFormat="false" ht="15" hidden="false" customHeight="false" outlineLevel="0" collapsed="false">
      <c r="A2542" s="0" t="n">
        <v>2521</v>
      </c>
      <c r="B2542" s="0" t="s">
        <v>85</v>
      </c>
      <c r="C2542" s="17" t="n">
        <v>-0.000335812679519556</v>
      </c>
      <c r="D2542" s="17" t="n">
        <f aca="false">(C2542-$B$4)/($B$6/SQRT($B$7))</f>
        <v>-0.00167906339759778</v>
      </c>
      <c r="E2542" s="0" t="str">
        <f aca="false">IF(OR(AND($B$9="superior",D2542&gt;$B$10),AND($B$9="inferior",D2542&lt;-$B$10)),"Rechazar H0","No rechazar H0")</f>
        <v>No rechazar H0</v>
      </c>
      <c r="F2542" s="0" t="str">
        <f aca="false">IF(AND(B2542="H0 verdadera",E2542="Rechazar H0"),"Error tipo I",IF(AND(B2542="Ha verdadera",E2542="No rechazar H0"),"Error tipo II","Decisión correcta"))</f>
        <v>Decisión correcta</v>
      </c>
    </row>
    <row r="2543" customFormat="false" ht="15" hidden="false" customHeight="false" outlineLevel="0" collapsed="false">
      <c r="A2543" s="0" t="n">
        <v>2522</v>
      </c>
      <c r="B2543" s="0" t="s">
        <v>85</v>
      </c>
      <c r="C2543" s="17" t="n">
        <v>0.0283141049217539</v>
      </c>
      <c r="D2543" s="17" t="n">
        <f aca="false">(C2543-$B$4)/($B$6/SQRT($B$7))</f>
        <v>0.141570524608769</v>
      </c>
      <c r="E2543" s="0" t="str">
        <f aca="false">IF(OR(AND($B$9="superior",D2543&gt;$B$10),AND($B$9="inferior",D2543&lt;-$B$10)),"Rechazar H0","No rechazar H0")</f>
        <v>No rechazar H0</v>
      </c>
      <c r="F2543" s="0" t="str">
        <f aca="false">IF(AND(B2543="H0 verdadera",E2543="Rechazar H0"),"Error tipo I",IF(AND(B2543="Ha verdadera",E2543="No rechazar H0"),"Error tipo II","Decisión correcta"))</f>
        <v>Decisión correcta</v>
      </c>
    </row>
    <row r="2544" customFormat="false" ht="15" hidden="false" customHeight="false" outlineLevel="0" collapsed="false">
      <c r="A2544" s="0" t="n">
        <v>2523</v>
      </c>
      <c r="B2544" s="0" t="s">
        <v>85</v>
      </c>
      <c r="C2544" s="17" t="n">
        <v>0.19823921852291</v>
      </c>
      <c r="D2544" s="17" t="n">
        <f aca="false">(C2544-$B$4)/($B$6/SQRT($B$7))</f>
        <v>0.99119609261455</v>
      </c>
      <c r="E2544" s="0" t="str">
        <f aca="false">IF(OR(AND($B$9="superior",D2544&gt;$B$10),AND($B$9="inferior",D2544&lt;-$B$10)),"Rechazar H0","No rechazar H0")</f>
        <v>No rechazar H0</v>
      </c>
      <c r="F2544" s="0" t="str">
        <f aca="false">IF(AND(B2544="H0 verdadera",E2544="Rechazar H0"),"Error tipo I",IF(AND(B2544="Ha verdadera",E2544="No rechazar H0"),"Error tipo II","Decisión correcta"))</f>
        <v>Decisión correcta</v>
      </c>
    </row>
    <row r="2545" customFormat="false" ht="15" hidden="false" customHeight="false" outlineLevel="0" collapsed="false">
      <c r="A2545" s="0" t="n">
        <v>2524</v>
      </c>
      <c r="B2545" s="0" t="s">
        <v>86</v>
      </c>
      <c r="C2545" s="17" t="n">
        <v>-0.377701812248631</v>
      </c>
      <c r="D2545" s="17" t="n">
        <f aca="false">(C2545-$B$4)/($B$6/SQRT($B$7))</f>
        <v>-1.88850906124316</v>
      </c>
      <c r="E2545" s="0" t="str">
        <f aca="false">IF(OR(AND($B$9="superior",D2545&gt;$B$10),AND($B$9="inferior",D2545&lt;-$B$10)),"Rechazar H0","No rechazar H0")</f>
        <v>Rechazar H0</v>
      </c>
      <c r="F2545" s="0" t="str">
        <f aca="false">IF(AND(B2545="H0 verdadera",E2545="Rechazar H0"),"Error tipo I",IF(AND(B2545="Ha verdadera",E2545="No rechazar H0"),"Error tipo II","Decisión correcta"))</f>
        <v>Decisión correcta</v>
      </c>
    </row>
    <row r="2546" customFormat="false" ht="15" hidden="false" customHeight="false" outlineLevel="0" collapsed="false">
      <c r="A2546" s="0" t="n">
        <v>2525</v>
      </c>
      <c r="B2546" s="0" t="s">
        <v>86</v>
      </c>
      <c r="C2546" s="17" t="n">
        <v>-0.0693743038729009</v>
      </c>
      <c r="D2546" s="17" t="n">
        <f aca="false">(C2546-$B$4)/($B$6/SQRT($B$7))</f>
        <v>-0.346871519364505</v>
      </c>
      <c r="E2546" s="0" t="str">
        <f aca="false">IF(OR(AND($B$9="superior",D2546&gt;$B$10),AND($B$9="inferior",D2546&lt;-$B$10)),"Rechazar H0","No rechazar H0")</f>
        <v>No rechazar H0</v>
      </c>
      <c r="F2546" s="0" t="str">
        <f aca="false">IF(AND(B2546="H0 verdadera",E2546="Rechazar H0"),"Error tipo I",IF(AND(B2546="Ha verdadera",E2546="No rechazar H0"),"Error tipo II","Decisión correcta"))</f>
        <v>Error tipo II</v>
      </c>
    </row>
    <row r="2547" customFormat="false" ht="15" hidden="false" customHeight="false" outlineLevel="0" collapsed="false">
      <c r="A2547" s="0" t="n">
        <v>2526</v>
      </c>
      <c r="B2547" s="0" t="s">
        <v>85</v>
      </c>
      <c r="C2547" s="17" t="n">
        <v>-0.236686254186135</v>
      </c>
      <c r="D2547" s="17" t="n">
        <f aca="false">(C2547-$B$4)/($B$6/SQRT($B$7))</f>
        <v>-1.18343127093067</v>
      </c>
      <c r="E2547" s="0" t="str">
        <f aca="false">IF(OR(AND($B$9="superior",D2547&gt;$B$10),AND($B$9="inferior",D2547&lt;-$B$10)),"Rechazar H0","No rechazar H0")</f>
        <v>No rechazar H0</v>
      </c>
      <c r="F2547" s="0" t="str">
        <f aca="false">IF(AND(B2547="H0 verdadera",E2547="Rechazar H0"),"Error tipo I",IF(AND(B2547="Ha verdadera",E2547="No rechazar H0"),"Error tipo II","Decisión correcta"))</f>
        <v>Decisión correcta</v>
      </c>
    </row>
    <row r="2548" customFormat="false" ht="15" hidden="false" customHeight="false" outlineLevel="0" collapsed="false">
      <c r="A2548" s="0" t="n">
        <v>2527</v>
      </c>
      <c r="B2548" s="0" t="s">
        <v>86</v>
      </c>
      <c r="C2548" s="17" t="n">
        <v>-0.776865813383638</v>
      </c>
      <c r="D2548" s="17" t="n">
        <f aca="false">(C2548-$B$4)/($B$6/SQRT($B$7))</f>
        <v>-3.88432906691819</v>
      </c>
      <c r="E2548" s="0" t="str">
        <f aca="false">IF(OR(AND($B$9="superior",D2548&gt;$B$10),AND($B$9="inferior",D2548&lt;-$B$10)),"Rechazar H0","No rechazar H0")</f>
        <v>Rechazar H0</v>
      </c>
      <c r="F2548" s="0" t="str">
        <f aca="false">IF(AND(B2548="H0 verdadera",E2548="Rechazar H0"),"Error tipo I",IF(AND(B2548="Ha verdadera",E2548="No rechazar H0"),"Error tipo II","Decisión correcta"))</f>
        <v>Decisión correcta</v>
      </c>
    </row>
    <row r="2549" customFormat="false" ht="15" hidden="false" customHeight="false" outlineLevel="0" collapsed="false">
      <c r="A2549" s="0" t="n">
        <v>2528</v>
      </c>
      <c r="B2549" s="0" t="s">
        <v>85</v>
      </c>
      <c r="C2549" s="17" t="n">
        <v>0.0565520336786393</v>
      </c>
      <c r="D2549" s="17" t="n">
        <f aca="false">(C2549-$B$4)/($B$6/SQRT($B$7))</f>
        <v>0.282760168393197</v>
      </c>
      <c r="E2549" s="0" t="str">
        <f aca="false">IF(OR(AND($B$9="superior",D2549&gt;$B$10),AND($B$9="inferior",D2549&lt;-$B$10)),"Rechazar H0","No rechazar H0")</f>
        <v>No rechazar H0</v>
      </c>
      <c r="F2549" s="0" t="str">
        <f aca="false">IF(AND(B2549="H0 verdadera",E2549="Rechazar H0"),"Error tipo I",IF(AND(B2549="Ha verdadera",E2549="No rechazar H0"),"Error tipo II","Decisión correcta"))</f>
        <v>Decisión correcta</v>
      </c>
    </row>
    <row r="2550" customFormat="false" ht="15" hidden="false" customHeight="false" outlineLevel="0" collapsed="false">
      <c r="A2550" s="0" t="n">
        <v>2529</v>
      </c>
      <c r="B2550" s="0" t="s">
        <v>85</v>
      </c>
      <c r="C2550" s="17" t="n">
        <v>0.401764665597668</v>
      </c>
      <c r="D2550" s="17" t="n">
        <f aca="false">(C2550-$B$4)/($B$6/SQRT($B$7))</f>
        <v>2.00882332798834</v>
      </c>
      <c r="E2550" s="0" t="str">
        <f aca="false">IF(OR(AND($B$9="superior",D2550&gt;$B$10),AND($B$9="inferior",D2550&lt;-$B$10)),"Rechazar H0","No rechazar H0")</f>
        <v>No rechazar H0</v>
      </c>
      <c r="F2550" s="0" t="str">
        <f aca="false">IF(AND(B2550="H0 verdadera",E2550="Rechazar H0"),"Error tipo I",IF(AND(B2550="Ha verdadera",E2550="No rechazar H0"),"Error tipo II","Decisión correcta"))</f>
        <v>Decisión correcta</v>
      </c>
    </row>
    <row r="2551" customFormat="false" ht="15" hidden="false" customHeight="false" outlineLevel="0" collapsed="false">
      <c r="A2551" s="0" t="n">
        <v>2530</v>
      </c>
      <c r="B2551" s="0" t="s">
        <v>85</v>
      </c>
      <c r="C2551" s="17" t="n">
        <v>0.0704954670504962</v>
      </c>
      <c r="D2551" s="17" t="n">
        <f aca="false">(C2551-$B$4)/($B$6/SQRT($B$7))</f>
        <v>0.352477335252481</v>
      </c>
      <c r="E2551" s="0" t="str">
        <f aca="false">IF(OR(AND($B$9="superior",D2551&gt;$B$10),AND($B$9="inferior",D2551&lt;-$B$10)),"Rechazar H0","No rechazar H0")</f>
        <v>No rechazar H0</v>
      </c>
      <c r="F2551" s="0" t="str">
        <f aca="false">IF(AND(B2551="H0 verdadera",E2551="Rechazar H0"),"Error tipo I",IF(AND(B2551="Ha verdadera",E2551="No rechazar H0"),"Error tipo II","Decisión correcta"))</f>
        <v>Decisión correcta</v>
      </c>
    </row>
    <row r="2552" customFormat="false" ht="15" hidden="false" customHeight="false" outlineLevel="0" collapsed="false">
      <c r="A2552" s="0" t="n">
        <v>2531</v>
      </c>
      <c r="B2552" s="0" t="s">
        <v>85</v>
      </c>
      <c r="C2552" s="17" t="n">
        <v>0.419712969062905</v>
      </c>
      <c r="D2552" s="17" t="n">
        <f aca="false">(C2552-$B$4)/($B$6/SQRT($B$7))</f>
        <v>2.09856484531453</v>
      </c>
      <c r="E2552" s="0" t="str">
        <f aca="false">IF(OR(AND($B$9="superior",D2552&gt;$B$10),AND($B$9="inferior",D2552&lt;-$B$10)),"Rechazar H0","No rechazar H0")</f>
        <v>No rechazar H0</v>
      </c>
      <c r="F2552" s="0" t="str">
        <f aca="false">IF(AND(B2552="H0 verdadera",E2552="Rechazar H0"),"Error tipo I",IF(AND(B2552="Ha verdadera",E2552="No rechazar H0"),"Error tipo II","Decisión correcta"))</f>
        <v>Decisión correcta</v>
      </c>
    </row>
    <row r="2553" customFormat="false" ht="15" hidden="false" customHeight="false" outlineLevel="0" collapsed="false">
      <c r="A2553" s="0" t="n">
        <v>2532</v>
      </c>
      <c r="B2553" s="0" t="s">
        <v>85</v>
      </c>
      <c r="C2553" s="17" t="n">
        <v>0.136013152762625</v>
      </c>
      <c r="D2553" s="17" t="n">
        <f aca="false">(C2553-$B$4)/($B$6/SQRT($B$7))</f>
        <v>0.680065763813125</v>
      </c>
      <c r="E2553" s="0" t="str">
        <f aca="false">IF(OR(AND($B$9="superior",D2553&gt;$B$10),AND($B$9="inferior",D2553&lt;-$B$10)),"Rechazar H0","No rechazar H0")</f>
        <v>No rechazar H0</v>
      </c>
      <c r="F2553" s="0" t="str">
        <f aca="false">IF(AND(B2553="H0 verdadera",E2553="Rechazar H0"),"Error tipo I",IF(AND(B2553="Ha verdadera",E2553="No rechazar H0"),"Error tipo II","Decisión correcta"))</f>
        <v>Decisión correcta</v>
      </c>
    </row>
    <row r="2554" customFormat="false" ht="15" hidden="false" customHeight="false" outlineLevel="0" collapsed="false">
      <c r="A2554" s="0" t="n">
        <v>2533</v>
      </c>
      <c r="B2554" s="0" t="s">
        <v>86</v>
      </c>
      <c r="C2554" s="17" t="n">
        <v>-0.459493946953682</v>
      </c>
      <c r="D2554" s="17" t="n">
        <f aca="false">(C2554-$B$4)/($B$6/SQRT($B$7))</f>
        <v>-2.29746973476841</v>
      </c>
      <c r="E2554" s="0" t="str">
        <f aca="false">IF(OR(AND($B$9="superior",D2554&gt;$B$10),AND($B$9="inferior",D2554&lt;-$B$10)),"Rechazar H0","No rechazar H0")</f>
        <v>Rechazar H0</v>
      </c>
      <c r="F2554" s="0" t="str">
        <f aca="false">IF(AND(B2554="H0 verdadera",E2554="Rechazar H0"),"Error tipo I",IF(AND(B2554="Ha verdadera",E2554="No rechazar H0"),"Error tipo II","Decisión correcta"))</f>
        <v>Decisión correcta</v>
      </c>
    </row>
    <row r="2555" customFormat="false" ht="15" hidden="false" customHeight="false" outlineLevel="0" collapsed="false">
      <c r="A2555" s="0" t="n">
        <v>2534</v>
      </c>
      <c r="B2555" s="0" t="s">
        <v>85</v>
      </c>
      <c r="C2555" s="17" t="n">
        <v>0.00476936271122513</v>
      </c>
      <c r="D2555" s="17" t="n">
        <f aca="false">(C2555-$B$4)/($B$6/SQRT($B$7))</f>
        <v>0.0238468135561256</v>
      </c>
      <c r="E2555" s="0" t="str">
        <f aca="false">IF(OR(AND($B$9="superior",D2555&gt;$B$10),AND($B$9="inferior",D2555&lt;-$B$10)),"Rechazar H0","No rechazar H0")</f>
        <v>No rechazar H0</v>
      </c>
      <c r="F2555" s="0" t="str">
        <f aca="false">IF(AND(B2555="H0 verdadera",E2555="Rechazar H0"),"Error tipo I",IF(AND(B2555="Ha verdadera",E2555="No rechazar H0"),"Error tipo II","Decisión correcta"))</f>
        <v>Decisión correcta</v>
      </c>
    </row>
    <row r="2556" customFormat="false" ht="15" hidden="false" customHeight="false" outlineLevel="0" collapsed="false">
      <c r="A2556" s="0" t="n">
        <v>2535</v>
      </c>
      <c r="B2556" s="0" t="s">
        <v>86</v>
      </c>
      <c r="C2556" s="17" t="n">
        <v>-0.630872583512073</v>
      </c>
      <c r="D2556" s="17" t="n">
        <f aca="false">(C2556-$B$4)/($B$6/SQRT($B$7))</f>
        <v>-3.15436291756036</v>
      </c>
      <c r="E2556" s="0" t="str">
        <f aca="false">IF(OR(AND($B$9="superior",D2556&gt;$B$10),AND($B$9="inferior",D2556&lt;-$B$10)),"Rechazar H0","No rechazar H0")</f>
        <v>Rechazar H0</v>
      </c>
      <c r="F2556" s="0" t="str">
        <f aca="false">IF(AND(B2556="H0 verdadera",E2556="Rechazar H0"),"Error tipo I",IF(AND(B2556="Ha verdadera",E2556="No rechazar H0"),"Error tipo II","Decisión correcta"))</f>
        <v>Decisión correcta</v>
      </c>
    </row>
    <row r="2557" customFormat="false" ht="15" hidden="false" customHeight="false" outlineLevel="0" collapsed="false">
      <c r="A2557" s="0" t="n">
        <v>2536</v>
      </c>
      <c r="B2557" s="0" t="s">
        <v>86</v>
      </c>
      <c r="C2557" s="17" t="n">
        <v>-0.649674251434127</v>
      </c>
      <c r="D2557" s="17" t="n">
        <f aca="false">(C2557-$B$4)/($B$6/SQRT($B$7))</f>
        <v>-3.24837125717064</v>
      </c>
      <c r="E2557" s="0" t="str">
        <f aca="false">IF(OR(AND($B$9="superior",D2557&gt;$B$10),AND($B$9="inferior",D2557&lt;-$B$10)),"Rechazar H0","No rechazar H0")</f>
        <v>Rechazar H0</v>
      </c>
      <c r="F2557" s="0" t="str">
        <f aca="false">IF(AND(B2557="H0 verdadera",E2557="Rechazar H0"),"Error tipo I",IF(AND(B2557="Ha verdadera",E2557="No rechazar H0"),"Error tipo II","Decisión correcta"))</f>
        <v>Decisión correcta</v>
      </c>
    </row>
    <row r="2558" customFormat="false" ht="15" hidden="false" customHeight="false" outlineLevel="0" collapsed="false">
      <c r="A2558" s="0" t="n">
        <v>2537</v>
      </c>
      <c r="B2558" s="0" t="s">
        <v>85</v>
      </c>
      <c r="C2558" s="17" t="n">
        <v>-0.0855056736123771</v>
      </c>
      <c r="D2558" s="17" t="n">
        <f aca="false">(C2558-$B$4)/($B$6/SQRT($B$7))</f>
        <v>-0.427528368061886</v>
      </c>
      <c r="E2558" s="0" t="str">
        <f aca="false">IF(OR(AND($B$9="superior",D2558&gt;$B$10),AND($B$9="inferior",D2558&lt;-$B$10)),"Rechazar H0","No rechazar H0")</f>
        <v>No rechazar H0</v>
      </c>
      <c r="F2558" s="0" t="str">
        <f aca="false">IF(AND(B2558="H0 verdadera",E2558="Rechazar H0"),"Error tipo I",IF(AND(B2558="Ha verdadera",E2558="No rechazar H0"),"Error tipo II","Decisión correcta"))</f>
        <v>Decisión correcta</v>
      </c>
    </row>
    <row r="2559" customFormat="false" ht="15" hidden="false" customHeight="false" outlineLevel="0" collapsed="false">
      <c r="A2559" s="0" t="n">
        <v>2538</v>
      </c>
      <c r="B2559" s="0" t="s">
        <v>86</v>
      </c>
      <c r="C2559" s="17" t="n">
        <v>0.06585944751418</v>
      </c>
      <c r="D2559" s="17" t="n">
        <f aca="false">(C2559-$B$4)/($B$6/SQRT($B$7))</f>
        <v>0.3292972375709</v>
      </c>
      <c r="E2559" s="0" t="str">
        <f aca="false">IF(OR(AND($B$9="superior",D2559&gt;$B$10),AND($B$9="inferior",D2559&lt;-$B$10)),"Rechazar H0","No rechazar H0")</f>
        <v>No rechazar H0</v>
      </c>
      <c r="F2559" s="0" t="str">
        <f aca="false">IF(AND(B2559="H0 verdadera",E2559="Rechazar H0"),"Error tipo I",IF(AND(B2559="Ha verdadera",E2559="No rechazar H0"),"Error tipo II","Decisión correcta"))</f>
        <v>Error tipo II</v>
      </c>
    </row>
    <row r="2560" customFormat="false" ht="15" hidden="false" customHeight="false" outlineLevel="0" collapsed="false">
      <c r="A2560" s="0" t="n">
        <v>2539</v>
      </c>
      <c r="B2560" s="0" t="s">
        <v>86</v>
      </c>
      <c r="C2560" s="17" t="n">
        <v>-0.35465539568845</v>
      </c>
      <c r="D2560" s="17" t="n">
        <f aca="false">(C2560-$B$4)/($B$6/SQRT($B$7))</f>
        <v>-1.77327697844225</v>
      </c>
      <c r="E2560" s="0" t="str">
        <f aca="false">IF(OR(AND($B$9="superior",D2560&gt;$B$10),AND($B$9="inferior",D2560&lt;-$B$10)),"Rechazar H0","No rechazar H0")</f>
        <v>Rechazar H0</v>
      </c>
      <c r="F2560" s="0" t="str">
        <f aca="false">IF(AND(B2560="H0 verdadera",E2560="Rechazar H0"),"Error tipo I",IF(AND(B2560="Ha verdadera",E2560="No rechazar H0"),"Error tipo II","Decisión correcta"))</f>
        <v>Decisión correcta</v>
      </c>
    </row>
    <row r="2561" customFormat="false" ht="15" hidden="false" customHeight="false" outlineLevel="0" collapsed="false">
      <c r="A2561" s="0" t="n">
        <v>2540</v>
      </c>
      <c r="B2561" s="0" t="s">
        <v>86</v>
      </c>
      <c r="C2561" s="17" t="n">
        <v>-0.189711943759147</v>
      </c>
      <c r="D2561" s="17" t="n">
        <f aca="false">(C2561-$B$4)/($B$6/SQRT($B$7))</f>
        <v>-0.948559718795735</v>
      </c>
      <c r="E2561" s="0" t="str">
        <f aca="false">IF(OR(AND($B$9="superior",D2561&gt;$B$10),AND($B$9="inferior",D2561&lt;-$B$10)),"Rechazar H0","No rechazar H0")</f>
        <v>No rechazar H0</v>
      </c>
      <c r="F2561" s="0" t="str">
        <f aca="false">IF(AND(B2561="H0 verdadera",E2561="Rechazar H0"),"Error tipo I",IF(AND(B2561="Ha verdadera",E2561="No rechazar H0"),"Error tipo II","Decisión correcta"))</f>
        <v>Error tipo II</v>
      </c>
    </row>
    <row r="2562" customFormat="false" ht="15" hidden="false" customHeight="false" outlineLevel="0" collapsed="false">
      <c r="A2562" s="0" t="n">
        <v>2541</v>
      </c>
      <c r="B2562" s="0" t="s">
        <v>86</v>
      </c>
      <c r="C2562" s="17" t="n">
        <v>-0.423894984544598</v>
      </c>
      <c r="D2562" s="17" t="n">
        <f aca="false">(C2562-$B$4)/($B$6/SQRT($B$7))</f>
        <v>-2.11947492272299</v>
      </c>
      <c r="E2562" s="0" t="str">
        <f aca="false">IF(OR(AND($B$9="superior",D2562&gt;$B$10),AND($B$9="inferior",D2562&lt;-$B$10)),"Rechazar H0","No rechazar H0")</f>
        <v>Rechazar H0</v>
      </c>
      <c r="F2562" s="0" t="str">
        <f aca="false">IF(AND(B2562="H0 verdadera",E2562="Rechazar H0"),"Error tipo I",IF(AND(B2562="Ha verdadera",E2562="No rechazar H0"),"Error tipo II","Decisión correcta"))</f>
        <v>Decisión correcta</v>
      </c>
    </row>
    <row r="2563" customFormat="false" ht="15" hidden="false" customHeight="false" outlineLevel="0" collapsed="false">
      <c r="A2563" s="0" t="n">
        <v>2542</v>
      </c>
      <c r="B2563" s="0" t="s">
        <v>86</v>
      </c>
      <c r="C2563" s="17" t="n">
        <v>-0.256732578304697</v>
      </c>
      <c r="D2563" s="17" t="n">
        <f aca="false">(C2563-$B$4)/($B$6/SQRT($B$7))</f>
        <v>-1.28366289152349</v>
      </c>
      <c r="E2563" s="0" t="str">
        <f aca="false">IF(OR(AND($B$9="superior",D2563&gt;$B$10),AND($B$9="inferior",D2563&lt;-$B$10)),"Rechazar H0","No rechazar H0")</f>
        <v>No rechazar H0</v>
      </c>
      <c r="F2563" s="0" t="str">
        <f aca="false">IF(AND(B2563="H0 verdadera",E2563="Rechazar H0"),"Error tipo I",IF(AND(B2563="Ha verdadera",E2563="No rechazar H0"),"Error tipo II","Decisión correcta"))</f>
        <v>Error tipo II</v>
      </c>
    </row>
    <row r="2564" customFormat="false" ht="15" hidden="false" customHeight="false" outlineLevel="0" collapsed="false">
      <c r="A2564" s="0" t="n">
        <v>2543</v>
      </c>
      <c r="B2564" s="0" t="s">
        <v>86</v>
      </c>
      <c r="C2564" s="17" t="n">
        <v>-0.216873930252212</v>
      </c>
      <c r="D2564" s="17" t="n">
        <f aca="false">(C2564-$B$4)/($B$6/SQRT($B$7))</f>
        <v>-1.08436965126106</v>
      </c>
      <c r="E2564" s="0" t="str">
        <f aca="false">IF(OR(AND($B$9="superior",D2564&gt;$B$10),AND($B$9="inferior",D2564&lt;-$B$10)),"Rechazar H0","No rechazar H0")</f>
        <v>No rechazar H0</v>
      </c>
      <c r="F2564" s="0" t="str">
        <f aca="false">IF(AND(B2564="H0 verdadera",E2564="Rechazar H0"),"Error tipo I",IF(AND(B2564="Ha verdadera",E2564="No rechazar H0"),"Error tipo II","Decisión correcta"))</f>
        <v>Error tipo II</v>
      </c>
    </row>
    <row r="2565" customFormat="false" ht="15" hidden="false" customHeight="false" outlineLevel="0" collapsed="false">
      <c r="A2565" s="0" t="n">
        <v>2544</v>
      </c>
      <c r="B2565" s="0" t="s">
        <v>86</v>
      </c>
      <c r="C2565" s="17" t="n">
        <v>-0.250144564737978</v>
      </c>
      <c r="D2565" s="17" t="n">
        <f aca="false">(C2565-$B$4)/($B$6/SQRT($B$7))</f>
        <v>-1.25072282368989</v>
      </c>
      <c r="E2565" s="0" t="str">
        <f aca="false">IF(OR(AND($B$9="superior",D2565&gt;$B$10),AND($B$9="inferior",D2565&lt;-$B$10)),"Rechazar H0","No rechazar H0")</f>
        <v>No rechazar H0</v>
      </c>
      <c r="F2565" s="0" t="str">
        <f aca="false">IF(AND(B2565="H0 verdadera",E2565="Rechazar H0"),"Error tipo I",IF(AND(B2565="Ha verdadera",E2565="No rechazar H0"),"Error tipo II","Decisión correcta"))</f>
        <v>Error tipo II</v>
      </c>
    </row>
    <row r="2566" customFormat="false" ht="15" hidden="false" customHeight="false" outlineLevel="0" collapsed="false">
      <c r="A2566" s="0" t="n">
        <v>2545</v>
      </c>
      <c r="B2566" s="0" t="s">
        <v>86</v>
      </c>
      <c r="C2566" s="17" t="n">
        <v>-0.434512217267797</v>
      </c>
      <c r="D2566" s="17" t="n">
        <f aca="false">(C2566-$B$4)/($B$6/SQRT($B$7))</f>
        <v>-2.17256108633899</v>
      </c>
      <c r="E2566" s="0" t="str">
        <f aca="false">IF(OR(AND($B$9="superior",D2566&gt;$B$10),AND($B$9="inferior",D2566&lt;-$B$10)),"Rechazar H0","No rechazar H0")</f>
        <v>Rechazar H0</v>
      </c>
      <c r="F2566" s="0" t="str">
        <f aca="false">IF(AND(B2566="H0 verdadera",E2566="Rechazar H0"),"Error tipo I",IF(AND(B2566="Ha verdadera",E2566="No rechazar H0"),"Error tipo II","Decisión correcta"))</f>
        <v>Decisión correcta</v>
      </c>
    </row>
    <row r="2567" customFormat="false" ht="15" hidden="false" customHeight="false" outlineLevel="0" collapsed="false">
      <c r="A2567" s="0" t="n">
        <v>2546</v>
      </c>
      <c r="B2567" s="0" t="s">
        <v>86</v>
      </c>
      <c r="C2567" s="17" t="n">
        <v>-0.119569694313912</v>
      </c>
      <c r="D2567" s="17" t="n">
        <f aca="false">(C2567-$B$4)/($B$6/SQRT($B$7))</f>
        <v>-0.59784847156956</v>
      </c>
      <c r="E2567" s="0" t="str">
        <f aca="false">IF(OR(AND($B$9="superior",D2567&gt;$B$10),AND($B$9="inferior",D2567&lt;-$B$10)),"Rechazar H0","No rechazar H0")</f>
        <v>No rechazar H0</v>
      </c>
      <c r="F2567" s="0" t="str">
        <f aca="false">IF(AND(B2567="H0 verdadera",E2567="Rechazar H0"),"Error tipo I",IF(AND(B2567="Ha verdadera",E2567="No rechazar H0"),"Error tipo II","Decisión correcta"))</f>
        <v>Error tipo II</v>
      </c>
    </row>
    <row r="2568" customFormat="false" ht="15" hidden="false" customHeight="false" outlineLevel="0" collapsed="false">
      <c r="A2568" s="0" t="n">
        <v>2547</v>
      </c>
      <c r="B2568" s="0" t="s">
        <v>85</v>
      </c>
      <c r="C2568" s="17" t="n">
        <v>0.330061289262286</v>
      </c>
      <c r="D2568" s="17" t="n">
        <f aca="false">(C2568-$B$4)/($B$6/SQRT($B$7))</f>
        <v>1.65030644631143</v>
      </c>
      <c r="E2568" s="0" t="str">
        <f aca="false">IF(OR(AND($B$9="superior",D2568&gt;$B$10),AND($B$9="inferior",D2568&lt;-$B$10)),"Rechazar H0","No rechazar H0")</f>
        <v>No rechazar H0</v>
      </c>
      <c r="F2568" s="0" t="str">
        <f aca="false">IF(AND(B2568="H0 verdadera",E2568="Rechazar H0"),"Error tipo I",IF(AND(B2568="Ha verdadera",E2568="No rechazar H0"),"Error tipo II","Decisión correcta"))</f>
        <v>Decisión correcta</v>
      </c>
    </row>
    <row r="2569" customFormat="false" ht="15" hidden="false" customHeight="false" outlineLevel="0" collapsed="false">
      <c r="A2569" s="0" t="n">
        <v>2548</v>
      </c>
      <c r="B2569" s="0" t="s">
        <v>85</v>
      </c>
      <c r="C2569" s="17" t="n">
        <v>-0.043968066406108</v>
      </c>
      <c r="D2569" s="17" t="n">
        <f aca="false">(C2569-$B$4)/($B$6/SQRT($B$7))</f>
        <v>-0.21984033203054</v>
      </c>
      <c r="E2569" s="0" t="str">
        <f aca="false">IF(OR(AND($B$9="superior",D2569&gt;$B$10),AND($B$9="inferior",D2569&lt;-$B$10)),"Rechazar H0","No rechazar H0")</f>
        <v>No rechazar H0</v>
      </c>
      <c r="F2569" s="0" t="str">
        <f aca="false">IF(AND(B2569="H0 verdadera",E2569="Rechazar H0"),"Error tipo I",IF(AND(B2569="Ha verdadera",E2569="No rechazar H0"),"Error tipo II","Decisión correcta"))</f>
        <v>Decisión correcta</v>
      </c>
    </row>
    <row r="2570" customFormat="false" ht="15" hidden="false" customHeight="false" outlineLevel="0" collapsed="false">
      <c r="A2570" s="0" t="n">
        <v>2549</v>
      </c>
      <c r="B2570" s="0" t="s">
        <v>86</v>
      </c>
      <c r="C2570" s="17" t="n">
        <v>-0.278145029903371</v>
      </c>
      <c r="D2570" s="17" t="n">
        <f aca="false">(C2570-$B$4)/($B$6/SQRT($B$7))</f>
        <v>-1.39072514951685</v>
      </c>
      <c r="E2570" s="0" t="str">
        <f aca="false">IF(OR(AND($B$9="superior",D2570&gt;$B$10),AND($B$9="inferior",D2570&lt;-$B$10)),"Rechazar H0","No rechazar H0")</f>
        <v>No rechazar H0</v>
      </c>
      <c r="F2570" s="0" t="str">
        <f aca="false">IF(AND(B2570="H0 verdadera",E2570="Rechazar H0"),"Error tipo I",IF(AND(B2570="Ha verdadera",E2570="No rechazar H0"),"Error tipo II","Decisión correcta"))</f>
        <v>Error tipo II</v>
      </c>
    </row>
    <row r="2571" customFormat="false" ht="15" hidden="false" customHeight="false" outlineLevel="0" collapsed="false">
      <c r="A2571" s="0" t="n">
        <v>2550</v>
      </c>
      <c r="B2571" s="0" t="s">
        <v>85</v>
      </c>
      <c r="C2571" s="17" t="n">
        <v>0.340269507308306</v>
      </c>
      <c r="D2571" s="17" t="n">
        <f aca="false">(C2571-$B$4)/($B$6/SQRT($B$7))</f>
        <v>1.70134753654153</v>
      </c>
      <c r="E2571" s="0" t="str">
        <f aca="false">IF(OR(AND($B$9="superior",D2571&gt;$B$10),AND($B$9="inferior",D2571&lt;-$B$10)),"Rechazar H0","No rechazar H0")</f>
        <v>No rechazar H0</v>
      </c>
      <c r="F2571" s="0" t="str">
        <f aca="false">IF(AND(B2571="H0 verdadera",E2571="Rechazar H0"),"Error tipo I",IF(AND(B2571="Ha verdadera",E2571="No rechazar H0"),"Error tipo II","Decisión correcta"))</f>
        <v>Decisión correcta</v>
      </c>
    </row>
    <row r="2572" customFormat="false" ht="15" hidden="false" customHeight="false" outlineLevel="0" collapsed="false">
      <c r="A2572" s="0" t="n">
        <v>2551</v>
      </c>
      <c r="B2572" s="0" t="s">
        <v>86</v>
      </c>
      <c r="C2572" s="17" t="n">
        <v>-0.355086078209331</v>
      </c>
      <c r="D2572" s="17" t="n">
        <f aca="false">(C2572-$B$4)/($B$6/SQRT($B$7))</f>
        <v>-1.77543039104665</v>
      </c>
      <c r="E2572" s="0" t="str">
        <f aca="false">IF(OR(AND($B$9="superior",D2572&gt;$B$10),AND($B$9="inferior",D2572&lt;-$B$10)),"Rechazar H0","No rechazar H0")</f>
        <v>Rechazar H0</v>
      </c>
      <c r="F2572" s="0" t="str">
        <f aca="false">IF(AND(B2572="H0 verdadera",E2572="Rechazar H0"),"Error tipo I",IF(AND(B2572="Ha verdadera",E2572="No rechazar H0"),"Error tipo II","Decisión correcta"))</f>
        <v>Decisión correcta</v>
      </c>
    </row>
    <row r="2573" customFormat="false" ht="15" hidden="false" customHeight="false" outlineLevel="0" collapsed="false">
      <c r="A2573" s="0" t="n">
        <v>2552</v>
      </c>
      <c r="B2573" s="0" t="s">
        <v>86</v>
      </c>
      <c r="C2573" s="17" t="n">
        <v>-0.324876863521347</v>
      </c>
      <c r="D2573" s="17" t="n">
        <f aca="false">(C2573-$B$4)/($B$6/SQRT($B$7))</f>
        <v>-1.62438431760673</v>
      </c>
      <c r="E2573" s="0" t="str">
        <f aca="false">IF(OR(AND($B$9="superior",D2573&gt;$B$10),AND($B$9="inferior",D2573&lt;-$B$10)),"Rechazar H0","No rechazar H0")</f>
        <v>No rechazar H0</v>
      </c>
      <c r="F2573" s="0" t="str">
        <f aca="false">IF(AND(B2573="H0 verdadera",E2573="Rechazar H0"),"Error tipo I",IF(AND(B2573="Ha verdadera",E2573="No rechazar H0"),"Error tipo II","Decisión correcta"))</f>
        <v>Error tipo II</v>
      </c>
    </row>
    <row r="2574" customFormat="false" ht="15" hidden="false" customHeight="false" outlineLevel="0" collapsed="false">
      <c r="A2574" s="0" t="n">
        <v>2553</v>
      </c>
      <c r="B2574" s="0" t="s">
        <v>85</v>
      </c>
      <c r="C2574" s="17" t="n">
        <v>-0.185089979700881</v>
      </c>
      <c r="D2574" s="17" t="n">
        <f aca="false">(C2574-$B$4)/($B$6/SQRT($B$7))</f>
        <v>-0.925449898504404</v>
      </c>
      <c r="E2574" s="0" t="str">
        <f aca="false">IF(OR(AND($B$9="superior",D2574&gt;$B$10),AND($B$9="inferior",D2574&lt;-$B$10)),"Rechazar H0","No rechazar H0")</f>
        <v>No rechazar H0</v>
      </c>
      <c r="F2574" s="0" t="str">
        <f aca="false">IF(AND(B2574="H0 verdadera",E2574="Rechazar H0"),"Error tipo I",IF(AND(B2574="Ha verdadera",E2574="No rechazar H0"),"Error tipo II","Decisión correcta"))</f>
        <v>Decisión correcta</v>
      </c>
    </row>
    <row r="2575" customFormat="false" ht="15" hidden="false" customHeight="false" outlineLevel="0" collapsed="false">
      <c r="A2575" s="0" t="n">
        <v>2554</v>
      </c>
      <c r="B2575" s="0" t="s">
        <v>85</v>
      </c>
      <c r="C2575" s="17" t="n">
        <v>0.103928596290591</v>
      </c>
      <c r="D2575" s="17" t="n">
        <f aca="false">(C2575-$B$4)/($B$6/SQRT($B$7))</f>
        <v>0.519642981452956</v>
      </c>
      <c r="E2575" s="0" t="str">
        <f aca="false">IF(OR(AND($B$9="superior",D2575&gt;$B$10),AND($B$9="inferior",D2575&lt;-$B$10)),"Rechazar H0","No rechazar H0")</f>
        <v>No rechazar H0</v>
      </c>
      <c r="F2575" s="0" t="str">
        <f aca="false">IF(AND(B2575="H0 verdadera",E2575="Rechazar H0"),"Error tipo I",IF(AND(B2575="Ha verdadera",E2575="No rechazar H0"),"Error tipo II","Decisión correcta"))</f>
        <v>Decisión correcta</v>
      </c>
    </row>
    <row r="2576" customFormat="false" ht="15" hidden="false" customHeight="false" outlineLevel="0" collapsed="false">
      <c r="A2576" s="0" t="n">
        <v>2555</v>
      </c>
      <c r="B2576" s="0" t="s">
        <v>86</v>
      </c>
      <c r="C2576" s="17" t="n">
        <v>-0.516942366981476</v>
      </c>
      <c r="D2576" s="17" t="n">
        <f aca="false">(C2576-$B$4)/($B$6/SQRT($B$7))</f>
        <v>-2.58471183490738</v>
      </c>
      <c r="E2576" s="0" t="str">
        <f aca="false">IF(OR(AND($B$9="superior",D2576&gt;$B$10),AND($B$9="inferior",D2576&lt;-$B$10)),"Rechazar H0","No rechazar H0")</f>
        <v>Rechazar H0</v>
      </c>
      <c r="F2576" s="0" t="str">
        <f aca="false">IF(AND(B2576="H0 verdadera",E2576="Rechazar H0"),"Error tipo I",IF(AND(B2576="Ha verdadera",E2576="No rechazar H0"),"Error tipo II","Decisión correcta"))</f>
        <v>Decisión correcta</v>
      </c>
    </row>
    <row r="2577" customFormat="false" ht="15" hidden="false" customHeight="false" outlineLevel="0" collapsed="false">
      <c r="A2577" s="0" t="n">
        <v>2556</v>
      </c>
      <c r="B2577" s="0" t="s">
        <v>85</v>
      </c>
      <c r="C2577" s="17" t="n">
        <v>-0.0765733202224016</v>
      </c>
      <c r="D2577" s="17" t="n">
        <f aca="false">(C2577-$B$4)/($B$6/SQRT($B$7))</f>
        <v>-0.382866601112008</v>
      </c>
      <c r="E2577" s="0" t="str">
        <f aca="false">IF(OR(AND($B$9="superior",D2577&gt;$B$10),AND($B$9="inferior",D2577&lt;-$B$10)),"Rechazar H0","No rechazar H0")</f>
        <v>No rechazar H0</v>
      </c>
      <c r="F2577" s="0" t="str">
        <f aca="false">IF(AND(B2577="H0 verdadera",E2577="Rechazar H0"),"Error tipo I",IF(AND(B2577="Ha verdadera",E2577="No rechazar H0"),"Error tipo II","Decisión correcta"))</f>
        <v>Decisión correcta</v>
      </c>
    </row>
    <row r="2578" customFormat="false" ht="15" hidden="false" customHeight="false" outlineLevel="0" collapsed="false">
      <c r="A2578" s="0" t="n">
        <v>2557</v>
      </c>
      <c r="B2578" s="0" t="s">
        <v>85</v>
      </c>
      <c r="C2578" s="17" t="n">
        <v>-0.211117171850929</v>
      </c>
      <c r="D2578" s="17" t="n">
        <f aca="false">(C2578-$B$4)/($B$6/SQRT($B$7))</f>
        <v>-1.05558585925465</v>
      </c>
      <c r="E2578" s="0" t="str">
        <f aca="false">IF(OR(AND($B$9="superior",D2578&gt;$B$10),AND($B$9="inferior",D2578&lt;-$B$10)),"Rechazar H0","No rechazar H0")</f>
        <v>No rechazar H0</v>
      </c>
      <c r="F2578" s="0" t="str">
        <f aca="false">IF(AND(B2578="H0 verdadera",E2578="Rechazar H0"),"Error tipo I",IF(AND(B2578="Ha verdadera",E2578="No rechazar H0"),"Error tipo II","Decisión correcta"))</f>
        <v>Decisión correcta</v>
      </c>
    </row>
    <row r="2579" customFormat="false" ht="15" hidden="false" customHeight="false" outlineLevel="0" collapsed="false">
      <c r="A2579" s="0" t="n">
        <v>2558</v>
      </c>
      <c r="B2579" s="0" t="s">
        <v>86</v>
      </c>
      <c r="C2579" s="17" t="n">
        <v>-0.47218582845207</v>
      </c>
      <c r="D2579" s="17" t="n">
        <f aca="false">(C2579-$B$4)/($B$6/SQRT($B$7))</f>
        <v>-2.36092914226035</v>
      </c>
      <c r="E2579" s="0" t="str">
        <f aca="false">IF(OR(AND($B$9="superior",D2579&gt;$B$10),AND($B$9="inferior",D2579&lt;-$B$10)),"Rechazar H0","No rechazar H0")</f>
        <v>Rechazar H0</v>
      </c>
      <c r="F2579" s="0" t="str">
        <f aca="false">IF(AND(B2579="H0 verdadera",E2579="Rechazar H0"),"Error tipo I",IF(AND(B2579="Ha verdadera",E2579="No rechazar H0"),"Error tipo II","Decisión correcta"))</f>
        <v>Decisión correcta</v>
      </c>
    </row>
    <row r="2580" customFormat="false" ht="15" hidden="false" customHeight="false" outlineLevel="0" collapsed="false">
      <c r="A2580" s="0" t="n">
        <v>2559</v>
      </c>
      <c r="B2580" s="0" t="s">
        <v>86</v>
      </c>
      <c r="C2580" s="17" t="n">
        <v>-0.507788948381978</v>
      </c>
      <c r="D2580" s="17" t="n">
        <f aca="false">(C2580-$B$4)/($B$6/SQRT($B$7))</f>
        <v>-2.53894474190989</v>
      </c>
      <c r="E2580" s="0" t="str">
        <f aca="false">IF(OR(AND($B$9="superior",D2580&gt;$B$10),AND($B$9="inferior",D2580&lt;-$B$10)),"Rechazar H0","No rechazar H0")</f>
        <v>Rechazar H0</v>
      </c>
      <c r="F2580" s="0" t="str">
        <f aca="false">IF(AND(B2580="H0 verdadera",E2580="Rechazar H0"),"Error tipo I",IF(AND(B2580="Ha verdadera",E2580="No rechazar H0"),"Error tipo II","Decisión correcta"))</f>
        <v>Decisión correcta</v>
      </c>
    </row>
    <row r="2581" customFormat="false" ht="15" hidden="false" customHeight="false" outlineLevel="0" collapsed="false">
      <c r="A2581" s="0" t="n">
        <v>2560</v>
      </c>
      <c r="B2581" s="0" t="s">
        <v>86</v>
      </c>
      <c r="C2581" s="17" t="n">
        <v>-0.577996279096373</v>
      </c>
      <c r="D2581" s="17" t="n">
        <f aca="false">(C2581-$B$4)/($B$6/SQRT($B$7))</f>
        <v>-2.88998139548186</v>
      </c>
      <c r="E2581" s="0" t="str">
        <f aca="false">IF(OR(AND($B$9="superior",D2581&gt;$B$10),AND($B$9="inferior",D2581&lt;-$B$10)),"Rechazar H0","No rechazar H0")</f>
        <v>Rechazar H0</v>
      </c>
      <c r="F2581" s="0" t="str">
        <f aca="false">IF(AND(B2581="H0 verdadera",E2581="Rechazar H0"),"Error tipo I",IF(AND(B2581="Ha verdadera",E2581="No rechazar H0"),"Error tipo II","Decisión correcta"))</f>
        <v>Decisión correcta</v>
      </c>
    </row>
    <row r="2582" customFormat="false" ht="15" hidden="false" customHeight="false" outlineLevel="0" collapsed="false">
      <c r="A2582" s="0" t="n">
        <v>2561</v>
      </c>
      <c r="B2582" s="0" t="s">
        <v>86</v>
      </c>
      <c r="C2582" s="17" t="n">
        <v>-0.470327891382859</v>
      </c>
      <c r="D2582" s="17" t="n">
        <f aca="false">(C2582-$B$4)/($B$6/SQRT($B$7))</f>
        <v>-2.35163945691429</v>
      </c>
      <c r="E2582" s="0" t="str">
        <f aca="false">IF(OR(AND($B$9="superior",D2582&gt;$B$10),AND($B$9="inferior",D2582&lt;-$B$10)),"Rechazar H0","No rechazar H0")</f>
        <v>Rechazar H0</v>
      </c>
      <c r="F2582" s="0" t="str">
        <f aca="false">IF(AND(B2582="H0 verdadera",E2582="Rechazar H0"),"Error tipo I",IF(AND(B2582="Ha verdadera",E2582="No rechazar H0"),"Error tipo II","Decisión correcta"))</f>
        <v>Decisión correcta</v>
      </c>
    </row>
    <row r="2583" customFormat="false" ht="15" hidden="false" customHeight="false" outlineLevel="0" collapsed="false">
      <c r="A2583" s="0" t="n">
        <v>2562</v>
      </c>
      <c r="B2583" s="0" t="s">
        <v>85</v>
      </c>
      <c r="C2583" s="17" t="n">
        <v>0.370729296913075</v>
      </c>
      <c r="D2583" s="17" t="n">
        <f aca="false">(C2583-$B$4)/($B$6/SQRT($B$7))</f>
        <v>1.85364648456537</v>
      </c>
      <c r="E2583" s="0" t="str">
        <f aca="false">IF(OR(AND($B$9="superior",D2583&gt;$B$10),AND($B$9="inferior",D2583&lt;-$B$10)),"Rechazar H0","No rechazar H0")</f>
        <v>No rechazar H0</v>
      </c>
      <c r="F2583" s="0" t="str">
        <f aca="false">IF(AND(B2583="H0 verdadera",E2583="Rechazar H0"),"Error tipo I",IF(AND(B2583="Ha verdadera",E2583="No rechazar H0"),"Error tipo II","Decisión correcta"))</f>
        <v>Decisión correcta</v>
      </c>
    </row>
    <row r="2584" customFormat="false" ht="15" hidden="false" customHeight="false" outlineLevel="0" collapsed="false">
      <c r="A2584" s="0" t="n">
        <v>2563</v>
      </c>
      <c r="B2584" s="0" t="s">
        <v>86</v>
      </c>
      <c r="C2584" s="17" t="n">
        <v>-0.458641423483389</v>
      </c>
      <c r="D2584" s="17" t="n">
        <f aca="false">(C2584-$B$4)/($B$6/SQRT($B$7))</f>
        <v>-2.29320711741694</v>
      </c>
      <c r="E2584" s="0" t="str">
        <f aca="false">IF(OR(AND($B$9="superior",D2584&gt;$B$10),AND($B$9="inferior",D2584&lt;-$B$10)),"Rechazar H0","No rechazar H0")</f>
        <v>Rechazar H0</v>
      </c>
      <c r="F2584" s="0" t="str">
        <f aca="false">IF(AND(B2584="H0 verdadera",E2584="Rechazar H0"),"Error tipo I",IF(AND(B2584="Ha verdadera",E2584="No rechazar H0"),"Error tipo II","Decisión correcta"))</f>
        <v>Decisión correcta</v>
      </c>
    </row>
    <row r="2585" customFormat="false" ht="15" hidden="false" customHeight="false" outlineLevel="0" collapsed="false">
      <c r="A2585" s="0" t="n">
        <v>2564</v>
      </c>
      <c r="B2585" s="0" t="s">
        <v>86</v>
      </c>
      <c r="C2585" s="17" t="n">
        <v>-0.511608547189935</v>
      </c>
      <c r="D2585" s="17" t="n">
        <f aca="false">(C2585-$B$4)/($B$6/SQRT($B$7))</f>
        <v>-2.55804273594968</v>
      </c>
      <c r="E2585" s="0" t="str">
        <f aca="false">IF(OR(AND($B$9="superior",D2585&gt;$B$10),AND($B$9="inferior",D2585&lt;-$B$10)),"Rechazar H0","No rechazar H0")</f>
        <v>Rechazar H0</v>
      </c>
      <c r="F2585" s="0" t="str">
        <f aca="false">IF(AND(B2585="H0 verdadera",E2585="Rechazar H0"),"Error tipo I",IF(AND(B2585="Ha verdadera",E2585="No rechazar H0"),"Error tipo II","Decisión correcta"))</f>
        <v>Decisión correcta</v>
      </c>
    </row>
    <row r="2586" customFormat="false" ht="15" hidden="false" customHeight="false" outlineLevel="0" collapsed="false">
      <c r="A2586" s="0" t="n">
        <v>2565</v>
      </c>
      <c r="B2586" s="0" t="s">
        <v>85</v>
      </c>
      <c r="C2586" s="17" t="n">
        <v>0.337746895639373</v>
      </c>
      <c r="D2586" s="17" t="n">
        <f aca="false">(C2586-$B$4)/($B$6/SQRT($B$7))</f>
        <v>1.68873447819687</v>
      </c>
      <c r="E2586" s="0" t="str">
        <f aca="false">IF(OR(AND($B$9="superior",D2586&gt;$B$10),AND($B$9="inferior",D2586&lt;-$B$10)),"Rechazar H0","No rechazar H0")</f>
        <v>No rechazar H0</v>
      </c>
      <c r="F2586" s="0" t="str">
        <f aca="false">IF(AND(B2586="H0 verdadera",E2586="Rechazar H0"),"Error tipo I",IF(AND(B2586="Ha verdadera",E2586="No rechazar H0"),"Error tipo II","Decisión correcta"))</f>
        <v>Decisión correcta</v>
      </c>
    </row>
    <row r="2587" customFormat="false" ht="15" hidden="false" customHeight="false" outlineLevel="0" collapsed="false">
      <c r="A2587" s="0" t="n">
        <v>2566</v>
      </c>
      <c r="B2587" s="0" t="s">
        <v>85</v>
      </c>
      <c r="C2587" s="17" t="n">
        <v>0.00450852947836006</v>
      </c>
      <c r="D2587" s="17" t="n">
        <f aca="false">(C2587-$B$4)/($B$6/SQRT($B$7))</f>
        <v>0.0225426473918003</v>
      </c>
      <c r="E2587" s="0" t="str">
        <f aca="false">IF(OR(AND($B$9="superior",D2587&gt;$B$10),AND($B$9="inferior",D2587&lt;-$B$10)),"Rechazar H0","No rechazar H0")</f>
        <v>No rechazar H0</v>
      </c>
      <c r="F2587" s="0" t="str">
        <f aca="false">IF(AND(B2587="H0 verdadera",E2587="Rechazar H0"),"Error tipo I",IF(AND(B2587="Ha verdadera",E2587="No rechazar H0"),"Error tipo II","Decisión correcta"))</f>
        <v>Decisión correcta</v>
      </c>
    </row>
    <row r="2588" customFormat="false" ht="15" hidden="false" customHeight="false" outlineLevel="0" collapsed="false">
      <c r="A2588" s="0" t="n">
        <v>2567</v>
      </c>
      <c r="B2588" s="0" t="s">
        <v>85</v>
      </c>
      <c r="C2588" s="17" t="n">
        <v>0.243892071935182</v>
      </c>
      <c r="D2588" s="17" t="n">
        <f aca="false">(C2588-$B$4)/($B$6/SQRT($B$7))</f>
        <v>1.21946035967591</v>
      </c>
      <c r="E2588" s="0" t="str">
        <f aca="false">IF(OR(AND($B$9="superior",D2588&gt;$B$10),AND($B$9="inferior",D2588&lt;-$B$10)),"Rechazar H0","No rechazar H0")</f>
        <v>No rechazar H0</v>
      </c>
      <c r="F2588" s="0" t="str">
        <f aca="false">IF(AND(B2588="H0 verdadera",E2588="Rechazar H0"),"Error tipo I",IF(AND(B2588="Ha verdadera",E2588="No rechazar H0"),"Error tipo II","Decisión correcta"))</f>
        <v>Decisión correcta</v>
      </c>
    </row>
    <row r="2589" customFormat="false" ht="15" hidden="false" customHeight="false" outlineLevel="0" collapsed="false">
      <c r="A2589" s="0" t="n">
        <v>2568</v>
      </c>
      <c r="B2589" s="0" t="s">
        <v>85</v>
      </c>
      <c r="C2589" s="17" t="n">
        <v>-0.0174183409675431</v>
      </c>
      <c r="D2589" s="17" t="n">
        <f aca="false">(C2589-$B$4)/($B$6/SQRT($B$7))</f>
        <v>-0.0870917048377154</v>
      </c>
      <c r="E2589" s="0" t="str">
        <f aca="false">IF(OR(AND($B$9="superior",D2589&gt;$B$10),AND($B$9="inferior",D2589&lt;-$B$10)),"Rechazar H0","No rechazar H0")</f>
        <v>No rechazar H0</v>
      </c>
      <c r="F2589" s="0" t="str">
        <f aca="false">IF(AND(B2589="H0 verdadera",E2589="Rechazar H0"),"Error tipo I",IF(AND(B2589="Ha verdadera",E2589="No rechazar H0"),"Error tipo II","Decisión correcta"))</f>
        <v>Decisión correcta</v>
      </c>
    </row>
    <row r="2590" customFormat="false" ht="15" hidden="false" customHeight="false" outlineLevel="0" collapsed="false">
      <c r="A2590" s="0" t="n">
        <v>2569</v>
      </c>
      <c r="B2590" s="0" t="s">
        <v>86</v>
      </c>
      <c r="C2590" s="17" t="n">
        <v>-0.539722699315502</v>
      </c>
      <c r="D2590" s="17" t="n">
        <f aca="false">(C2590-$B$4)/($B$6/SQRT($B$7))</f>
        <v>-2.69861349657751</v>
      </c>
      <c r="E2590" s="0" t="str">
        <f aca="false">IF(OR(AND($B$9="superior",D2590&gt;$B$10),AND($B$9="inferior",D2590&lt;-$B$10)),"Rechazar H0","No rechazar H0")</f>
        <v>Rechazar H0</v>
      </c>
      <c r="F2590" s="0" t="str">
        <f aca="false">IF(AND(B2590="H0 verdadera",E2590="Rechazar H0"),"Error tipo I",IF(AND(B2590="Ha verdadera",E2590="No rechazar H0"),"Error tipo II","Decisión correcta"))</f>
        <v>Decisión correcta</v>
      </c>
    </row>
    <row r="2591" customFormat="false" ht="15" hidden="false" customHeight="false" outlineLevel="0" collapsed="false">
      <c r="A2591" s="0" t="n">
        <v>2570</v>
      </c>
      <c r="B2591" s="0" t="s">
        <v>86</v>
      </c>
      <c r="C2591" s="17" t="n">
        <v>-0.42496994758786</v>
      </c>
      <c r="D2591" s="17" t="n">
        <f aca="false">(C2591-$B$4)/($B$6/SQRT($B$7))</f>
        <v>-2.1248497379393</v>
      </c>
      <c r="E2591" s="0" t="str">
        <f aca="false">IF(OR(AND($B$9="superior",D2591&gt;$B$10),AND($B$9="inferior",D2591&lt;-$B$10)),"Rechazar H0","No rechazar H0")</f>
        <v>Rechazar H0</v>
      </c>
      <c r="F2591" s="0" t="str">
        <f aca="false">IF(AND(B2591="H0 verdadera",E2591="Rechazar H0"),"Error tipo I",IF(AND(B2591="Ha verdadera",E2591="No rechazar H0"),"Error tipo II","Decisión correcta"))</f>
        <v>Decisión correcta</v>
      </c>
    </row>
    <row r="2592" customFormat="false" ht="15" hidden="false" customHeight="false" outlineLevel="0" collapsed="false">
      <c r="A2592" s="0" t="n">
        <v>2571</v>
      </c>
      <c r="B2592" s="0" t="s">
        <v>86</v>
      </c>
      <c r="C2592" s="17" t="n">
        <v>-0.503281955820908</v>
      </c>
      <c r="D2592" s="17" t="n">
        <f aca="false">(C2592-$B$4)/($B$6/SQRT($B$7))</f>
        <v>-2.51640977910454</v>
      </c>
      <c r="E2592" s="0" t="str">
        <f aca="false">IF(OR(AND($B$9="superior",D2592&gt;$B$10),AND($B$9="inferior",D2592&lt;-$B$10)),"Rechazar H0","No rechazar H0")</f>
        <v>Rechazar H0</v>
      </c>
      <c r="F2592" s="0" t="str">
        <f aca="false">IF(AND(B2592="H0 verdadera",E2592="Rechazar H0"),"Error tipo I",IF(AND(B2592="Ha verdadera",E2592="No rechazar H0"),"Error tipo II","Decisión correcta"))</f>
        <v>Decisión correcta</v>
      </c>
    </row>
    <row r="2593" customFormat="false" ht="15" hidden="false" customHeight="false" outlineLevel="0" collapsed="false">
      <c r="A2593" s="0" t="n">
        <v>2572</v>
      </c>
      <c r="B2593" s="0" t="s">
        <v>86</v>
      </c>
      <c r="C2593" s="17" t="n">
        <v>-0.158151441070341</v>
      </c>
      <c r="D2593" s="17" t="n">
        <f aca="false">(C2593-$B$4)/($B$6/SQRT($B$7))</f>
        <v>-0.790757205351707</v>
      </c>
      <c r="E2593" s="0" t="str">
        <f aca="false">IF(OR(AND($B$9="superior",D2593&gt;$B$10),AND($B$9="inferior",D2593&lt;-$B$10)),"Rechazar H0","No rechazar H0")</f>
        <v>No rechazar H0</v>
      </c>
      <c r="F2593" s="0" t="str">
        <f aca="false">IF(AND(B2593="H0 verdadera",E2593="Rechazar H0"),"Error tipo I",IF(AND(B2593="Ha verdadera",E2593="No rechazar H0"),"Error tipo II","Decisión correcta"))</f>
        <v>Error tipo II</v>
      </c>
    </row>
    <row r="2594" customFormat="false" ht="15" hidden="false" customHeight="false" outlineLevel="0" collapsed="false">
      <c r="A2594" s="0" t="n">
        <v>2573</v>
      </c>
      <c r="B2594" s="0" t="s">
        <v>85</v>
      </c>
      <c r="C2594" s="17" t="n">
        <v>-0.113745117796572</v>
      </c>
      <c r="D2594" s="17" t="n">
        <f aca="false">(C2594-$B$4)/($B$6/SQRT($B$7))</f>
        <v>-0.568725588982862</v>
      </c>
      <c r="E2594" s="0" t="str">
        <f aca="false">IF(OR(AND($B$9="superior",D2594&gt;$B$10),AND($B$9="inferior",D2594&lt;-$B$10)),"Rechazar H0","No rechazar H0")</f>
        <v>No rechazar H0</v>
      </c>
      <c r="F2594" s="0" t="str">
        <f aca="false">IF(AND(B2594="H0 verdadera",E2594="Rechazar H0"),"Error tipo I",IF(AND(B2594="Ha verdadera",E2594="No rechazar H0"),"Error tipo II","Decisión correcta"))</f>
        <v>Decisión correcta</v>
      </c>
    </row>
    <row r="2595" customFormat="false" ht="15" hidden="false" customHeight="false" outlineLevel="0" collapsed="false">
      <c r="A2595" s="0" t="n">
        <v>2574</v>
      </c>
      <c r="B2595" s="0" t="s">
        <v>85</v>
      </c>
      <c r="C2595" s="17" t="n">
        <v>0.112962931008694</v>
      </c>
      <c r="D2595" s="17" t="n">
        <f aca="false">(C2595-$B$4)/($B$6/SQRT($B$7))</f>
        <v>0.56481465504347</v>
      </c>
      <c r="E2595" s="0" t="str">
        <f aca="false">IF(OR(AND($B$9="superior",D2595&gt;$B$10),AND($B$9="inferior",D2595&lt;-$B$10)),"Rechazar H0","No rechazar H0")</f>
        <v>No rechazar H0</v>
      </c>
      <c r="F2595" s="0" t="str">
        <f aca="false">IF(AND(B2595="H0 verdadera",E2595="Rechazar H0"),"Error tipo I",IF(AND(B2595="Ha verdadera",E2595="No rechazar H0"),"Error tipo II","Decisión correcta"))</f>
        <v>Decisión correcta</v>
      </c>
    </row>
    <row r="2596" customFormat="false" ht="15" hidden="false" customHeight="false" outlineLevel="0" collapsed="false">
      <c r="A2596" s="0" t="n">
        <v>2575</v>
      </c>
      <c r="B2596" s="0" t="s">
        <v>86</v>
      </c>
      <c r="C2596" s="17" t="n">
        <v>-0.276384162265884</v>
      </c>
      <c r="D2596" s="17" t="n">
        <f aca="false">(C2596-$B$4)/($B$6/SQRT($B$7))</f>
        <v>-1.38192081132942</v>
      </c>
      <c r="E2596" s="0" t="str">
        <f aca="false">IF(OR(AND($B$9="superior",D2596&gt;$B$10),AND($B$9="inferior",D2596&lt;-$B$10)),"Rechazar H0","No rechazar H0")</f>
        <v>No rechazar H0</v>
      </c>
      <c r="F2596" s="0" t="str">
        <f aca="false">IF(AND(B2596="H0 verdadera",E2596="Rechazar H0"),"Error tipo I",IF(AND(B2596="Ha verdadera",E2596="No rechazar H0"),"Error tipo II","Decisión correcta"))</f>
        <v>Error tipo II</v>
      </c>
    </row>
    <row r="2597" customFormat="false" ht="15" hidden="false" customHeight="false" outlineLevel="0" collapsed="false">
      <c r="A2597" s="0" t="n">
        <v>2576</v>
      </c>
      <c r="B2597" s="0" t="s">
        <v>85</v>
      </c>
      <c r="C2597" s="17" t="n">
        <v>-0.0193304244706707</v>
      </c>
      <c r="D2597" s="17" t="n">
        <f aca="false">(C2597-$B$4)/($B$6/SQRT($B$7))</f>
        <v>-0.0966521223533532</v>
      </c>
      <c r="E2597" s="0" t="str">
        <f aca="false">IF(OR(AND($B$9="superior",D2597&gt;$B$10),AND($B$9="inferior",D2597&lt;-$B$10)),"Rechazar H0","No rechazar H0")</f>
        <v>No rechazar H0</v>
      </c>
      <c r="F2597" s="0" t="str">
        <f aca="false">IF(AND(B2597="H0 verdadera",E2597="Rechazar H0"),"Error tipo I",IF(AND(B2597="Ha verdadera",E2597="No rechazar H0"),"Error tipo II","Decisión correcta"))</f>
        <v>Decisión correcta</v>
      </c>
    </row>
    <row r="2598" customFormat="false" ht="15" hidden="false" customHeight="false" outlineLevel="0" collapsed="false">
      <c r="A2598" s="0" t="n">
        <v>2577</v>
      </c>
      <c r="B2598" s="0" t="s">
        <v>85</v>
      </c>
      <c r="C2598" s="17" t="n">
        <v>0.0735757812563918</v>
      </c>
      <c r="D2598" s="17" t="n">
        <f aca="false">(C2598-$B$4)/($B$6/SQRT($B$7))</f>
        <v>0.367878906281959</v>
      </c>
      <c r="E2598" s="0" t="str">
        <f aca="false">IF(OR(AND($B$9="superior",D2598&gt;$B$10),AND($B$9="inferior",D2598&lt;-$B$10)),"Rechazar H0","No rechazar H0")</f>
        <v>No rechazar H0</v>
      </c>
      <c r="F2598" s="0" t="str">
        <f aca="false">IF(AND(B2598="H0 verdadera",E2598="Rechazar H0"),"Error tipo I",IF(AND(B2598="Ha verdadera",E2598="No rechazar H0"),"Error tipo II","Decisión correcta"))</f>
        <v>Decisión correcta</v>
      </c>
    </row>
    <row r="2599" customFormat="false" ht="15" hidden="false" customHeight="false" outlineLevel="0" collapsed="false">
      <c r="A2599" s="0" t="n">
        <v>2578</v>
      </c>
      <c r="B2599" s="0" t="s">
        <v>86</v>
      </c>
      <c r="C2599" s="17" t="n">
        <v>-0.667389516466797</v>
      </c>
      <c r="D2599" s="17" t="n">
        <f aca="false">(C2599-$B$4)/($B$6/SQRT($B$7))</f>
        <v>-3.33694758233398</v>
      </c>
      <c r="E2599" s="0" t="str">
        <f aca="false">IF(OR(AND($B$9="superior",D2599&gt;$B$10),AND($B$9="inferior",D2599&lt;-$B$10)),"Rechazar H0","No rechazar H0")</f>
        <v>Rechazar H0</v>
      </c>
      <c r="F2599" s="0" t="str">
        <f aca="false">IF(AND(B2599="H0 verdadera",E2599="Rechazar H0"),"Error tipo I",IF(AND(B2599="Ha verdadera",E2599="No rechazar H0"),"Error tipo II","Decisión correcta"))</f>
        <v>Decisión correcta</v>
      </c>
    </row>
    <row r="2600" customFormat="false" ht="15" hidden="false" customHeight="false" outlineLevel="0" collapsed="false">
      <c r="A2600" s="0" t="n">
        <v>2579</v>
      </c>
      <c r="B2600" s="0" t="s">
        <v>85</v>
      </c>
      <c r="C2600" s="17" t="n">
        <v>-0.0013391925015497</v>
      </c>
      <c r="D2600" s="17" t="n">
        <f aca="false">(C2600-$B$4)/($B$6/SQRT($B$7))</f>
        <v>-0.00669596250774851</v>
      </c>
      <c r="E2600" s="0" t="str">
        <f aca="false">IF(OR(AND($B$9="superior",D2600&gt;$B$10),AND($B$9="inferior",D2600&lt;-$B$10)),"Rechazar H0","No rechazar H0")</f>
        <v>No rechazar H0</v>
      </c>
      <c r="F2600" s="0" t="str">
        <f aca="false">IF(AND(B2600="H0 verdadera",E2600="Rechazar H0"),"Error tipo I",IF(AND(B2600="Ha verdadera",E2600="No rechazar H0"),"Error tipo II","Decisión correcta"))</f>
        <v>Decisión correcta</v>
      </c>
    </row>
    <row r="2601" customFormat="false" ht="15" hidden="false" customHeight="false" outlineLevel="0" collapsed="false">
      <c r="A2601" s="0" t="n">
        <v>2580</v>
      </c>
      <c r="B2601" s="0" t="s">
        <v>86</v>
      </c>
      <c r="C2601" s="17" t="n">
        <v>-0.528687971506053</v>
      </c>
      <c r="D2601" s="17" t="n">
        <f aca="false">(C2601-$B$4)/($B$6/SQRT($B$7))</f>
        <v>-2.64343985753027</v>
      </c>
      <c r="E2601" s="0" t="str">
        <f aca="false">IF(OR(AND($B$9="superior",D2601&gt;$B$10),AND($B$9="inferior",D2601&lt;-$B$10)),"Rechazar H0","No rechazar H0")</f>
        <v>Rechazar H0</v>
      </c>
      <c r="F2601" s="0" t="str">
        <f aca="false">IF(AND(B2601="H0 verdadera",E2601="Rechazar H0"),"Error tipo I",IF(AND(B2601="Ha verdadera",E2601="No rechazar H0"),"Error tipo II","Decisión correcta"))</f>
        <v>Decisión correcta</v>
      </c>
    </row>
    <row r="2602" customFormat="false" ht="15" hidden="false" customHeight="false" outlineLevel="0" collapsed="false">
      <c r="A2602" s="0" t="n">
        <v>2581</v>
      </c>
      <c r="B2602" s="0" t="s">
        <v>86</v>
      </c>
      <c r="C2602" s="17" t="n">
        <v>-0.4566070946114</v>
      </c>
      <c r="D2602" s="17" t="n">
        <f aca="false">(C2602-$B$4)/($B$6/SQRT($B$7))</f>
        <v>-2.283035473057</v>
      </c>
      <c r="E2602" s="0" t="str">
        <f aca="false">IF(OR(AND($B$9="superior",D2602&gt;$B$10),AND($B$9="inferior",D2602&lt;-$B$10)),"Rechazar H0","No rechazar H0")</f>
        <v>Rechazar H0</v>
      </c>
      <c r="F2602" s="0" t="str">
        <f aca="false">IF(AND(B2602="H0 verdadera",E2602="Rechazar H0"),"Error tipo I",IF(AND(B2602="Ha verdadera",E2602="No rechazar H0"),"Error tipo II","Decisión correcta"))</f>
        <v>Decisión correcta</v>
      </c>
    </row>
    <row r="2603" customFormat="false" ht="15" hidden="false" customHeight="false" outlineLevel="0" collapsed="false">
      <c r="A2603" s="0" t="n">
        <v>2582</v>
      </c>
      <c r="B2603" s="0" t="s">
        <v>85</v>
      </c>
      <c r="C2603" s="17" t="n">
        <v>-0.036489622738074</v>
      </c>
      <c r="D2603" s="17" t="n">
        <f aca="false">(C2603-$B$4)/($B$6/SQRT($B$7))</f>
        <v>-0.18244811369037</v>
      </c>
      <c r="E2603" s="0" t="str">
        <f aca="false">IF(OR(AND($B$9="superior",D2603&gt;$B$10),AND($B$9="inferior",D2603&lt;-$B$10)),"Rechazar H0","No rechazar H0")</f>
        <v>No rechazar H0</v>
      </c>
      <c r="F2603" s="0" t="str">
        <f aca="false">IF(AND(B2603="H0 verdadera",E2603="Rechazar H0"),"Error tipo I",IF(AND(B2603="Ha verdadera",E2603="No rechazar H0"),"Error tipo II","Decisión correcta"))</f>
        <v>Decisión correcta</v>
      </c>
    </row>
    <row r="2604" customFormat="false" ht="15" hidden="false" customHeight="false" outlineLevel="0" collapsed="false">
      <c r="A2604" s="0" t="n">
        <v>2583</v>
      </c>
      <c r="B2604" s="0" t="s">
        <v>86</v>
      </c>
      <c r="C2604" s="17" t="n">
        <v>-0.57584767614274</v>
      </c>
      <c r="D2604" s="17" t="n">
        <f aca="false">(C2604-$B$4)/($B$6/SQRT($B$7))</f>
        <v>-2.8792383807137</v>
      </c>
      <c r="E2604" s="0" t="str">
        <f aca="false">IF(OR(AND($B$9="superior",D2604&gt;$B$10),AND($B$9="inferior",D2604&lt;-$B$10)),"Rechazar H0","No rechazar H0")</f>
        <v>Rechazar H0</v>
      </c>
      <c r="F2604" s="0" t="str">
        <f aca="false">IF(AND(B2604="H0 verdadera",E2604="Rechazar H0"),"Error tipo I",IF(AND(B2604="Ha verdadera",E2604="No rechazar H0"),"Error tipo II","Decisión correcta"))</f>
        <v>Decisión correcta</v>
      </c>
    </row>
    <row r="2605" customFormat="false" ht="15" hidden="false" customHeight="false" outlineLevel="0" collapsed="false">
      <c r="A2605" s="0" t="n">
        <v>2584</v>
      </c>
      <c r="B2605" s="0" t="s">
        <v>86</v>
      </c>
      <c r="C2605" s="17" t="n">
        <v>-0.28523873116561</v>
      </c>
      <c r="D2605" s="17" t="n">
        <f aca="false">(C2605-$B$4)/($B$6/SQRT($B$7))</f>
        <v>-1.42619365582805</v>
      </c>
      <c r="E2605" s="0" t="str">
        <f aca="false">IF(OR(AND($B$9="superior",D2605&gt;$B$10),AND($B$9="inferior",D2605&lt;-$B$10)),"Rechazar H0","No rechazar H0")</f>
        <v>No rechazar H0</v>
      </c>
      <c r="F2605" s="0" t="str">
        <f aca="false">IF(AND(B2605="H0 verdadera",E2605="Rechazar H0"),"Error tipo I",IF(AND(B2605="Ha verdadera",E2605="No rechazar H0"),"Error tipo II","Decisión correcta"))</f>
        <v>Error tipo II</v>
      </c>
    </row>
    <row r="2606" customFormat="false" ht="15" hidden="false" customHeight="false" outlineLevel="0" collapsed="false">
      <c r="A2606" s="0" t="n">
        <v>2585</v>
      </c>
      <c r="B2606" s="0" t="s">
        <v>85</v>
      </c>
      <c r="C2606" s="17" t="n">
        <v>0.222645832263305</v>
      </c>
      <c r="D2606" s="17" t="n">
        <f aca="false">(C2606-$B$4)/($B$6/SQRT($B$7))</f>
        <v>1.11322916131652</v>
      </c>
      <c r="E2606" s="0" t="str">
        <f aca="false">IF(OR(AND($B$9="superior",D2606&gt;$B$10),AND($B$9="inferior",D2606&lt;-$B$10)),"Rechazar H0","No rechazar H0")</f>
        <v>No rechazar H0</v>
      </c>
      <c r="F2606" s="0" t="str">
        <f aca="false">IF(AND(B2606="H0 verdadera",E2606="Rechazar H0"),"Error tipo I",IF(AND(B2606="Ha verdadera",E2606="No rechazar H0"),"Error tipo II","Decisión correcta"))</f>
        <v>Decisión correcta</v>
      </c>
    </row>
    <row r="2607" customFormat="false" ht="15" hidden="false" customHeight="false" outlineLevel="0" collapsed="false">
      <c r="A2607" s="0" t="n">
        <v>2586</v>
      </c>
      <c r="B2607" s="0" t="s">
        <v>85</v>
      </c>
      <c r="C2607" s="17" t="n">
        <v>-0.25042377222647</v>
      </c>
      <c r="D2607" s="17" t="n">
        <f aca="false">(C2607-$B$4)/($B$6/SQRT($B$7))</f>
        <v>-1.25211886113235</v>
      </c>
      <c r="E2607" s="0" t="str">
        <f aca="false">IF(OR(AND($B$9="superior",D2607&gt;$B$10),AND($B$9="inferior",D2607&lt;-$B$10)),"Rechazar H0","No rechazar H0")</f>
        <v>No rechazar H0</v>
      </c>
      <c r="F2607" s="0" t="str">
        <f aca="false">IF(AND(B2607="H0 verdadera",E2607="Rechazar H0"),"Error tipo I",IF(AND(B2607="Ha verdadera",E2607="No rechazar H0"),"Error tipo II","Decisión correcta"))</f>
        <v>Decisión correcta</v>
      </c>
    </row>
    <row r="2608" customFormat="false" ht="15" hidden="false" customHeight="false" outlineLevel="0" collapsed="false">
      <c r="A2608" s="0" t="n">
        <v>2587</v>
      </c>
      <c r="B2608" s="0" t="s">
        <v>85</v>
      </c>
      <c r="C2608" s="17" t="n">
        <v>-0.048000498092713</v>
      </c>
      <c r="D2608" s="17" t="n">
        <f aca="false">(C2608-$B$4)/($B$6/SQRT($B$7))</f>
        <v>-0.240002490463565</v>
      </c>
      <c r="E2608" s="0" t="str">
        <f aca="false">IF(OR(AND($B$9="superior",D2608&gt;$B$10),AND($B$9="inferior",D2608&lt;-$B$10)),"Rechazar H0","No rechazar H0")</f>
        <v>No rechazar H0</v>
      </c>
      <c r="F2608" s="0" t="str">
        <f aca="false">IF(AND(B2608="H0 verdadera",E2608="Rechazar H0"),"Error tipo I",IF(AND(B2608="Ha verdadera",E2608="No rechazar H0"),"Error tipo II","Decisión correcta"))</f>
        <v>Decisión correcta</v>
      </c>
    </row>
    <row r="2609" customFormat="false" ht="15" hidden="false" customHeight="false" outlineLevel="0" collapsed="false">
      <c r="A2609" s="0" t="n">
        <v>2588</v>
      </c>
      <c r="B2609" s="0" t="s">
        <v>86</v>
      </c>
      <c r="C2609" s="17" t="n">
        <v>-0.351099881348423</v>
      </c>
      <c r="D2609" s="17" t="n">
        <f aca="false">(C2609-$B$4)/($B$6/SQRT($B$7))</f>
        <v>-1.75549940674212</v>
      </c>
      <c r="E2609" s="0" t="str">
        <f aca="false">IF(OR(AND($B$9="superior",D2609&gt;$B$10),AND($B$9="inferior",D2609&lt;-$B$10)),"Rechazar H0","No rechazar H0")</f>
        <v>Rechazar H0</v>
      </c>
      <c r="F2609" s="0" t="str">
        <f aca="false">IF(AND(B2609="H0 verdadera",E2609="Rechazar H0"),"Error tipo I",IF(AND(B2609="Ha verdadera",E2609="No rechazar H0"),"Error tipo II","Decisión correcta"))</f>
        <v>Decisión correcta</v>
      </c>
    </row>
    <row r="2610" customFormat="false" ht="15" hidden="false" customHeight="false" outlineLevel="0" collapsed="false">
      <c r="A2610" s="0" t="n">
        <v>2589</v>
      </c>
      <c r="B2610" s="0" t="s">
        <v>85</v>
      </c>
      <c r="C2610" s="17" t="n">
        <v>-0.390791744013323</v>
      </c>
      <c r="D2610" s="17" t="n">
        <f aca="false">(C2610-$B$4)/($B$6/SQRT($B$7))</f>
        <v>-1.95395872006661</v>
      </c>
      <c r="E2610" s="0" t="str">
        <f aca="false">IF(OR(AND($B$9="superior",D2610&gt;$B$10),AND($B$9="inferior",D2610&lt;-$B$10)),"Rechazar H0","No rechazar H0")</f>
        <v>Rechazar H0</v>
      </c>
      <c r="F2610" s="0" t="str">
        <f aca="false">IF(AND(B2610="H0 verdadera",E2610="Rechazar H0"),"Error tipo I",IF(AND(B2610="Ha verdadera",E2610="No rechazar H0"),"Error tipo II","Decisión correcta"))</f>
        <v>Error tipo I</v>
      </c>
    </row>
    <row r="2611" customFormat="false" ht="15" hidden="false" customHeight="false" outlineLevel="0" collapsed="false">
      <c r="A2611" s="0" t="n">
        <v>2590</v>
      </c>
      <c r="B2611" s="0" t="s">
        <v>85</v>
      </c>
      <c r="C2611" s="17" t="n">
        <v>0.0180264497675305</v>
      </c>
      <c r="D2611" s="17" t="n">
        <f aca="false">(C2611-$B$4)/($B$6/SQRT($B$7))</f>
        <v>0.0901322488376522</v>
      </c>
      <c r="E2611" s="0" t="str">
        <f aca="false">IF(OR(AND($B$9="superior",D2611&gt;$B$10),AND($B$9="inferior",D2611&lt;-$B$10)),"Rechazar H0","No rechazar H0")</f>
        <v>No rechazar H0</v>
      </c>
      <c r="F2611" s="0" t="str">
        <f aca="false">IF(AND(B2611="H0 verdadera",E2611="Rechazar H0"),"Error tipo I",IF(AND(B2611="Ha verdadera",E2611="No rechazar H0"),"Error tipo II","Decisión correcta"))</f>
        <v>Decisión correcta</v>
      </c>
    </row>
    <row r="2612" customFormat="false" ht="15" hidden="false" customHeight="false" outlineLevel="0" collapsed="false">
      <c r="A2612" s="0" t="n">
        <v>2591</v>
      </c>
      <c r="B2612" s="0" t="s">
        <v>85</v>
      </c>
      <c r="C2612" s="17" t="n">
        <v>0.112831538036132</v>
      </c>
      <c r="D2612" s="17" t="n">
        <f aca="false">(C2612-$B$4)/($B$6/SQRT($B$7))</f>
        <v>0.56415769018066</v>
      </c>
      <c r="E2612" s="0" t="str">
        <f aca="false">IF(OR(AND($B$9="superior",D2612&gt;$B$10),AND($B$9="inferior",D2612&lt;-$B$10)),"Rechazar H0","No rechazar H0")</f>
        <v>No rechazar H0</v>
      </c>
      <c r="F2612" s="0" t="str">
        <f aca="false">IF(AND(B2612="H0 verdadera",E2612="Rechazar H0"),"Error tipo I",IF(AND(B2612="Ha verdadera",E2612="No rechazar H0"),"Error tipo II","Decisión correcta"))</f>
        <v>Decisión correcta</v>
      </c>
    </row>
    <row r="2613" customFormat="false" ht="15" hidden="false" customHeight="false" outlineLevel="0" collapsed="false">
      <c r="A2613" s="0" t="n">
        <v>2592</v>
      </c>
      <c r="B2613" s="0" t="s">
        <v>85</v>
      </c>
      <c r="C2613" s="17" t="n">
        <v>0.0602541906378383</v>
      </c>
      <c r="D2613" s="17" t="n">
        <f aca="false">(C2613-$B$4)/($B$6/SQRT($B$7))</f>
        <v>0.301270953189191</v>
      </c>
      <c r="E2613" s="0" t="str">
        <f aca="false">IF(OR(AND($B$9="superior",D2613&gt;$B$10),AND($B$9="inferior",D2613&lt;-$B$10)),"Rechazar H0","No rechazar H0")</f>
        <v>No rechazar H0</v>
      </c>
      <c r="F2613" s="0" t="str">
        <f aca="false">IF(AND(B2613="H0 verdadera",E2613="Rechazar H0"),"Error tipo I",IF(AND(B2613="Ha verdadera",E2613="No rechazar H0"),"Error tipo II","Decisión correcta"))</f>
        <v>Decisión correcta</v>
      </c>
    </row>
    <row r="2614" customFormat="false" ht="15" hidden="false" customHeight="false" outlineLevel="0" collapsed="false">
      <c r="A2614" s="0" t="n">
        <v>2593</v>
      </c>
      <c r="B2614" s="0" t="s">
        <v>86</v>
      </c>
      <c r="C2614" s="17" t="n">
        <v>-0.619494343445691</v>
      </c>
      <c r="D2614" s="17" t="n">
        <f aca="false">(C2614-$B$4)/($B$6/SQRT($B$7))</f>
        <v>-3.09747171722846</v>
      </c>
      <c r="E2614" s="0" t="str">
        <f aca="false">IF(OR(AND($B$9="superior",D2614&gt;$B$10),AND($B$9="inferior",D2614&lt;-$B$10)),"Rechazar H0","No rechazar H0")</f>
        <v>Rechazar H0</v>
      </c>
      <c r="F2614" s="0" t="str">
        <f aca="false">IF(AND(B2614="H0 verdadera",E2614="Rechazar H0"),"Error tipo I",IF(AND(B2614="Ha verdadera",E2614="No rechazar H0"),"Error tipo II","Decisión correcta"))</f>
        <v>Decisión correcta</v>
      </c>
    </row>
    <row r="2615" customFormat="false" ht="15" hidden="false" customHeight="false" outlineLevel="0" collapsed="false">
      <c r="A2615" s="0" t="n">
        <v>2594</v>
      </c>
      <c r="B2615" s="0" t="s">
        <v>85</v>
      </c>
      <c r="C2615" s="17" t="n">
        <v>-0.25378216596534</v>
      </c>
      <c r="D2615" s="17" t="n">
        <f aca="false">(C2615-$B$4)/($B$6/SQRT($B$7))</f>
        <v>-1.2689108298267</v>
      </c>
      <c r="E2615" s="0" t="str">
        <f aca="false">IF(OR(AND($B$9="superior",D2615&gt;$B$10),AND($B$9="inferior",D2615&lt;-$B$10)),"Rechazar H0","No rechazar H0")</f>
        <v>No rechazar H0</v>
      </c>
      <c r="F2615" s="0" t="str">
        <f aca="false">IF(AND(B2615="H0 verdadera",E2615="Rechazar H0"),"Error tipo I",IF(AND(B2615="Ha verdadera",E2615="No rechazar H0"),"Error tipo II","Decisión correcta"))</f>
        <v>Decisión correcta</v>
      </c>
    </row>
    <row r="2616" customFormat="false" ht="15" hidden="false" customHeight="false" outlineLevel="0" collapsed="false">
      <c r="A2616" s="0" t="n">
        <v>2595</v>
      </c>
      <c r="B2616" s="0" t="s">
        <v>86</v>
      </c>
      <c r="C2616" s="17" t="n">
        <v>-0.506758548318629</v>
      </c>
      <c r="D2616" s="17" t="n">
        <f aca="false">(C2616-$B$4)/($B$6/SQRT($B$7))</f>
        <v>-2.53379274159314</v>
      </c>
      <c r="E2616" s="0" t="str">
        <f aca="false">IF(OR(AND($B$9="superior",D2616&gt;$B$10),AND($B$9="inferior",D2616&lt;-$B$10)),"Rechazar H0","No rechazar H0")</f>
        <v>Rechazar H0</v>
      </c>
      <c r="F2616" s="0" t="str">
        <f aca="false">IF(AND(B2616="H0 verdadera",E2616="Rechazar H0"),"Error tipo I",IF(AND(B2616="Ha verdadera",E2616="No rechazar H0"),"Error tipo II","Decisión correcta"))</f>
        <v>Decisión correcta</v>
      </c>
    </row>
    <row r="2617" customFormat="false" ht="15" hidden="false" customHeight="false" outlineLevel="0" collapsed="false">
      <c r="A2617" s="0" t="n">
        <v>2596</v>
      </c>
      <c r="B2617" s="0" t="s">
        <v>86</v>
      </c>
      <c r="C2617" s="17" t="n">
        <v>-0.479021668998016</v>
      </c>
      <c r="D2617" s="17" t="n">
        <f aca="false">(C2617-$B$4)/($B$6/SQRT($B$7))</f>
        <v>-2.39510834499008</v>
      </c>
      <c r="E2617" s="0" t="str">
        <f aca="false">IF(OR(AND($B$9="superior",D2617&gt;$B$10),AND($B$9="inferior",D2617&lt;-$B$10)),"Rechazar H0","No rechazar H0")</f>
        <v>Rechazar H0</v>
      </c>
      <c r="F2617" s="0" t="str">
        <f aca="false">IF(AND(B2617="H0 verdadera",E2617="Rechazar H0"),"Error tipo I",IF(AND(B2617="Ha verdadera",E2617="No rechazar H0"),"Error tipo II","Decisión correcta"))</f>
        <v>Decisión correcta</v>
      </c>
    </row>
    <row r="2618" customFormat="false" ht="15" hidden="false" customHeight="false" outlineLevel="0" collapsed="false">
      <c r="A2618" s="0" t="n">
        <v>2597</v>
      </c>
      <c r="B2618" s="0" t="s">
        <v>85</v>
      </c>
      <c r="C2618" s="17" t="n">
        <v>0.240345568046892</v>
      </c>
      <c r="D2618" s="17" t="n">
        <f aca="false">(C2618-$B$4)/($B$6/SQRT($B$7))</f>
        <v>1.20172784023446</v>
      </c>
      <c r="E2618" s="0" t="str">
        <f aca="false">IF(OR(AND($B$9="superior",D2618&gt;$B$10),AND($B$9="inferior",D2618&lt;-$B$10)),"Rechazar H0","No rechazar H0")</f>
        <v>No rechazar H0</v>
      </c>
      <c r="F2618" s="0" t="str">
        <f aca="false">IF(AND(B2618="H0 verdadera",E2618="Rechazar H0"),"Error tipo I",IF(AND(B2618="Ha verdadera",E2618="No rechazar H0"),"Error tipo II","Decisión correcta"))</f>
        <v>Decisión correcta</v>
      </c>
    </row>
    <row r="2619" customFormat="false" ht="15" hidden="false" customHeight="false" outlineLevel="0" collapsed="false">
      <c r="A2619" s="0" t="n">
        <v>2598</v>
      </c>
      <c r="B2619" s="0" t="s">
        <v>86</v>
      </c>
      <c r="C2619" s="17" t="n">
        <v>-0.305720069965376</v>
      </c>
      <c r="D2619" s="17" t="n">
        <f aca="false">(C2619-$B$4)/($B$6/SQRT($B$7))</f>
        <v>-1.52860034982688</v>
      </c>
      <c r="E2619" s="0" t="str">
        <f aca="false">IF(OR(AND($B$9="superior",D2619&gt;$B$10),AND($B$9="inferior",D2619&lt;-$B$10)),"Rechazar H0","No rechazar H0")</f>
        <v>No rechazar H0</v>
      </c>
      <c r="F2619" s="0" t="str">
        <f aca="false">IF(AND(B2619="H0 verdadera",E2619="Rechazar H0"),"Error tipo I",IF(AND(B2619="Ha verdadera",E2619="No rechazar H0"),"Error tipo II","Decisión correcta"))</f>
        <v>Error tipo II</v>
      </c>
    </row>
    <row r="2620" customFormat="false" ht="15" hidden="false" customHeight="false" outlineLevel="0" collapsed="false">
      <c r="A2620" s="0" t="n">
        <v>2599</v>
      </c>
      <c r="B2620" s="0" t="s">
        <v>85</v>
      </c>
      <c r="C2620" s="17" t="n">
        <v>-0.172535357445063</v>
      </c>
      <c r="D2620" s="17" t="n">
        <f aca="false">(C2620-$B$4)/($B$6/SQRT($B$7))</f>
        <v>-0.862676787225316</v>
      </c>
      <c r="E2620" s="0" t="str">
        <f aca="false">IF(OR(AND($B$9="superior",D2620&gt;$B$10),AND($B$9="inferior",D2620&lt;-$B$10)),"Rechazar H0","No rechazar H0")</f>
        <v>No rechazar H0</v>
      </c>
      <c r="F2620" s="0" t="str">
        <f aca="false">IF(AND(B2620="H0 verdadera",E2620="Rechazar H0"),"Error tipo I",IF(AND(B2620="Ha verdadera",E2620="No rechazar H0"),"Error tipo II","Decisión correcta"))</f>
        <v>Decisión correcta</v>
      </c>
    </row>
    <row r="2621" customFormat="false" ht="15" hidden="false" customHeight="false" outlineLevel="0" collapsed="false">
      <c r="A2621" s="0" t="n">
        <v>2600</v>
      </c>
      <c r="B2621" s="0" t="s">
        <v>85</v>
      </c>
      <c r="C2621" s="17" t="n">
        <v>0.427679762236389</v>
      </c>
      <c r="D2621" s="17" t="n">
        <f aca="false">(C2621-$B$4)/($B$6/SQRT($B$7))</f>
        <v>2.13839881118195</v>
      </c>
      <c r="E2621" s="0" t="str">
        <f aca="false">IF(OR(AND($B$9="superior",D2621&gt;$B$10),AND($B$9="inferior",D2621&lt;-$B$10)),"Rechazar H0","No rechazar H0")</f>
        <v>No rechazar H0</v>
      </c>
      <c r="F2621" s="0" t="str">
        <f aca="false">IF(AND(B2621="H0 verdadera",E2621="Rechazar H0"),"Error tipo I",IF(AND(B2621="Ha verdadera",E2621="No rechazar H0"),"Error tipo II","Decisión correcta"))</f>
        <v>Decisión correcta</v>
      </c>
    </row>
    <row r="2622" customFormat="false" ht="15" hidden="false" customHeight="false" outlineLevel="0" collapsed="false">
      <c r="A2622" s="0" t="n">
        <v>2601</v>
      </c>
      <c r="B2622" s="0" t="s">
        <v>85</v>
      </c>
      <c r="C2622" s="17" t="n">
        <v>-0.0909064119844363</v>
      </c>
      <c r="D2622" s="17" t="n">
        <f aca="false">(C2622-$B$4)/($B$6/SQRT($B$7))</f>
        <v>-0.454532059922182</v>
      </c>
      <c r="E2622" s="0" t="str">
        <f aca="false">IF(OR(AND($B$9="superior",D2622&gt;$B$10),AND($B$9="inferior",D2622&lt;-$B$10)),"Rechazar H0","No rechazar H0")</f>
        <v>No rechazar H0</v>
      </c>
      <c r="F2622" s="0" t="str">
        <f aca="false">IF(AND(B2622="H0 verdadera",E2622="Rechazar H0"),"Error tipo I",IF(AND(B2622="Ha verdadera",E2622="No rechazar H0"),"Error tipo II","Decisión correcta"))</f>
        <v>Decisión correcta</v>
      </c>
    </row>
    <row r="2623" customFormat="false" ht="15" hidden="false" customHeight="false" outlineLevel="0" collapsed="false">
      <c r="A2623" s="0" t="n">
        <v>2602</v>
      </c>
      <c r="B2623" s="0" t="s">
        <v>86</v>
      </c>
      <c r="C2623" s="17" t="n">
        <v>-0.448411343799532</v>
      </c>
      <c r="D2623" s="17" t="n">
        <f aca="false">(C2623-$B$4)/($B$6/SQRT($B$7))</f>
        <v>-2.24205671899766</v>
      </c>
      <c r="E2623" s="0" t="str">
        <f aca="false">IF(OR(AND($B$9="superior",D2623&gt;$B$10),AND($B$9="inferior",D2623&lt;-$B$10)),"Rechazar H0","No rechazar H0")</f>
        <v>Rechazar H0</v>
      </c>
      <c r="F2623" s="0" t="str">
        <f aca="false">IF(AND(B2623="H0 verdadera",E2623="Rechazar H0"),"Error tipo I",IF(AND(B2623="Ha verdadera",E2623="No rechazar H0"),"Error tipo II","Decisión correcta"))</f>
        <v>Decisión correcta</v>
      </c>
    </row>
    <row r="2624" customFormat="false" ht="15" hidden="false" customHeight="false" outlineLevel="0" collapsed="false">
      <c r="A2624" s="0" t="n">
        <v>2603</v>
      </c>
      <c r="B2624" s="0" t="s">
        <v>85</v>
      </c>
      <c r="C2624" s="17" t="n">
        <v>0.00630544865908655</v>
      </c>
      <c r="D2624" s="17" t="n">
        <f aca="false">(C2624-$B$4)/($B$6/SQRT($B$7))</f>
        <v>0.0315272432954328</v>
      </c>
      <c r="E2624" s="0" t="str">
        <f aca="false">IF(OR(AND($B$9="superior",D2624&gt;$B$10),AND($B$9="inferior",D2624&lt;-$B$10)),"Rechazar H0","No rechazar H0")</f>
        <v>No rechazar H0</v>
      </c>
      <c r="F2624" s="0" t="str">
        <f aca="false">IF(AND(B2624="H0 verdadera",E2624="Rechazar H0"),"Error tipo I",IF(AND(B2624="Ha verdadera",E2624="No rechazar H0"),"Error tipo II","Decisión correcta"))</f>
        <v>Decisión correcta</v>
      </c>
    </row>
    <row r="2625" customFormat="false" ht="15" hidden="false" customHeight="false" outlineLevel="0" collapsed="false">
      <c r="A2625" s="0" t="n">
        <v>2604</v>
      </c>
      <c r="B2625" s="0" t="s">
        <v>86</v>
      </c>
      <c r="C2625" s="17" t="n">
        <v>-0.379156219964227</v>
      </c>
      <c r="D2625" s="17" t="n">
        <f aca="false">(C2625-$B$4)/($B$6/SQRT($B$7))</f>
        <v>-1.89578109982113</v>
      </c>
      <c r="E2625" s="0" t="str">
        <f aca="false">IF(OR(AND($B$9="superior",D2625&gt;$B$10),AND($B$9="inferior",D2625&lt;-$B$10)),"Rechazar H0","No rechazar H0")</f>
        <v>Rechazar H0</v>
      </c>
      <c r="F2625" s="0" t="str">
        <f aca="false">IF(AND(B2625="H0 verdadera",E2625="Rechazar H0"),"Error tipo I",IF(AND(B2625="Ha verdadera",E2625="No rechazar H0"),"Error tipo II","Decisión correcta"))</f>
        <v>Decisión correcta</v>
      </c>
    </row>
    <row r="2626" customFormat="false" ht="15" hidden="false" customHeight="false" outlineLevel="0" collapsed="false">
      <c r="A2626" s="0" t="n">
        <v>2605</v>
      </c>
      <c r="B2626" s="0" t="s">
        <v>86</v>
      </c>
      <c r="C2626" s="17" t="n">
        <v>-0.359061169621007</v>
      </c>
      <c r="D2626" s="17" t="n">
        <f aca="false">(C2626-$B$4)/($B$6/SQRT($B$7))</f>
        <v>-1.79530584810504</v>
      </c>
      <c r="E2626" s="0" t="str">
        <f aca="false">IF(OR(AND($B$9="superior",D2626&gt;$B$10),AND($B$9="inferior",D2626&lt;-$B$10)),"Rechazar H0","No rechazar H0")</f>
        <v>Rechazar H0</v>
      </c>
      <c r="F2626" s="0" t="str">
        <f aca="false">IF(AND(B2626="H0 verdadera",E2626="Rechazar H0"),"Error tipo I",IF(AND(B2626="Ha verdadera",E2626="No rechazar H0"),"Error tipo II","Decisión correcta"))</f>
        <v>Decisión correcta</v>
      </c>
    </row>
    <row r="2627" customFormat="false" ht="15" hidden="false" customHeight="false" outlineLevel="0" collapsed="false">
      <c r="A2627" s="0" t="n">
        <v>2606</v>
      </c>
      <c r="B2627" s="0" t="s">
        <v>86</v>
      </c>
      <c r="C2627" s="17" t="n">
        <v>-0.490223762587066</v>
      </c>
      <c r="D2627" s="17" t="n">
        <f aca="false">(C2627-$B$4)/($B$6/SQRT($B$7))</f>
        <v>-2.45111881293533</v>
      </c>
      <c r="E2627" s="0" t="str">
        <f aca="false">IF(OR(AND($B$9="superior",D2627&gt;$B$10),AND($B$9="inferior",D2627&lt;-$B$10)),"Rechazar H0","No rechazar H0")</f>
        <v>Rechazar H0</v>
      </c>
      <c r="F2627" s="0" t="str">
        <f aca="false">IF(AND(B2627="H0 verdadera",E2627="Rechazar H0"),"Error tipo I",IF(AND(B2627="Ha verdadera",E2627="No rechazar H0"),"Error tipo II","Decisión correcta"))</f>
        <v>Decisión correcta</v>
      </c>
    </row>
    <row r="2628" customFormat="false" ht="15" hidden="false" customHeight="false" outlineLevel="0" collapsed="false">
      <c r="A2628" s="0" t="n">
        <v>2607</v>
      </c>
      <c r="B2628" s="0" t="s">
        <v>85</v>
      </c>
      <c r="C2628" s="17" t="n">
        <v>-0.531184944817388</v>
      </c>
      <c r="D2628" s="17" t="n">
        <f aca="false">(C2628-$B$4)/($B$6/SQRT($B$7))</f>
        <v>-2.65592472408694</v>
      </c>
      <c r="E2628" s="0" t="str">
        <f aca="false">IF(OR(AND($B$9="superior",D2628&gt;$B$10),AND($B$9="inferior",D2628&lt;-$B$10)),"Rechazar H0","No rechazar H0")</f>
        <v>Rechazar H0</v>
      </c>
      <c r="F2628" s="0" t="str">
        <f aca="false">IF(AND(B2628="H0 verdadera",E2628="Rechazar H0"),"Error tipo I",IF(AND(B2628="Ha verdadera",E2628="No rechazar H0"),"Error tipo II","Decisión correcta"))</f>
        <v>Error tipo I</v>
      </c>
    </row>
    <row r="2629" customFormat="false" ht="15" hidden="false" customHeight="false" outlineLevel="0" collapsed="false">
      <c r="A2629" s="0" t="n">
        <v>2608</v>
      </c>
      <c r="B2629" s="0" t="s">
        <v>86</v>
      </c>
      <c r="C2629" s="17" t="n">
        <v>-0.00218719781784155</v>
      </c>
      <c r="D2629" s="17" t="n">
        <f aca="false">(C2629-$B$4)/($B$6/SQRT($B$7))</f>
        <v>-0.0109359890892077</v>
      </c>
      <c r="E2629" s="0" t="str">
        <f aca="false">IF(OR(AND($B$9="superior",D2629&gt;$B$10),AND($B$9="inferior",D2629&lt;-$B$10)),"Rechazar H0","No rechazar H0")</f>
        <v>No rechazar H0</v>
      </c>
      <c r="F2629" s="0" t="str">
        <f aca="false">IF(AND(B2629="H0 verdadera",E2629="Rechazar H0"),"Error tipo I",IF(AND(B2629="Ha verdadera",E2629="No rechazar H0"),"Error tipo II","Decisión correcta"))</f>
        <v>Error tipo II</v>
      </c>
    </row>
    <row r="2630" customFormat="false" ht="15" hidden="false" customHeight="false" outlineLevel="0" collapsed="false">
      <c r="A2630" s="0" t="n">
        <v>2609</v>
      </c>
      <c r="B2630" s="0" t="s">
        <v>85</v>
      </c>
      <c r="C2630" s="17" t="n">
        <v>0.144495253470894</v>
      </c>
      <c r="D2630" s="17" t="n">
        <f aca="false">(C2630-$B$4)/($B$6/SQRT($B$7))</f>
        <v>0.722476267354471</v>
      </c>
      <c r="E2630" s="0" t="str">
        <f aca="false">IF(OR(AND($B$9="superior",D2630&gt;$B$10),AND($B$9="inferior",D2630&lt;-$B$10)),"Rechazar H0","No rechazar H0")</f>
        <v>No rechazar H0</v>
      </c>
      <c r="F2630" s="0" t="str">
        <f aca="false">IF(AND(B2630="H0 verdadera",E2630="Rechazar H0"),"Error tipo I",IF(AND(B2630="Ha verdadera",E2630="No rechazar H0"),"Error tipo II","Decisión correcta"))</f>
        <v>Decisión correcta</v>
      </c>
    </row>
    <row r="2631" customFormat="false" ht="15" hidden="false" customHeight="false" outlineLevel="0" collapsed="false">
      <c r="A2631" s="0" t="n">
        <v>2610</v>
      </c>
      <c r="B2631" s="0" t="s">
        <v>85</v>
      </c>
      <c r="C2631" s="17" t="n">
        <v>-0.10837742066574</v>
      </c>
      <c r="D2631" s="17" t="n">
        <f aca="false">(C2631-$B$4)/($B$6/SQRT($B$7))</f>
        <v>-0.541887103328702</v>
      </c>
      <c r="E2631" s="0" t="str">
        <f aca="false">IF(OR(AND($B$9="superior",D2631&gt;$B$10),AND($B$9="inferior",D2631&lt;-$B$10)),"Rechazar H0","No rechazar H0")</f>
        <v>No rechazar H0</v>
      </c>
      <c r="F2631" s="0" t="str">
        <f aca="false">IF(AND(B2631="H0 verdadera",E2631="Rechazar H0"),"Error tipo I",IF(AND(B2631="Ha verdadera",E2631="No rechazar H0"),"Error tipo II","Decisión correcta"))</f>
        <v>Decisión correcta</v>
      </c>
    </row>
    <row r="2632" customFormat="false" ht="15" hidden="false" customHeight="false" outlineLevel="0" collapsed="false">
      <c r="A2632" s="0" t="n">
        <v>2611</v>
      </c>
      <c r="B2632" s="0" t="s">
        <v>85</v>
      </c>
      <c r="C2632" s="17" t="n">
        <v>0.206021545419174</v>
      </c>
      <c r="D2632" s="17" t="n">
        <f aca="false">(C2632-$B$4)/($B$6/SQRT($B$7))</f>
        <v>1.03010772709587</v>
      </c>
      <c r="E2632" s="0" t="str">
        <f aca="false">IF(OR(AND($B$9="superior",D2632&gt;$B$10),AND($B$9="inferior",D2632&lt;-$B$10)),"Rechazar H0","No rechazar H0")</f>
        <v>No rechazar H0</v>
      </c>
      <c r="F2632" s="0" t="str">
        <f aca="false">IF(AND(B2632="H0 verdadera",E2632="Rechazar H0"),"Error tipo I",IF(AND(B2632="Ha verdadera",E2632="No rechazar H0"),"Error tipo II","Decisión correcta"))</f>
        <v>Decisión correcta</v>
      </c>
    </row>
    <row r="2633" customFormat="false" ht="15" hidden="false" customHeight="false" outlineLevel="0" collapsed="false">
      <c r="A2633" s="0" t="n">
        <v>2612</v>
      </c>
      <c r="B2633" s="0" t="s">
        <v>85</v>
      </c>
      <c r="C2633" s="17" t="n">
        <v>0.0634134821441461</v>
      </c>
      <c r="D2633" s="17" t="n">
        <f aca="false">(C2633-$B$4)/($B$6/SQRT($B$7))</f>
        <v>0.31706741072073</v>
      </c>
      <c r="E2633" s="0" t="str">
        <f aca="false">IF(OR(AND($B$9="superior",D2633&gt;$B$10),AND($B$9="inferior",D2633&lt;-$B$10)),"Rechazar H0","No rechazar H0")</f>
        <v>No rechazar H0</v>
      </c>
      <c r="F2633" s="0" t="str">
        <f aca="false">IF(AND(B2633="H0 verdadera",E2633="Rechazar H0"),"Error tipo I",IF(AND(B2633="Ha verdadera",E2633="No rechazar H0"),"Error tipo II","Decisión correcta"))</f>
        <v>Decisión correcta</v>
      </c>
    </row>
    <row r="2634" customFormat="false" ht="15" hidden="false" customHeight="false" outlineLevel="0" collapsed="false">
      <c r="A2634" s="0" t="n">
        <v>2613</v>
      </c>
      <c r="B2634" s="0" t="s">
        <v>86</v>
      </c>
      <c r="C2634" s="17" t="n">
        <v>-0.54822830213465</v>
      </c>
      <c r="D2634" s="17" t="n">
        <f aca="false">(C2634-$B$4)/($B$6/SQRT($B$7))</f>
        <v>-2.74114151067325</v>
      </c>
      <c r="E2634" s="0" t="str">
        <f aca="false">IF(OR(AND($B$9="superior",D2634&gt;$B$10),AND($B$9="inferior",D2634&lt;-$B$10)),"Rechazar H0","No rechazar H0")</f>
        <v>Rechazar H0</v>
      </c>
      <c r="F2634" s="0" t="str">
        <f aca="false">IF(AND(B2634="H0 verdadera",E2634="Rechazar H0"),"Error tipo I",IF(AND(B2634="Ha verdadera",E2634="No rechazar H0"),"Error tipo II","Decisión correcta"))</f>
        <v>Decisión correcta</v>
      </c>
    </row>
    <row r="2635" customFormat="false" ht="15" hidden="false" customHeight="false" outlineLevel="0" collapsed="false">
      <c r="A2635" s="0" t="n">
        <v>2614</v>
      </c>
      <c r="B2635" s="0" t="s">
        <v>85</v>
      </c>
      <c r="C2635" s="17" t="n">
        <v>-0.667824562905078</v>
      </c>
      <c r="D2635" s="17" t="n">
        <f aca="false">(C2635-$B$4)/($B$6/SQRT($B$7))</f>
        <v>-3.33912281452539</v>
      </c>
      <c r="E2635" s="0" t="str">
        <f aca="false">IF(OR(AND($B$9="superior",D2635&gt;$B$10),AND($B$9="inferior",D2635&lt;-$B$10)),"Rechazar H0","No rechazar H0")</f>
        <v>Rechazar H0</v>
      </c>
      <c r="F2635" s="0" t="str">
        <f aca="false">IF(AND(B2635="H0 verdadera",E2635="Rechazar H0"),"Error tipo I",IF(AND(B2635="Ha verdadera",E2635="No rechazar H0"),"Error tipo II","Decisión correcta"))</f>
        <v>Error tipo I</v>
      </c>
    </row>
    <row r="2636" customFormat="false" ht="15" hidden="false" customHeight="false" outlineLevel="0" collapsed="false">
      <c r="A2636" s="0" t="n">
        <v>2615</v>
      </c>
      <c r="B2636" s="0" t="s">
        <v>85</v>
      </c>
      <c r="C2636" s="17" t="n">
        <v>0.285614191306527</v>
      </c>
      <c r="D2636" s="17" t="n">
        <f aca="false">(C2636-$B$4)/($B$6/SQRT($B$7))</f>
        <v>1.42807095653264</v>
      </c>
      <c r="E2636" s="0" t="str">
        <f aca="false">IF(OR(AND($B$9="superior",D2636&gt;$B$10),AND($B$9="inferior",D2636&lt;-$B$10)),"Rechazar H0","No rechazar H0")</f>
        <v>No rechazar H0</v>
      </c>
      <c r="F2636" s="0" t="str">
        <f aca="false">IF(AND(B2636="H0 verdadera",E2636="Rechazar H0"),"Error tipo I",IF(AND(B2636="Ha verdadera",E2636="No rechazar H0"),"Error tipo II","Decisión correcta"))</f>
        <v>Decisión correcta</v>
      </c>
    </row>
    <row r="2637" customFormat="false" ht="15" hidden="false" customHeight="false" outlineLevel="0" collapsed="false">
      <c r="A2637" s="0" t="n">
        <v>2616</v>
      </c>
      <c r="B2637" s="0" t="s">
        <v>85</v>
      </c>
      <c r="C2637" s="17" t="n">
        <v>0.247622802400426</v>
      </c>
      <c r="D2637" s="17" t="n">
        <f aca="false">(C2637-$B$4)/($B$6/SQRT($B$7))</f>
        <v>1.23811401200213</v>
      </c>
      <c r="E2637" s="0" t="str">
        <f aca="false">IF(OR(AND($B$9="superior",D2637&gt;$B$10),AND($B$9="inferior",D2637&lt;-$B$10)),"Rechazar H0","No rechazar H0")</f>
        <v>No rechazar H0</v>
      </c>
      <c r="F2637" s="0" t="str">
        <f aca="false">IF(AND(B2637="H0 verdadera",E2637="Rechazar H0"),"Error tipo I",IF(AND(B2637="Ha verdadera",E2637="No rechazar H0"),"Error tipo II","Decisión correcta"))</f>
        <v>Decisión correcta</v>
      </c>
    </row>
    <row r="2638" customFormat="false" ht="15" hidden="false" customHeight="false" outlineLevel="0" collapsed="false">
      <c r="A2638" s="0" t="n">
        <v>2617</v>
      </c>
      <c r="B2638" s="0" t="s">
        <v>85</v>
      </c>
      <c r="C2638" s="17" t="n">
        <v>-0.30403965824699</v>
      </c>
      <c r="D2638" s="17" t="n">
        <f aca="false">(C2638-$B$4)/($B$6/SQRT($B$7))</f>
        <v>-1.52019829123495</v>
      </c>
      <c r="E2638" s="0" t="str">
        <f aca="false">IF(OR(AND($B$9="superior",D2638&gt;$B$10),AND($B$9="inferior",D2638&lt;-$B$10)),"Rechazar H0","No rechazar H0")</f>
        <v>No rechazar H0</v>
      </c>
      <c r="F2638" s="0" t="str">
        <f aca="false">IF(AND(B2638="H0 verdadera",E2638="Rechazar H0"),"Error tipo I",IF(AND(B2638="Ha verdadera",E2638="No rechazar H0"),"Error tipo II","Decisión correcta"))</f>
        <v>Decisión correcta</v>
      </c>
    </row>
    <row r="2639" customFormat="false" ht="15" hidden="false" customHeight="false" outlineLevel="0" collapsed="false">
      <c r="A2639" s="0" t="n">
        <v>2618</v>
      </c>
      <c r="B2639" s="0" t="s">
        <v>86</v>
      </c>
      <c r="C2639" s="17" t="n">
        <v>-0.519274054591369</v>
      </c>
      <c r="D2639" s="17" t="n">
        <f aca="false">(C2639-$B$4)/($B$6/SQRT($B$7))</f>
        <v>-2.59637027295684</v>
      </c>
      <c r="E2639" s="0" t="str">
        <f aca="false">IF(OR(AND($B$9="superior",D2639&gt;$B$10),AND($B$9="inferior",D2639&lt;-$B$10)),"Rechazar H0","No rechazar H0")</f>
        <v>Rechazar H0</v>
      </c>
      <c r="F2639" s="0" t="str">
        <f aca="false">IF(AND(B2639="H0 verdadera",E2639="Rechazar H0"),"Error tipo I",IF(AND(B2639="Ha verdadera",E2639="No rechazar H0"),"Error tipo II","Decisión correcta"))</f>
        <v>Decisión correcta</v>
      </c>
    </row>
    <row r="2640" customFormat="false" ht="15" hidden="false" customHeight="false" outlineLevel="0" collapsed="false">
      <c r="A2640" s="0" t="n">
        <v>2619</v>
      </c>
      <c r="B2640" s="0" t="s">
        <v>85</v>
      </c>
      <c r="C2640" s="17" t="n">
        <v>0.262128546282341</v>
      </c>
      <c r="D2640" s="17" t="n">
        <f aca="false">(C2640-$B$4)/($B$6/SQRT($B$7))</f>
        <v>1.3106427314117</v>
      </c>
      <c r="E2640" s="0" t="str">
        <f aca="false">IF(OR(AND($B$9="superior",D2640&gt;$B$10),AND($B$9="inferior",D2640&lt;-$B$10)),"Rechazar H0","No rechazar H0")</f>
        <v>No rechazar H0</v>
      </c>
      <c r="F2640" s="0" t="str">
        <f aca="false">IF(AND(B2640="H0 verdadera",E2640="Rechazar H0"),"Error tipo I",IF(AND(B2640="Ha verdadera",E2640="No rechazar H0"),"Error tipo II","Decisión correcta"))</f>
        <v>Decisión correcta</v>
      </c>
    </row>
    <row r="2641" customFormat="false" ht="15" hidden="false" customHeight="false" outlineLevel="0" collapsed="false">
      <c r="A2641" s="0" t="n">
        <v>2620</v>
      </c>
      <c r="B2641" s="0" t="s">
        <v>86</v>
      </c>
      <c r="C2641" s="17" t="n">
        <v>-0.434614610179875</v>
      </c>
      <c r="D2641" s="17" t="n">
        <f aca="false">(C2641-$B$4)/($B$6/SQRT($B$7))</f>
        <v>-2.17307305089938</v>
      </c>
      <c r="E2641" s="0" t="str">
        <f aca="false">IF(OR(AND($B$9="superior",D2641&gt;$B$10),AND($B$9="inferior",D2641&lt;-$B$10)),"Rechazar H0","No rechazar H0")</f>
        <v>Rechazar H0</v>
      </c>
      <c r="F2641" s="0" t="str">
        <f aca="false">IF(AND(B2641="H0 verdadera",E2641="Rechazar H0"),"Error tipo I",IF(AND(B2641="Ha verdadera",E2641="No rechazar H0"),"Error tipo II","Decisión correcta"))</f>
        <v>Decisión correcta</v>
      </c>
    </row>
    <row r="2642" customFormat="false" ht="15" hidden="false" customHeight="false" outlineLevel="0" collapsed="false">
      <c r="A2642" s="0" t="n">
        <v>2621</v>
      </c>
      <c r="B2642" s="0" t="s">
        <v>85</v>
      </c>
      <c r="C2642" s="17" t="n">
        <v>-0.0115239892732614</v>
      </c>
      <c r="D2642" s="17" t="n">
        <f aca="false">(C2642-$B$4)/($B$6/SQRT($B$7))</f>
        <v>-0.0576199463663071</v>
      </c>
      <c r="E2642" s="0" t="str">
        <f aca="false">IF(OR(AND($B$9="superior",D2642&gt;$B$10),AND($B$9="inferior",D2642&lt;-$B$10)),"Rechazar H0","No rechazar H0")</f>
        <v>No rechazar H0</v>
      </c>
      <c r="F2642" s="0" t="str">
        <f aca="false">IF(AND(B2642="H0 verdadera",E2642="Rechazar H0"),"Error tipo I",IF(AND(B2642="Ha verdadera",E2642="No rechazar H0"),"Error tipo II","Decisión correcta"))</f>
        <v>Decisión correcta</v>
      </c>
    </row>
    <row r="2643" customFormat="false" ht="15" hidden="false" customHeight="false" outlineLevel="0" collapsed="false">
      <c r="A2643" s="0" t="n">
        <v>2622</v>
      </c>
      <c r="B2643" s="0" t="s">
        <v>85</v>
      </c>
      <c r="C2643" s="17" t="n">
        <v>-0.0405087907287411</v>
      </c>
      <c r="D2643" s="17" t="n">
        <f aca="false">(C2643-$B$4)/($B$6/SQRT($B$7))</f>
        <v>-0.202543953643705</v>
      </c>
      <c r="E2643" s="0" t="str">
        <f aca="false">IF(OR(AND($B$9="superior",D2643&gt;$B$10),AND($B$9="inferior",D2643&lt;-$B$10)),"Rechazar H0","No rechazar H0")</f>
        <v>No rechazar H0</v>
      </c>
      <c r="F2643" s="0" t="str">
        <f aca="false">IF(AND(B2643="H0 verdadera",E2643="Rechazar H0"),"Error tipo I",IF(AND(B2643="Ha verdadera",E2643="No rechazar H0"),"Error tipo II","Decisión correcta"))</f>
        <v>Decisión correcta</v>
      </c>
    </row>
    <row r="2644" customFormat="false" ht="15" hidden="false" customHeight="false" outlineLevel="0" collapsed="false">
      <c r="A2644" s="0" t="n">
        <v>2623</v>
      </c>
      <c r="B2644" s="0" t="s">
        <v>85</v>
      </c>
      <c r="C2644" s="17" t="n">
        <v>-0.0926405436936573</v>
      </c>
      <c r="D2644" s="17" t="n">
        <f aca="false">(C2644-$B$4)/($B$6/SQRT($B$7))</f>
        <v>-0.463202718468286</v>
      </c>
      <c r="E2644" s="0" t="str">
        <f aca="false">IF(OR(AND($B$9="superior",D2644&gt;$B$10),AND($B$9="inferior",D2644&lt;-$B$10)),"Rechazar H0","No rechazar H0")</f>
        <v>No rechazar H0</v>
      </c>
      <c r="F2644" s="0" t="str">
        <f aca="false">IF(AND(B2644="H0 verdadera",E2644="Rechazar H0"),"Error tipo I",IF(AND(B2644="Ha verdadera",E2644="No rechazar H0"),"Error tipo II","Decisión correcta"))</f>
        <v>Decisión correcta</v>
      </c>
    </row>
    <row r="2645" customFormat="false" ht="15" hidden="false" customHeight="false" outlineLevel="0" collapsed="false">
      <c r="A2645" s="0" t="n">
        <v>2624</v>
      </c>
      <c r="B2645" s="0" t="s">
        <v>85</v>
      </c>
      <c r="C2645" s="17" t="n">
        <v>-0.289685489597377</v>
      </c>
      <c r="D2645" s="17" t="n">
        <f aca="false">(C2645-$B$4)/($B$6/SQRT($B$7))</f>
        <v>-1.44842744798689</v>
      </c>
      <c r="E2645" s="0" t="str">
        <f aca="false">IF(OR(AND($B$9="superior",D2645&gt;$B$10),AND($B$9="inferior",D2645&lt;-$B$10)),"Rechazar H0","No rechazar H0")</f>
        <v>No rechazar H0</v>
      </c>
      <c r="F2645" s="0" t="str">
        <f aca="false">IF(AND(B2645="H0 verdadera",E2645="Rechazar H0"),"Error tipo I",IF(AND(B2645="Ha verdadera",E2645="No rechazar H0"),"Error tipo II","Decisión correcta"))</f>
        <v>Decisión correcta</v>
      </c>
    </row>
    <row r="2646" customFormat="false" ht="15" hidden="false" customHeight="false" outlineLevel="0" collapsed="false">
      <c r="A2646" s="0" t="n">
        <v>2625</v>
      </c>
      <c r="B2646" s="0" t="s">
        <v>86</v>
      </c>
      <c r="C2646" s="17" t="n">
        <v>-0.574597698306554</v>
      </c>
      <c r="D2646" s="17" t="n">
        <f aca="false">(C2646-$B$4)/($B$6/SQRT($B$7))</f>
        <v>-2.87298849153277</v>
      </c>
      <c r="E2646" s="0" t="str">
        <f aca="false">IF(OR(AND($B$9="superior",D2646&gt;$B$10),AND($B$9="inferior",D2646&lt;-$B$10)),"Rechazar H0","No rechazar H0")</f>
        <v>Rechazar H0</v>
      </c>
      <c r="F2646" s="0" t="str">
        <f aca="false">IF(AND(B2646="H0 verdadera",E2646="Rechazar H0"),"Error tipo I",IF(AND(B2646="Ha verdadera",E2646="No rechazar H0"),"Error tipo II","Decisión correcta"))</f>
        <v>Decisión correcta</v>
      </c>
    </row>
    <row r="2647" customFormat="false" ht="15" hidden="false" customHeight="false" outlineLevel="0" collapsed="false">
      <c r="A2647" s="0" t="n">
        <v>2626</v>
      </c>
      <c r="B2647" s="0" t="s">
        <v>85</v>
      </c>
      <c r="C2647" s="17" t="n">
        <v>-0.0247002450050083</v>
      </c>
      <c r="D2647" s="17" t="n">
        <f aca="false">(C2647-$B$4)/($B$6/SQRT($B$7))</f>
        <v>-0.123501225025041</v>
      </c>
      <c r="E2647" s="0" t="str">
        <f aca="false">IF(OR(AND($B$9="superior",D2647&gt;$B$10),AND($B$9="inferior",D2647&lt;-$B$10)),"Rechazar H0","No rechazar H0")</f>
        <v>No rechazar H0</v>
      </c>
      <c r="F2647" s="0" t="str">
        <f aca="false">IF(AND(B2647="H0 verdadera",E2647="Rechazar H0"),"Error tipo I",IF(AND(B2647="Ha verdadera",E2647="No rechazar H0"),"Error tipo II","Decisión correcta"))</f>
        <v>Decisión correcta</v>
      </c>
    </row>
    <row r="2648" customFormat="false" ht="15" hidden="false" customHeight="false" outlineLevel="0" collapsed="false">
      <c r="A2648" s="0" t="n">
        <v>2627</v>
      </c>
      <c r="B2648" s="0" t="s">
        <v>85</v>
      </c>
      <c r="C2648" s="17" t="n">
        <v>-0.106141918987927</v>
      </c>
      <c r="D2648" s="17" t="n">
        <f aca="false">(C2648-$B$4)/($B$6/SQRT($B$7))</f>
        <v>-0.530709594939633</v>
      </c>
      <c r="E2648" s="0" t="str">
        <f aca="false">IF(OR(AND($B$9="superior",D2648&gt;$B$10),AND($B$9="inferior",D2648&lt;-$B$10)),"Rechazar H0","No rechazar H0")</f>
        <v>No rechazar H0</v>
      </c>
      <c r="F2648" s="0" t="str">
        <f aca="false">IF(AND(B2648="H0 verdadera",E2648="Rechazar H0"),"Error tipo I",IF(AND(B2648="Ha verdadera",E2648="No rechazar H0"),"Error tipo II","Decisión correcta"))</f>
        <v>Decisión correcta</v>
      </c>
    </row>
    <row r="2649" customFormat="false" ht="15" hidden="false" customHeight="false" outlineLevel="0" collapsed="false">
      <c r="A2649" s="0" t="n">
        <v>2628</v>
      </c>
      <c r="B2649" s="0" t="s">
        <v>85</v>
      </c>
      <c r="C2649" s="17" t="n">
        <v>-0.048034568485778</v>
      </c>
      <c r="D2649" s="17" t="n">
        <f aca="false">(C2649-$B$4)/($B$6/SQRT($B$7))</f>
        <v>-0.24017284242889</v>
      </c>
      <c r="E2649" s="0" t="str">
        <f aca="false">IF(OR(AND($B$9="superior",D2649&gt;$B$10),AND($B$9="inferior",D2649&lt;-$B$10)),"Rechazar H0","No rechazar H0")</f>
        <v>No rechazar H0</v>
      </c>
      <c r="F2649" s="0" t="str">
        <f aca="false">IF(AND(B2649="H0 verdadera",E2649="Rechazar H0"),"Error tipo I",IF(AND(B2649="Ha verdadera",E2649="No rechazar H0"),"Error tipo II","Decisión correcta"))</f>
        <v>Decisión correcta</v>
      </c>
    </row>
    <row r="2650" customFormat="false" ht="15" hidden="false" customHeight="false" outlineLevel="0" collapsed="false">
      <c r="A2650" s="0" t="n">
        <v>2629</v>
      </c>
      <c r="B2650" s="0" t="s">
        <v>85</v>
      </c>
      <c r="C2650" s="17" t="n">
        <v>0.112297657839702</v>
      </c>
      <c r="D2650" s="17" t="n">
        <f aca="false">(C2650-$B$4)/($B$6/SQRT($B$7))</f>
        <v>0.561488289198512</v>
      </c>
      <c r="E2650" s="0" t="str">
        <f aca="false">IF(OR(AND($B$9="superior",D2650&gt;$B$10),AND($B$9="inferior",D2650&lt;-$B$10)),"Rechazar H0","No rechazar H0")</f>
        <v>No rechazar H0</v>
      </c>
      <c r="F2650" s="0" t="str">
        <f aca="false">IF(AND(B2650="H0 verdadera",E2650="Rechazar H0"),"Error tipo I",IF(AND(B2650="Ha verdadera",E2650="No rechazar H0"),"Error tipo II","Decisión correcta"))</f>
        <v>Decisión correcta</v>
      </c>
    </row>
    <row r="2651" customFormat="false" ht="15" hidden="false" customHeight="false" outlineLevel="0" collapsed="false">
      <c r="A2651" s="0" t="n">
        <v>2630</v>
      </c>
      <c r="B2651" s="0" t="s">
        <v>85</v>
      </c>
      <c r="C2651" s="17" t="n">
        <v>-0.145907718935118</v>
      </c>
      <c r="D2651" s="17" t="n">
        <f aca="false">(C2651-$B$4)/($B$6/SQRT($B$7))</f>
        <v>-0.72953859467559</v>
      </c>
      <c r="E2651" s="0" t="str">
        <f aca="false">IF(OR(AND($B$9="superior",D2651&gt;$B$10),AND($B$9="inferior",D2651&lt;-$B$10)),"Rechazar H0","No rechazar H0")</f>
        <v>No rechazar H0</v>
      </c>
      <c r="F2651" s="0" t="str">
        <f aca="false">IF(AND(B2651="H0 verdadera",E2651="Rechazar H0"),"Error tipo I",IF(AND(B2651="Ha verdadera",E2651="No rechazar H0"),"Error tipo II","Decisión correcta"))</f>
        <v>Decisión correcta</v>
      </c>
    </row>
    <row r="2652" customFormat="false" ht="15" hidden="false" customHeight="false" outlineLevel="0" collapsed="false">
      <c r="A2652" s="0" t="n">
        <v>2631</v>
      </c>
      <c r="B2652" s="0" t="s">
        <v>86</v>
      </c>
      <c r="C2652" s="17" t="n">
        <v>-0.171109883890013</v>
      </c>
      <c r="D2652" s="17" t="n">
        <f aca="false">(C2652-$B$4)/($B$6/SQRT($B$7))</f>
        <v>-0.855549419450067</v>
      </c>
      <c r="E2652" s="0" t="str">
        <f aca="false">IF(OR(AND($B$9="superior",D2652&gt;$B$10),AND($B$9="inferior",D2652&lt;-$B$10)),"Rechazar H0","No rechazar H0")</f>
        <v>No rechazar H0</v>
      </c>
      <c r="F2652" s="0" t="str">
        <f aca="false">IF(AND(B2652="H0 verdadera",E2652="Rechazar H0"),"Error tipo I",IF(AND(B2652="Ha verdadera",E2652="No rechazar H0"),"Error tipo II","Decisión correcta"))</f>
        <v>Error tipo II</v>
      </c>
    </row>
    <row r="2653" customFormat="false" ht="15" hidden="false" customHeight="false" outlineLevel="0" collapsed="false">
      <c r="A2653" s="0" t="n">
        <v>2632</v>
      </c>
      <c r="B2653" s="0" t="s">
        <v>86</v>
      </c>
      <c r="C2653" s="17" t="n">
        <v>-0.137206507243944</v>
      </c>
      <c r="D2653" s="17" t="n">
        <f aca="false">(C2653-$B$4)/($B$6/SQRT($B$7))</f>
        <v>-0.686032536219718</v>
      </c>
      <c r="E2653" s="0" t="str">
        <f aca="false">IF(OR(AND($B$9="superior",D2653&gt;$B$10),AND($B$9="inferior",D2653&lt;-$B$10)),"Rechazar H0","No rechazar H0")</f>
        <v>No rechazar H0</v>
      </c>
      <c r="F2653" s="0" t="str">
        <f aca="false">IF(AND(B2653="H0 verdadera",E2653="Rechazar H0"),"Error tipo I",IF(AND(B2653="Ha verdadera",E2653="No rechazar H0"),"Error tipo II","Decisión correcta"))</f>
        <v>Error tipo II</v>
      </c>
    </row>
    <row r="2654" customFormat="false" ht="15" hidden="false" customHeight="false" outlineLevel="0" collapsed="false">
      <c r="A2654" s="0" t="n">
        <v>2633</v>
      </c>
      <c r="B2654" s="0" t="s">
        <v>85</v>
      </c>
      <c r="C2654" s="17" t="n">
        <v>-0.125157654632731</v>
      </c>
      <c r="D2654" s="17" t="n">
        <f aca="false">(C2654-$B$4)/($B$6/SQRT($B$7))</f>
        <v>-0.625788273163654</v>
      </c>
      <c r="E2654" s="0" t="str">
        <f aca="false">IF(OR(AND($B$9="superior",D2654&gt;$B$10),AND($B$9="inferior",D2654&lt;-$B$10)),"Rechazar H0","No rechazar H0")</f>
        <v>No rechazar H0</v>
      </c>
      <c r="F2654" s="0" t="str">
        <f aca="false">IF(AND(B2654="H0 verdadera",E2654="Rechazar H0"),"Error tipo I",IF(AND(B2654="Ha verdadera",E2654="No rechazar H0"),"Error tipo II","Decisión correcta"))</f>
        <v>Decisión correcta</v>
      </c>
    </row>
    <row r="2655" customFormat="false" ht="15" hidden="false" customHeight="false" outlineLevel="0" collapsed="false">
      <c r="A2655" s="0" t="n">
        <v>2634</v>
      </c>
      <c r="B2655" s="0" t="s">
        <v>85</v>
      </c>
      <c r="C2655" s="17" t="n">
        <v>-0.261799292003091</v>
      </c>
      <c r="D2655" s="17" t="n">
        <f aca="false">(C2655-$B$4)/($B$6/SQRT($B$7))</f>
        <v>-1.30899646001545</v>
      </c>
      <c r="E2655" s="0" t="str">
        <f aca="false">IF(OR(AND($B$9="superior",D2655&gt;$B$10),AND($B$9="inferior",D2655&lt;-$B$10)),"Rechazar H0","No rechazar H0")</f>
        <v>No rechazar H0</v>
      </c>
      <c r="F2655" s="0" t="str">
        <f aca="false">IF(AND(B2655="H0 verdadera",E2655="Rechazar H0"),"Error tipo I",IF(AND(B2655="Ha verdadera",E2655="No rechazar H0"),"Error tipo II","Decisión correcta"))</f>
        <v>Decisión correcta</v>
      </c>
    </row>
    <row r="2656" customFormat="false" ht="15" hidden="false" customHeight="false" outlineLevel="0" collapsed="false">
      <c r="A2656" s="0" t="n">
        <v>2635</v>
      </c>
      <c r="B2656" s="0" t="s">
        <v>85</v>
      </c>
      <c r="C2656" s="17" t="n">
        <v>0.183669746962351</v>
      </c>
      <c r="D2656" s="17" t="n">
        <f aca="false">(C2656-$B$4)/($B$6/SQRT($B$7))</f>
        <v>0.918348734811757</v>
      </c>
      <c r="E2656" s="0" t="str">
        <f aca="false">IF(OR(AND($B$9="superior",D2656&gt;$B$10),AND($B$9="inferior",D2656&lt;-$B$10)),"Rechazar H0","No rechazar H0")</f>
        <v>No rechazar H0</v>
      </c>
      <c r="F2656" s="0" t="str">
        <f aca="false">IF(AND(B2656="H0 verdadera",E2656="Rechazar H0"),"Error tipo I",IF(AND(B2656="Ha verdadera",E2656="No rechazar H0"),"Error tipo II","Decisión correcta"))</f>
        <v>Decisión correcta</v>
      </c>
    </row>
    <row r="2657" customFormat="false" ht="15" hidden="false" customHeight="false" outlineLevel="0" collapsed="false">
      <c r="A2657" s="0" t="n">
        <v>2636</v>
      </c>
      <c r="B2657" s="0" t="s">
        <v>85</v>
      </c>
      <c r="C2657" s="17" t="n">
        <v>0.0405076675638236</v>
      </c>
      <c r="D2657" s="17" t="n">
        <f aca="false">(C2657-$B$4)/($B$6/SQRT($B$7))</f>
        <v>0.202538337819118</v>
      </c>
      <c r="E2657" s="0" t="str">
        <f aca="false">IF(OR(AND($B$9="superior",D2657&gt;$B$10),AND($B$9="inferior",D2657&lt;-$B$10)),"Rechazar H0","No rechazar H0")</f>
        <v>No rechazar H0</v>
      </c>
      <c r="F2657" s="0" t="str">
        <f aca="false">IF(AND(B2657="H0 verdadera",E2657="Rechazar H0"),"Error tipo I",IF(AND(B2657="Ha verdadera",E2657="No rechazar H0"),"Error tipo II","Decisión correcta"))</f>
        <v>Decisión correcta</v>
      </c>
    </row>
    <row r="2658" customFormat="false" ht="15" hidden="false" customHeight="false" outlineLevel="0" collapsed="false">
      <c r="A2658" s="0" t="n">
        <v>2637</v>
      </c>
      <c r="B2658" s="0" t="s">
        <v>86</v>
      </c>
      <c r="C2658" s="17" t="n">
        <v>-0.0178208368672832</v>
      </c>
      <c r="D2658" s="17" t="n">
        <f aca="false">(C2658-$B$4)/($B$6/SQRT($B$7))</f>
        <v>-0.0891041843364162</v>
      </c>
      <c r="E2658" s="0" t="str">
        <f aca="false">IF(OR(AND($B$9="superior",D2658&gt;$B$10),AND($B$9="inferior",D2658&lt;-$B$10)),"Rechazar H0","No rechazar H0")</f>
        <v>No rechazar H0</v>
      </c>
      <c r="F2658" s="0" t="str">
        <f aca="false">IF(AND(B2658="H0 verdadera",E2658="Rechazar H0"),"Error tipo I",IF(AND(B2658="Ha verdadera",E2658="No rechazar H0"),"Error tipo II","Decisión correcta"))</f>
        <v>Error tipo II</v>
      </c>
    </row>
    <row r="2659" customFormat="false" ht="15" hidden="false" customHeight="false" outlineLevel="0" collapsed="false">
      <c r="A2659" s="0" t="n">
        <v>2638</v>
      </c>
      <c r="B2659" s="0" t="s">
        <v>85</v>
      </c>
      <c r="C2659" s="17" t="n">
        <v>0.0845056429046791</v>
      </c>
      <c r="D2659" s="17" t="n">
        <f aca="false">(C2659-$B$4)/($B$6/SQRT($B$7))</f>
        <v>0.422528214523395</v>
      </c>
      <c r="E2659" s="0" t="str">
        <f aca="false">IF(OR(AND($B$9="superior",D2659&gt;$B$10),AND($B$9="inferior",D2659&lt;-$B$10)),"Rechazar H0","No rechazar H0")</f>
        <v>No rechazar H0</v>
      </c>
      <c r="F2659" s="0" t="str">
        <f aca="false">IF(AND(B2659="H0 verdadera",E2659="Rechazar H0"),"Error tipo I",IF(AND(B2659="Ha verdadera",E2659="No rechazar H0"),"Error tipo II","Decisión correcta"))</f>
        <v>Decisión correcta</v>
      </c>
    </row>
    <row r="2660" customFormat="false" ht="15" hidden="false" customHeight="false" outlineLevel="0" collapsed="false">
      <c r="A2660" s="0" t="n">
        <v>2639</v>
      </c>
      <c r="B2660" s="0" t="s">
        <v>85</v>
      </c>
      <c r="C2660" s="17" t="n">
        <v>-0.224741369506612</v>
      </c>
      <c r="D2660" s="17" t="n">
        <f aca="false">(C2660-$B$4)/($B$6/SQRT($B$7))</f>
        <v>-1.12370684753306</v>
      </c>
      <c r="E2660" s="0" t="str">
        <f aca="false">IF(OR(AND($B$9="superior",D2660&gt;$B$10),AND($B$9="inferior",D2660&lt;-$B$10)),"Rechazar H0","No rechazar H0")</f>
        <v>No rechazar H0</v>
      </c>
      <c r="F2660" s="0" t="str">
        <f aca="false">IF(AND(B2660="H0 verdadera",E2660="Rechazar H0"),"Error tipo I",IF(AND(B2660="Ha verdadera",E2660="No rechazar H0"),"Error tipo II","Decisión correcta"))</f>
        <v>Decisión correcta</v>
      </c>
    </row>
    <row r="2661" customFormat="false" ht="15" hidden="false" customHeight="false" outlineLevel="0" collapsed="false">
      <c r="A2661" s="0" t="n">
        <v>2640</v>
      </c>
      <c r="B2661" s="0" t="s">
        <v>86</v>
      </c>
      <c r="C2661" s="17" t="n">
        <v>-0.787480242569234</v>
      </c>
      <c r="D2661" s="17" t="n">
        <f aca="false">(C2661-$B$4)/($B$6/SQRT($B$7))</f>
        <v>-3.93740121284617</v>
      </c>
      <c r="E2661" s="0" t="str">
        <f aca="false">IF(OR(AND($B$9="superior",D2661&gt;$B$10),AND($B$9="inferior",D2661&lt;-$B$10)),"Rechazar H0","No rechazar H0")</f>
        <v>Rechazar H0</v>
      </c>
      <c r="F2661" s="0" t="str">
        <f aca="false">IF(AND(B2661="H0 verdadera",E2661="Rechazar H0"),"Error tipo I",IF(AND(B2661="Ha verdadera",E2661="No rechazar H0"),"Error tipo II","Decisión correcta"))</f>
        <v>Decisión correcta</v>
      </c>
    </row>
    <row r="2662" customFormat="false" ht="15" hidden="false" customHeight="false" outlineLevel="0" collapsed="false">
      <c r="A2662" s="0" t="n">
        <v>2641</v>
      </c>
      <c r="B2662" s="0" t="s">
        <v>86</v>
      </c>
      <c r="C2662" s="17" t="n">
        <v>-0.506129959241838</v>
      </c>
      <c r="D2662" s="17" t="n">
        <f aca="false">(C2662-$B$4)/($B$6/SQRT($B$7))</f>
        <v>-2.53064979620919</v>
      </c>
      <c r="E2662" s="0" t="str">
        <f aca="false">IF(OR(AND($B$9="superior",D2662&gt;$B$10),AND($B$9="inferior",D2662&lt;-$B$10)),"Rechazar H0","No rechazar H0")</f>
        <v>Rechazar H0</v>
      </c>
      <c r="F2662" s="0" t="str">
        <f aca="false">IF(AND(B2662="H0 verdadera",E2662="Rechazar H0"),"Error tipo I",IF(AND(B2662="Ha verdadera",E2662="No rechazar H0"),"Error tipo II","Decisión correcta"))</f>
        <v>Decisión correcta</v>
      </c>
    </row>
    <row r="2663" customFormat="false" ht="15" hidden="false" customHeight="false" outlineLevel="0" collapsed="false">
      <c r="A2663" s="0" t="n">
        <v>2642</v>
      </c>
      <c r="B2663" s="0" t="s">
        <v>86</v>
      </c>
      <c r="C2663" s="17" t="n">
        <v>-0.698379849908342</v>
      </c>
      <c r="D2663" s="17" t="n">
        <f aca="false">(C2663-$B$4)/($B$6/SQRT($B$7))</f>
        <v>-3.49189924954171</v>
      </c>
      <c r="E2663" s="0" t="str">
        <f aca="false">IF(OR(AND($B$9="superior",D2663&gt;$B$10),AND($B$9="inferior",D2663&lt;-$B$10)),"Rechazar H0","No rechazar H0")</f>
        <v>Rechazar H0</v>
      </c>
      <c r="F2663" s="0" t="str">
        <f aca="false">IF(AND(B2663="H0 verdadera",E2663="Rechazar H0"),"Error tipo I",IF(AND(B2663="Ha verdadera",E2663="No rechazar H0"),"Error tipo II","Decisión correcta"))</f>
        <v>Decisión correcta</v>
      </c>
    </row>
    <row r="2664" customFormat="false" ht="15" hidden="false" customHeight="false" outlineLevel="0" collapsed="false">
      <c r="A2664" s="0" t="n">
        <v>2643</v>
      </c>
      <c r="B2664" s="0" t="s">
        <v>86</v>
      </c>
      <c r="C2664" s="17" t="n">
        <v>-0.6551817049389</v>
      </c>
      <c r="D2664" s="17" t="n">
        <f aca="false">(C2664-$B$4)/($B$6/SQRT($B$7))</f>
        <v>-3.2759085246945</v>
      </c>
      <c r="E2664" s="0" t="str">
        <f aca="false">IF(OR(AND($B$9="superior",D2664&gt;$B$10),AND($B$9="inferior",D2664&lt;-$B$10)),"Rechazar H0","No rechazar H0")</f>
        <v>Rechazar H0</v>
      </c>
      <c r="F2664" s="0" t="str">
        <f aca="false">IF(AND(B2664="H0 verdadera",E2664="Rechazar H0"),"Error tipo I",IF(AND(B2664="Ha verdadera",E2664="No rechazar H0"),"Error tipo II","Decisión correcta"))</f>
        <v>Decisión correcta</v>
      </c>
    </row>
    <row r="2665" customFormat="false" ht="15" hidden="false" customHeight="false" outlineLevel="0" collapsed="false">
      <c r="A2665" s="0" t="n">
        <v>2644</v>
      </c>
      <c r="B2665" s="0" t="s">
        <v>85</v>
      </c>
      <c r="C2665" s="17" t="n">
        <v>0.382005422579022</v>
      </c>
      <c r="D2665" s="17" t="n">
        <f aca="false">(C2665-$B$4)/($B$6/SQRT($B$7))</f>
        <v>1.91002711289511</v>
      </c>
      <c r="E2665" s="0" t="str">
        <f aca="false">IF(OR(AND($B$9="superior",D2665&gt;$B$10),AND($B$9="inferior",D2665&lt;-$B$10)),"Rechazar H0","No rechazar H0")</f>
        <v>No rechazar H0</v>
      </c>
      <c r="F2665" s="0" t="str">
        <f aca="false">IF(AND(B2665="H0 verdadera",E2665="Rechazar H0"),"Error tipo I",IF(AND(B2665="Ha verdadera",E2665="No rechazar H0"),"Error tipo II","Decisión correcta"))</f>
        <v>Decisión correcta</v>
      </c>
    </row>
    <row r="2666" customFormat="false" ht="15" hidden="false" customHeight="false" outlineLevel="0" collapsed="false">
      <c r="A2666" s="0" t="n">
        <v>2645</v>
      </c>
      <c r="B2666" s="0" t="s">
        <v>86</v>
      </c>
      <c r="C2666" s="17" t="n">
        <v>-0.105991538699907</v>
      </c>
      <c r="D2666" s="17" t="n">
        <f aca="false">(C2666-$B$4)/($B$6/SQRT($B$7))</f>
        <v>-0.529957693499533</v>
      </c>
      <c r="E2666" s="0" t="str">
        <f aca="false">IF(OR(AND($B$9="superior",D2666&gt;$B$10),AND($B$9="inferior",D2666&lt;-$B$10)),"Rechazar H0","No rechazar H0")</f>
        <v>No rechazar H0</v>
      </c>
      <c r="F2666" s="0" t="str">
        <f aca="false">IF(AND(B2666="H0 verdadera",E2666="Rechazar H0"),"Error tipo I",IF(AND(B2666="Ha verdadera",E2666="No rechazar H0"),"Error tipo II","Decisión correcta"))</f>
        <v>Error tipo II</v>
      </c>
    </row>
    <row r="2667" customFormat="false" ht="15" hidden="false" customHeight="false" outlineLevel="0" collapsed="false">
      <c r="A2667" s="0" t="n">
        <v>2646</v>
      </c>
      <c r="B2667" s="0" t="s">
        <v>85</v>
      </c>
      <c r="C2667" s="17" t="n">
        <v>-0.138434787021119</v>
      </c>
      <c r="D2667" s="17" t="n">
        <f aca="false">(C2667-$B$4)/($B$6/SQRT($B$7))</f>
        <v>-0.692173935105595</v>
      </c>
      <c r="E2667" s="0" t="str">
        <f aca="false">IF(OR(AND($B$9="superior",D2667&gt;$B$10),AND($B$9="inferior",D2667&lt;-$B$10)),"Rechazar H0","No rechazar H0")</f>
        <v>No rechazar H0</v>
      </c>
      <c r="F2667" s="0" t="str">
        <f aca="false">IF(AND(B2667="H0 verdadera",E2667="Rechazar H0"),"Error tipo I",IF(AND(B2667="Ha verdadera",E2667="No rechazar H0"),"Error tipo II","Decisión correcta"))</f>
        <v>Decisión correcta</v>
      </c>
    </row>
    <row r="2668" customFormat="false" ht="15" hidden="false" customHeight="false" outlineLevel="0" collapsed="false">
      <c r="A2668" s="0" t="n">
        <v>2647</v>
      </c>
      <c r="B2668" s="0" t="s">
        <v>85</v>
      </c>
      <c r="C2668" s="17" t="n">
        <v>-0.0664259697622744</v>
      </c>
      <c r="D2668" s="17" t="n">
        <f aca="false">(C2668-$B$4)/($B$6/SQRT($B$7))</f>
        <v>-0.332129848811372</v>
      </c>
      <c r="E2668" s="0" t="str">
        <f aca="false">IF(OR(AND($B$9="superior",D2668&gt;$B$10),AND($B$9="inferior",D2668&lt;-$B$10)),"Rechazar H0","No rechazar H0")</f>
        <v>No rechazar H0</v>
      </c>
      <c r="F2668" s="0" t="str">
        <f aca="false">IF(AND(B2668="H0 verdadera",E2668="Rechazar H0"),"Error tipo I",IF(AND(B2668="Ha verdadera",E2668="No rechazar H0"),"Error tipo II","Decisión correcta"))</f>
        <v>Decisión correcta</v>
      </c>
    </row>
    <row r="2669" customFormat="false" ht="15" hidden="false" customHeight="false" outlineLevel="0" collapsed="false">
      <c r="A2669" s="0" t="n">
        <v>2648</v>
      </c>
      <c r="B2669" s="0" t="s">
        <v>85</v>
      </c>
      <c r="C2669" s="17" t="n">
        <v>0.11314442497667</v>
      </c>
      <c r="D2669" s="17" t="n">
        <f aca="false">(C2669-$B$4)/($B$6/SQRT($B$7))</f>
        <v>0.565722124883349</v>
      </c>
      <c r="E2669" s="0" t="str">
        <f aca="false">IF(OR(AND($B$9="superior",D2669&gt;$B$10),AND($B$9="inferior",D2669&lt;-$B$10)),"Rechazar H0","No rechazar H0")</f>
        <v>No rechazar H0</v>
      </c>
      <c r="F2669" s="0" t="str">
        <f aca="false">IF(AND(B2669="H0 verdadera",E2669="Rechazar H0"),"Error tipo I",IF(AND(B2669="Ha verdadera",E2669="No rechazar H0"),"Error tipo II","Decisión correcta"))</f>
        <v>Decisión correcta</v>
      </c>
    </row>
    <row r="2670" customFormat="false" ht="15" hidden="false" customHeight="false" outlineLevel="0" collapsed="false">
      <c r="A2670" s="0" t="n">
        <v>2649</v>
      </c>
      <c r="B2670" s="0" t="s">
        <v>85</v>
      </c>
      <c r="C2670" s="17" t="n">
        <v>-0.22176836327999</v>
      </c>
      <c r="D2670" s="17" t="n">
        <f aca="false">(C2670-$B$4)/($B$6/SQRT($B$7))</f>
        <v>-1.10884181639995</v>
      </c>
      <c r="E2670" s="0" t="str">
        <f aca="false">IF(OR(AND($B$9="superior",D2670&gt;$B$10),AND($B$9="inferior",D2670&lt;-$B$10)),"Rechazar H0","No rechazar H0")</f>
        <v>No rechazar H0</v>
      </c>
      <c r="F2670" s="0" t="str">
        <f aca="false">IF(AND(B2670="H0 verdadera",E2670="Rechazar H0"),"Error tipo I",IF(AND(B2670="Ha verdadera",E2670="No rechazar H0"),"Error tipo II","Decisión correcta"))</f>
        <v>Decisión correcta</v>
      </c>
    </row>
    <row r="2671" customFormat="false" ht="15" hidden="false" customHeight="false" outlineLevel="0" collapsed="false">
      <c r="A2671" s="0" t="n">
        <v>2650</v>
      </c>
      <c r="B2671" s="0" t="s">
        <v>86</v>
      </c>
      <c r="C2671" s="17" t="n">
        <v>-0.395625046251023</v>
      </c>
      <c r="D2671" s="17" t="n">
        <f aca="false">(C2671-$B$4)/($B$6/SQRT($B$7))</f>
        <v>-1.97812523125512</v>
      </c>
      <c r="E2671" s="0" t="str">
        <f aca="false">IF(OR(AND($B$9="superior",D2671&gt;$B$10),AND($B$9="inferior",D2671&lt;-$B$10)),"Rechazar H0","No rechazar H0")</f>
        <v>Rechazar H0</v>
      </c>
      <c r="F2671" s="0" t="str">
        <f aca="false">IF(AND(B2671="H0 verdadera",E2671="Rechazar H0"),"Error tipo I",IF(AND(B2671="Ha verdadera",E2671="No rechazar H0"),"Error tipo II","Decisión correcta"))</f>
        <v>Decisión correcta</v>
      </c>
    </row>
    <row r="2672" customFormat="false" ht="15" hidden="false" customHeight="false" outlineLevel="0" collapsed="false">
      <c r="A2672" s="0" t="n">
        <v>2651</v>
      </c>
      <c r="B2672" s="0" t="s">
        <v>86</v>
      </c>
      <c r="C2672" s="17" t="n">
        <v>-0.732143304222267</v>
      </c>
      <c r="D2672" s="17" t="n">
        <f aca="false">(C2672-$B$4)/($B$6/SQRT($B$7))</f>
        <v>-3.66071652111133</v>
      </c>
      <c r="E2672" s="0" t="str">
        <f aca="false">IF(OR(AND($B$9="superior",D2672&gt;$B$10),AND($B$9="inferior",D2672&lt;-$B$10)),"Rechazar H0","No rechazar H0")</f>
        <v>Rechazar H0</v>
      </c>
      <c r="F2672" s="0" t="str">
        <f aca="false">IF(AND(B2672="H0 verdadera",E2672="Rechazar H0"),"Error tipo I",IF(AND(B2672="Ha verdadera",E2672="No rechazar H0"),"Error tipo II","Decisión correcta"))</f>
        <v>Decisión correcta</v>
      </c>
    </row>
    <row r="2673" customFormat="false" ht="15" hidden="false" customHeight="false" outlineLevel="0" collapsed="false">
      <c r="A2673" s="0" t="n">
        <v>2652</v>
      </c>
      <c r="B2673" s="0" t="s">
        <v>85</v>
      </c>
      <c r="C2673" s="17" t="n">
        <v>0.12146202401032</v>
      </c>
      <c r="D2673" s="17" t="n">
        <f aca="false">(C2673-$B$4)/($B$6/SQRT($B$7))</f>
        <v>0.607310120051599</v>
      </c>
      <c r="E2673" s="0" t="str">
        <f aca="false">IF(OR(AND($B$9="superior",D2673&gt;$B$10),AND($B$9="inferior",D2673&lt;-$B$10)),"Rechazar H0","No rechazar H0")</f>
        <v>No rechazar H0</v>
      </c>
      <c r="F2673" s="0" t="str">
        <f aca="false">IF(AND(B2673="H0 verdadera",E2673="Rechazar H0"),"Error tipo I",IF(AND(B2673="Ha verdadera",E2673="No rechazar H0"),"Error tipo II","Decisión correcta"))</f>
        <v>Decisión correcta</v>
      </c>
    </row>
    <row r="2674" customFormat="false" ht="15" hidden="false" customHeight="false" outlineLevel="0" collapsed="false">
      <c r="A2674" s="0" t="n">
        <v>2653</v>
      </c>
      <c r="B2674" s="0" t="s">
        <v>86</v>
      </c>
      <c r="C2674" s="17" t="n">
        <v>-0.378164577329351</v>
      </c>
      <c r="D2674" s="17" t="n">
        <f aca="false">(C2674-$B$4)/($B$6/SQRT($B$7))</f>
        <v>-1.89082288664675</v>
      </c>
      <c r="E2674" s="0" t="str">
        <f aca="false">IF(OR(AND($B$9="superior",D2674&gt;$B$10),AND($B$9="inferior",D2674&lt;-$B$10)),"Rechazar H0","No rechazar H0")</f>
        <v>Rechazar H0</v>
      </c>
      <c r="F2674" s="0" t="str">
        <f aca="false">IF(AND(B2674="H0 verdadera",E2674="Rechazar H0"),"Error tipo I",IF(AND(B2674="Ha verdadera",E2674="No rechazar H0"),"Error tipo II","Decisión correcta"))</f>
        <v>Decisión correcta</v>
      </c>
    </row>
    <row r="2675" customFormat="false" ht="15" hidden="false" customHeight="false" outlineLevel="0" collapsed="false">
      <c r="A2675" s="0" t="n">
        <v>2654</v>
      </c>
      <c r="B2675" s="0" t="s">
        <v>85</v>
      </c>
      <c r="C2675" s="17" t="n">
        <v>-0.245296486872142</v>
      </c>
      <c r="D2675" s="17" t="n">
        <f aca="false">(C2675-$B$4)/($B$6/SQRT($B$7))</f>
        <v>-1.22648243436071</v>
      </c>
      <c r="E2675" s="0" t="str">
        <f aca="false">IF(OR(AND($B$9="superior",D2675&gt;$B$10),AND($B$9="inferior",D2675&lt;-$B$10)),"Rechazar H0","No rechazar H0")</f>
        <v>No rechazar H0</v>
      </c>
      <c r="F2675" s="0" t="str">
        <f aca="false">IF(AND(B2675="H0 verdadera",E2675="Rechazar H0"),"Error tipo I",IF(AND(B2675="Ha verdadera",E2675="No rechazar H0"),"Error tipo II","Decisión correcta"))</f>
        <v>Decisión correcta</v>
      </c>
    </row>
    <row r="2676" customFormat="false" ht="15" hidden="false" customHeight="false" outlineLevel="0" collapsed="false">
      <c r="A2676" s="0" t="n">
        <v>2655</v>
      </c>
      <c r="B2676" s="0" t="s">
        <v>85</v>
      </c>
      <c r="C2676" s="17" t="n">
        <v>0.161771034488145</v>
      </c>
      <c r="D2676" s="17" t="n">
        <f aca="false">(C2676-$B$4)/($B$6/SQRT($B$7))</f>
        <v>0.808855172440723</v>
      </c>
      <c r="E2676" s="0" t="str">
        <f aca="false">IF(OR(AND($B$9="superior",D2676&gt;$B$10),AND($B$9="inferior",D2676&lt;-$B$10)),"Rechazar H0","No rechazar H0")</f>
        <v>No rechazar H0</v>
      </c>
      <c r="F2676" s="0" t="str">
        <f aca="false">IF(AND(B2676="H0 verdadera",E2676="Rechazar H0"),"Error tipo I",IF(AND(B2676="Ha verdadera",E2676="No rechazar H0"),"Error tipo II","Decisión correcta"))</f>
        <v>Decisión correcta</v>
      </c>
    </row>
    <row r="2677" customFormat="false" ht="15" hidden="false" customHeight="false" outlineLevel="0" collapsed="false">
      <c r="A2677" s="0" t="n">
        <v>2656</v>
      </c>
      <c r="B2677" s="0" t="s">
        <v>86</v>
      </c>
      <c r="C2677" s="17" t="n">
        <v>-0.470721461073026</v>
      </c>
      <c r="D2677" s="17" t="n">
        <f aca="false">(C2677-$B$4)/($B$6/SQRT($B$7))</f>
        <v>-2.35360730536513</v>
      </c>
      <c r="E2677" s="0" t="str">
        <f aca="false">IF(OR(AND($B$9="superior",D2677&gt;$B$10),AND($B$9="inferior",D2677&lt;-$B$10)),"Rechazar H0","No rechazar H0")</f>
        <v>Rechazar H0</v>
      </c>
      <c r="F2677" s="0" t="str">
        <f aca="false">IF(AND(B2677="H0 verdadera",E2677="Rechazar H0"),"Error tipo I",IF(AND(B2677="Ha verdadera",E2677="No rechazar H0"),"Error tipo II","Decisión correcta"))</f>
        <v>Decisión correcta</v>
      </c>
    </row>
    <row r="2678" customFormat="false" ht="15" hidden="false" customHeight="false" outlineLevel="0" collapsed="false">
      <c r="A2678" s="0" t="n">
        <v>2657</v>
      </c>
      <c r="B2678" s="0" t="s">
        <v>85</v>
      </c>
      <c r="C2678" s="17" t="n">
        <v>-0.0815144726635813</v>
      </c>
      <c r="D2678" s="17" t="n">
        <f aca="false">(C2678-$B$4)/($B$6/SQRT($B$7))</f>
        <v>-0.407572363317907</v>
      </c>
      <c r="E2678" s="0" t="str">
        <f aca="false">IF(OR(AND($B$9="superior",D2678&gt;$B$10),AND($B$9="inferior",D2678&lt;-$B$10)),"Rechazar H0","No rechazar H0")</f>
        <v>No rechazar H0</v>
      </c>
      <c r="F2678" s="0" t="str">
        <f aca="false">IF(AND(B2678="H0 verdadera",E2678="Rechazar H0"),"Error tipo I",IF(AND(B2678="Ha verdadera",E2678="No rechazar H0"),"Error tipo II","Decisión correcta"))</f>
        <v>Decisión correcta</v>
      </c>
    </row>
    <row r="2679" customFormat="false" ht="15" hidden="false" customHeight="false" outlineLevel="0" collapsed="false">
      <c r="A2679" s="0" t="n">
        <v>2658</v>
      </c>
      <c r="B2679" s="0" t="s">
        <v>86</v>
      </c>
      <c r="C2679" s="17" t="n">
        <v>0.0882368602879676</v>
      </c>
      <c r="D2679" s="17" t="n">
        <f aca="false">(C2679-$B$4)/($B$6/SQRT($B$7))</f>
        <v>0.441184301439838</v>
      </c>
      <c r="E2679" s="0" t="str">
        <f aca="false">IF(OR(AND($B$9="superior",D2679&gt;$B$10),AND($B$9="inferior",D2679&lt;-$B$10)),"Rechazar H0","No rechazar H0")</f>
        <v>No rechazar H0</v>
      </c>
      <c r="F2679" s="0" t="str">
        <f aca="false">IF(AND(B2679="H0 verdadera",E2679="Rechazar H0"),"Error tipo I",IF(AND(B2679="Ha verdadera",E2679="No rechazar H0"),"Error tipo II","Decisión correcta"))</f>
        <v>Error tipo II</v>
      </c>
    </row>
    <row r="2680" customFormat="false" ht="15" hidden="false" customHeight="false" outlineLevel="0" collapsed="false">
      <c r="A2680" s="0" t="n">
        <v>2659</v>
      </c>
      <c r="B2680" s="0" t="s">
        <v>86</v>
      </c>
      <c r="C2680" s="17" t="n">
        <v>-0.492058894456193</v>
      </c>
      <c r="D2680" s="17" t="n">
        <f aca="false">(C2680-$B$4)/($B$6/SQRT($B$7))</f>
        <v>-2.46029447228097</v>
      </c>
      <c r="E2680" s="0" t="str">
        <f aca="false">IF(OR(AND($B$9="superior",D2680&gt;$B$10),AND($B$9="inferior",D2680&lt;-$B$10)),"Rechazar H0","No rechazar H0")</f>
        <v>Rechazar H0</v>
      </c>
      <c r="F2680" s="0" t="str">
        <f aca="false">IF(AND(B2680="H0 verdadera",E2680="Rechazar H0"),"Error tipo I",IF(AND(B2680="Ha verdadera",E2680="No rechazar H0"),"Error tipo II","Decisión correcta"))</f>
        <v>Decisión correcta</v>
      </c>
    </row>
    <row r="2681" customFormat="false" ht="15" hidden="false" customHeight="false" outlineLevel="0" collapsed="false">
      <c r="A2681" s="0" t="n">
        <v>2660</v>
      </c>
      <c r="B2681" s="0" t="s">
        <v>86</v>
      </c>
      <c r="C2681" s="17" t="n">
        <v>-0.384834886352736</v>
      </c>
      <c r="D2681" s="17" t="n">
        <f aca="false">(C2681-$B$4)/($B$6/SQRT($B$7))</f>
        <v>-1.92417443176368</v>
      </c>
      <c r="E2681" s="0" t="str">
        <f aca="false">IF(OR(AND($B$9="superior",D2681&gt;$B$10),AND($B$9="inferior",D2681&lt;-$B$10)),"Rechazar H0","No rechazar H0")</f>
        <v>Rechazar H0</v>
      </c>
      <c r="F2681" s="0" t="str">
        <f aca="false">IF(AND(B2681="H0 verdadera",E2681="Rechazar H0"),"Error tipo I",IF(AND(B2681="Ha verdadera",E2681="No rechazar H0"),"Error tipo II","Decisión correcta"))</f>
        <v>Decisión correcta</v>
      </c>
    </row>
    <row r="2682" customFormat="false" ht="15" hidden="false" customHeight="false" outlineLevel="0" collapsed="false">
      <c r="A2682" s="0" t="n">
        <v>2661</v>
      </c>
      <c r="B2682" s="0" t="s">
        <v>86</v>
      </c>
      <c r="C2682" s="17" t="n">
        <v>-0.120220232936181</v>
      </c>
      <c r="D2682" s="17" t="n">
        <f aca="false">(C2682-$B$4)/($B$6/SQRT($B$7))</f>
        <v>-0.601101164680904</v>
      </c>
      <c r="E2682" s="0" t="str">
        <f aca="false">IF(OR(AND($B$9="superior",D2682&gt;$B$10),AND($B$9="inferior",D2682&lt;-$B$10)),"Rechazar H0","No rechazar H0")</f>
        <v>No rechazar H0</v>
      </c>
      <c r="F2682" s="0" t="str">
        <f aca="false">IF(AND(B2682="H0 verdadera",E2682="Rechazar H0"),"Error tipo I",IF(AND(B2682="Ha verdadera",E2682="No rechazar H0"),"Error tipo II","Decisión correcta"))</f>
        <v>Error tipo II</v>
      </c>
    </row>
    <row r="2683" customFormat="false" ht="15" hidden="false" customHeight="false" outlineLevel="0" collapsed="false">
      <c r="A2683" s="0" t="n">
        <v>2662</v>
      </c>
      <c r="B2683" s="0" t="s">
        <v>85</v>
      </c>
      <c r="C2683" s="17" t="n">
        <v>0.229497413792337</v>
      </c>
      <c r="D2683" s="17" t="n">
        <f aca="false">(C2683-$B$4)/($B$6/SQRT($B$7))</f>
        <v>1.14748706896168</v>
      </c>
      <c r="E2683" s="0" t="str">
        <f aca="false">IF(OR(AND($B$9="superior",D2683&gt;$B$10),AND($B$9="inferior",D2683&lt;-$B$10)),"Rechazar H0","No rechazar H0")</f>
        <v>No rechazar H0</v>
      </c>
      <c r="F2683" s="0" t="str">
        <f aca="false">IF(AND(B2683="H0 verdadera",E2683="Rechazar H0"),"Error tipo I",IF(AND(B2683="Ha verdadera",E2683="No rechazar H0"),"Error tipo II","Decisión correcta"))</f>
        <v>Decisión correcta</v>
      </c>
    </row>
    <row r="2684" customFormat="false" ht="15" hidden="false" customHeight="false" outlineLevel="0" collapsed="false">
      <c r="A2684" s="0" t="n">
        <v>2663</v>
      </c>
      <c r="B2684" s="0" t="s">
        <v>85</v>
      </c>
      <c r="C2684" s="17" t="n">
        <v>-0.468996865097394</v>
      </c>
      <c r="D2684" s="17" t="n">
        <f aca="false">(C2684-$B$4)/($B$6/SQRT($B$7))</f>
        <v>-2.34498432548697</v>
      </c>
      <c r="E2684" s="0" t="str">
        <f aca="false">IF(OR(AND($B$9="superior",D2684&gt;$B$10),AND($B$9="inferior",D2684&lt;-$B$10)),"Rechazar H0","No rechazar H0")</f>
        <v>Rechazar H0</v>
      </c>
      <c r="F2684" s="0" t="str">
        <f aca="false">IF(AND(B2684="H0 verdadera",E2684="Rechazar H0"),"Error tipo I",IF(AND(B2684="Ha verdadera",E2684="No rechazar H0"),"Error tipo II","Decisión correcta"))</f>
        <v>Error tipo I</v>
      </c>
    </row>
    <row r="2685" customFormat="false" ht="15" hidden="false" customHeight="false" outlineLevel="0" collapsed="false">
      <c r="A2685" s="0" t="n">
        <v>2664</v>
      </c>
      <c r="B2685" s="0" t="s">
        <v>85</v>
      </c>
      <c r="C2685" s="17" t="n">
        <v>0.0342007263393636</v>
      </c>
      <c r="D2685" s="17" t="n">
        <f aca="false">(C2685-$B$4)/($B$6/SQRT($B$7))</f>
        <v>0.171003631696818</v>
      </c>
      <c r="E2685" s="0" t="str">
        <f aca="false">IF(OR(AND($B$9="superior",D2685&gt;$B$10),AND($B$9="inferior",D2685&lt;-$B$10)),"Rechazar H0","No rechazar H0")</f>
        <v>No rechazar H0</v>
      </c>
      <c r="F2685" s="0" t="str">
        <f aca="false">IF(AND(B2685="H0 verdadera",E2685="Rechazar H0"),"Error tipo I",IF(AND(B2685="Ha verdadera",E2685="No rechazar H0"),"Error tipo II","Decisión correcta"))</f>
        <v>Decisión correcta</v>
      </c>
    </row>
    <row r="2686" customFormat="false" ht="15" hidden="false" customHeight="false" outlineLevel="0" collapsed="false">
      <c r="A2686" s="0" t="n">
        <v>2665</v>
      </c>
      <c r="B2686" s="0" t="s">
        <v>86</v>
      </c>
      <c r="C2686" s="17" t="n">
        <v>-0.309069805097477</v>
      </c>
      <c r="D2686" s="17" t="n">
        <f aca="false">(C2686-$B$4)/($B$6/SQRT($B$7))</f>
        <v>-1.54534902548738</v>
      </c>
      <c r="E2686" s="0" t="str">
        <f aca="false">IF(OR(AND($B$9="superior",D2686&gt;$B$10),AND($B$9="inferior",D2686&lt;-$B$10)),"Rechazar H0","No rechazar H0")</f>
        <v>No rechazar H0</v>
      </c>
      <c r="F2686" s="0" t="str">
        <f aca="false">IF(AND(B2686="H0 verdadera",E2686="Rechazar H0"),"Error tipo I",IF(AND(B2686="Ha verdadera",E2686="No rechazar H0"),"Error tipo II","Decisión correcta"))</f>
        <v>Error tipo II</v>
      </c>
    </row>
    <row r="2687" customFormat="false" ht="15" hidden="false" customHeight="false" outlineLevel="0" collapsed="false">
      <c r="A2687" s="0" t="n">
        <v>2666</v>
      </c>
      <c r="B2687" s="0" t="s">
        <v>85</v>
      </c>
      <c r="C2687" s="17" t="n">
        <v>-0.397777174616353</v>
      </c>
      <c r="D2687" s="17" t="n">
        <f aca="false">(C2687-$B$4)/($B$6/SQRT($B$7))</f>
        <v>-1.98888587308176</v>
      </c>
      <c r="E2687" s="0" t="str">
        <f aca="false">IF(OR(AND($B$9="superior",D2687&gt;$B$10),AND($B$9="inferior",D2687&lt;-$B$10)),"Rechazar H0","No rechazar H0")</f>
        <v>Rechazar H0</v>
      </c>
      <c r="F2687" s="0" t="str">
        <f aca="false">IF(AND(B2687="H0 verdadera",E2687="Rechazar H0"),"Error tipo I",IF(AND(B2687="Ha verdadera",E2687="No rechazar H0"),"Error tipo II","Decisión correcta"))</f>
        <v>Error tipo I</v>
      </c>
    </row>
    <row r="2688" customFormat="false" ht="15" hidden="false" customHeight="false" outlineLevel="0" collapsed="false">
      <c r="A2688" s="0" t="n">
        <v>2667</v>
      </c>
      <c r="B2688" s="0" t="s">
        <v>85</v>
      </c>
      <c r="C2688" s="17" t="n">
        <v>-0.523165294055477</v>
      </c>
      <c r="D2688" s="17" t="n">
        <f aca="false">(C2688-$B$4)/($B$6/SQRT($B$7))</f>
        <v>-2.61582647027738</v>
      </c>
      <c r="E2688" s="0" t="str">
        <f aca="false">IF(OR(AND($B$9="superior",D2688&gt;$B$10),AND($B$9="inferior",D2688&lt;-$B$10)),"Rechazar H0","No rechazar H0")</f>
        <v>Rechazar H0</v>
      </c>
      <c r="F2688" s="0" t="str">
        <f aca="false">IF(AND(B2688="H0 verdadera",E2688="Rechazar H0"),"Error tipo I",IF(AND(B2688="Ha verdadera",E2688="No rechazar H0"),"Error tipo II","Decisión correcta"))</f>
        <v>Error tipo I</v>
      </c>
    </row>
    <row r="2689" customFormat="false" ht="15" hidden="false" customHeight="false" outlineLevel="0" collapsed="false">
      <c r="A2689" s="0" t="n">
        <v>2668</v>
      </c>
      <c r="B2689" s="0" t="s">
        <v>86</v>
      </c>
      <c r="C2689" s="17" t="n">
        <v>-0.0331681132636446</v>
      </c>
      <c r="D2689" s="17" t="n">
        <f aca="false">(C2689-$B$4)/($B$6/SQRT($B$7))</f>
        <v>-0.165840566318223</v>
      </c>
      <c r="E2689" s="0" t="str">
        <f aca="false">IF(OR(AND($B$9="superior",D2689&gt;$B$10),AND($B$9="inferior",D2689&lt;-$B$10)),"Rechazar H0","No rechazar H0")</f>
        <v>No rechazar H0</v>
      </c>
      <c r="F2689" s="0" t="str">
        <f aca="false">IF(AND(B2689="H0 verdadera",E2689="Rechazar H0"),"Error tipo I",IF(AND(B2689="Ha verdadera",E2689="No rechazar H0"),"Error tipo II","Decisión correcta"))</f>
        <v>Error tipo II</v>
      </c>
    </row>
    <row r="2690" customFormat="false" ht="15" hidden="false" customHeight="false" outlineLevel="0" collapsed="false">
      <c r="A2690" s="0" t="n">
        <v>2669</v>
      </c>
      <c r="B2690" s="0" t="s">
        <v>85</v>
      </c>
      <c r="C2690" s="17" t="n">
        <v>-0.120442171595025</v>
      </c>
      <c r="D2690" s="17" t="n">
        <f aca="false">(C2690-$B$4)/($B$6/SQRT($B$7))</f>
        <v>-0.602210857975123</v>
      </c>
      <c r="E2690" s="0" t="str">
        <f aca="false">IF(OR(AND($B$9="superior",D2690&gt;$B$10),AND($B$9="inferior",D2690&lt;-$B$10)),"Rechazar H0","No rechazar H0")</f>
        <v>No rechazar H0</v>
      </c>
      <c r="F2690" s="0" t="str">
        <f aca="false">IF(AND(B2690="H0 verdadera",E2690="Rechazar H0"),"Error tipo I",IF(AND(B2690="Ha verdadera",E2690="No rechazar H0"),"Error tipo II","Decisión correcta"))</f>
        <v>Decisión correcta</v>
      </c>
    </row>
    <row r="2691" customFormat="false" ht="15" hidden="false" customHeight="false" outlineLevel="0" collapsed="false">
      <c r="A2691" s="0" t="n">
        <v>2670</v>
      </c>
      <c r="B2691" s="0" t="s">
        <v>85</v>
      </c>
      <c r="C2691" s="17" t="n">
        <v>0.317164967745702</v>
      </c>
      <c r="D2691" s="17" t="n">
        <f aca="false">(C2691-$B$4)/($B$6/SQRT($B$7))</f>
        <v>1.58582483872851</v>
      </c>
      <c r="E2691" s="0" t="str">
        <f aca="false">IF(OR(AND($B$9="superior",D2691&gt;$B$10),AND($B$9="inferior",D2691&lt;-$B$10)),"Rechazar H0","No rechazar H0")</f>
        <v>No rechazar H0</v>
      </c>
      <c r="F2691" s="0" t="str">
        <f aca="false">IF(AND(B2691="H0 verdadera",E2691="Rechazar H0"),"Error tipo I",IF(AND(B2691="Ha verdadera",E2691="No rechazar H0"),"Error tipo II","Decisión correcta"))</f>
        <v>Decisión correcta</v>
      </c>
    </row>
    <row r="2692" customFormat="false" ht="15" hidden="false" customHeight="false" outlineLevel="0" collapsed="false">
      <c r="A2692" s="0" t="n">
        <v>2671</v>
      </c>
      <c r="B2692" s="0" t="s">
        <v>85</v>
      </c>
      <c r="C2692" s="17" t="n">
        <v>0.134485549009833</v>
      </c>
      <c r="D2692" s="17" t="n">
        <f aca="false">(C2692-$B$4)/($B$6/SQRT($B$7))</f>
        <v>0.672427745049167</v>
      </c>
      <c r="E2692" s="0" t="str">
        <f aca="false">IF(OR(AND($B$9="superior",D2692&gt;$B$10),AND($B$9="inferior",D2692&lt;-$B$10)),"Rechazar H0","No rechazar H0")</f>
        <v>No rechazar H0</v>
      </c>
      <c r="F2692" s="0" t="str">
        <f aca="false">IF(AND(B2692="H0 verdadera",E2692="Rechazar H0"),"Error tipo I",IF(AND(B2692="Ha verdadera",E2692="No rechazar H0"),"Error tipo II","Decisión correcta"))</f>
        <v>Decisión correcta</v>
      </c>
    </row>
    <row r="2693" customFormat="false" ht="15" hidden="false" customHeight="false" outlineLevel="0" collapsed="false">
      <c r="A2693" s="0" t="n">
        <v>2672</v>
      </c>
      <c r="B2693" s="0" t="s">
        <v>86</v>
      </c>
      <c r="C2693" s="17" t="n">
        <v>-0.639435919194205</v>
      </c>
      <c r="D2693" s="17" t="n">
        <f aca="false">(C2693-$B$4)/($B$6/SQRT($B$7))</f>
        <v>-3.19717959597103</v>
      </c>
      <c r="E2693" s="0" t="str">
        <f aca="false">IF(OR(AND($B$9="superior",D2693&gt;$B$10),AND($B$9="inferior",D2693&lt;-$B$10)),"Rechazar H0","No rechazar H0")</f>
        <v>Rechazar H0</v>
      </c>
      <c r="F2693" s="0" t="str">
        <f aca="false">IF(AND(B2693="H0 verdadera",E2693="Rechazar H0"),"Error tipo I",IF(AND(B2693="Ha verdadera",E2693="No rechazar H0"),"Error tipo II","Decisión correcta"))</f>
        <v>Decisión correcta</v>
      </c>
    </row>
    <row r="2694" customFormat="false" ht="15" hidden="false" customHeight="false" outlineLevel="0" collapsed="false">
      <c r="A2694" s="0" t="n">
        <v>2673</v>
      </c>
      <c r="B2694" s="0" t="s">
        <v>86</v>
      </c>
      <c r="C2694" s="17" t="n">
        <v>-0.186094876769173</v>
      </c>
      <c r="D2694" s="17" t="n">
        <f aca="false">(C2694-$B$4)/($B$6/SQRT($B$7))</f>
        <v>-0.930474383845864</v>
      </c>
      <c r="E2694" s="0" t="str">
        <f aca="false">IF(OR(AND($B$9="superior",D2694&gt;$B$10),AND($B$9="inferior",D2694&lt;-$B$10)),"Rechazar H0","No rechazar H0")</f>
        <v>No rechazar H0</v>
      </c>
      <c r="F2694" s="0" t="str">
        <f aca="false">IF(AND(B2694="H0 verdadera",E2694="Rechazar H0"),"Error tipo I",IF(AND(B2694="Ha verdadera",E2694="No rechazar H0"),"Error tipo II","Decisión correcta"))</f>
        <v>Error tipo II</v>
      </c>
    </row>
    <row r="2695" customFormat="false" ht="15" hidden="false" customHeight="false" outlineLevel="0" collapsed="false">
      <c r="A2695" s="0" t="n">
        <v>2674</v>
      </c>
      <c r="B2695" s="0" t="s">
        <v>86</v>
      </c>
      <c r="C2695" s="17" t="n">
        <v>-0.131032651971707</v>
      </c>
      <c r="D2695" s="17" t="n">
        <f aca="false">(C2695-$B$4)/($B$6/SQRT($B$7))</f>
        <v>-0.655163259858537</v>
      </c>
      <c r="E2695" s="0" t="str">
        <f aca="false">IF(OR(AND($B$9="superior",D2695&gt;$B$10),AND($B$9="inferior",D2695&lt;-$B$10)),"Rechazar H0","No rechazar H0")</f>
        <v>No rechazar H0</v>
      </c>
      <c r="F2695" s="0" t="str">
        <f aca="false">IF(AND(B2695="H0 verdadera",E2695="Rechazar H0"),"Error tipo I",IF(AND(B2695="Ha verdadera",E2695="No rechazar H0"),"Error tipo II","Decisión correcta"))</f>
        <v>Error tipo II</v>
      </c>
    </row>
    <row r="2696" customFormat="false" ht="15" hidden="false" customHeight="false" outlineLevel="0" collapsed="false">
      <c r="A2696" s="0" t="n">
        <v>2675</v>
      </c>
      <c r="B2696" s="0" t="s">
        <v>85</v>
      </c>
      <c r="C2696" s="17" t="n">
        <v>-0.13701683665677</v>
      </c>
      <c r="D2696" s="17" t="n">
        <f aca="false">(C2696-$B$4)/($B$6/SQRT($B$7))</f>
        <v>-0.68508418328385</v>
      </c>
      <c r="E2696" s="0" t="str">
        <f aca="false">IF(OR(AND($B$9="superior",D2696&gt;$B$10),AND($B$9="inferior",D2696&lt;-$B$10)),"Rechazar H0","No rechazar H0")</f>
        <v>No rechazar H0</v>
      </c>
      <c r="F2696" s="0" t="str">
        <f aca="false">IF(AND(B2696="H0 verdadera",E2696="Rechazar H0"),"Error tipo I",IF(AND(B2696="Ha verdadera",E2696="No rechazar H0"),"Error tipo II","Decisión correcta"))</f>
        <v>Decisión correcta</v>
      </c>
    </row>
    <row r="2697" customFormat="false" ht="15" hidden="false" customHeight="false" outlineLevel="0" collapsed="false">
      <c r="A2697" s="0" t="n">
        <v>2676</v>
      </c>
      <c r="B2697" s="0" t="s">
        <v>86</v>
      </c>
      <c r="C2697" s="17" t="n">
        <v>-0.393288359374653</v>
      </c>
      <c r="D2697" s="17" t="n">
        <f aca="false">(C2697-$B$4)/($B$6/SQRT($B$7))</f>
        <v>-1.96644179687326</v>
      </c>
      <c r="E2697" s="0" t="str">
        <f aca="false">IF(OR(AND($B$9="superior",D2697&gt;$B$10),AND($B$9="inferior",D2697&lt;-$B$10)),"Rechazar H0","No rechazar H0")</f>
        <v>Rechazar H0</v>
      </c>
      <c r="F2697" s="0" t="str">
        <f aca="false">IF(AND(B2697="H0 verdadera",E2697="Rechazar H0"),"Error tipo I",IF(AND(B2697="Ha verdadera",E2697="No rechazar H0"),"Error tipo II","Decisión correcta"))</f>
        <v>Decisión correcta</v>
      </c>
    </row>
    <row r="2698" customFormat="false" ht="15" hidden="false" customHeight="false" outlineLevel="0" collapsed="false">
      <c r="A2698" s="0" t="n">
        <v>2677</v>
      </c>
      <c r="B2698" s="0" t="s">
        <v>85</v>
      </c>
      <c r="C2698" s="17" t="n">
        <v>-0.286386662321954</v>
      </c>
      <c r="D2698" s="17" t="n">
        <f aca="false">(C2698-$B$4)/($B$6/SQRT($B$7))</f>
        <v>-1.43193331160977</v>
      </c>
      <c r="E2698" s="0" t="str">
        <f aca="false">IF(OR(AND($B$9="superior",D2698&gt;$B$10),AND($B$9="inferior",D2698&lt;-$B$10)),"Rechazar H0","No rechazar H0")</f>
        <v>No rechazar H0</v>
      </c>
      <c r="F2698" s="0" t="str">
        <f aca="false">IF(AND(B2698="H0 verdadera",E2698="Rechazar H0"),"Error tipo I",IF(AND(B2698="Ha verdadera",E2698="No rechazar H0"),"Error tipo II","Decisión correcta"))</f>
        <v>Decisión correcta</v>
      </c>
    </row>
    <row r="2699" customFormat="false" ht="15" hidden="false" customHeight="false" outlineLevel="0" collapsed="false">
      <c r="A2699" s="0" t="n">
        <v>2678</v>
      </c>
      <c r="B2699" s="0" t="s">
        <v>85</v>
      </c>
      <c r="C2699" s="17" t="n">
        <v>-0.0335235350445159</v>
      </c>
      <c r="D2699" s="17" t="n">
        <f aca="false">(C2699-$B$4)/($B$6/SQRT($B$7))</f>
        <v>-0.167617675222579</v>
      </c>
      <c r="E2699" s="0" t="str">
        <f aca="false">IF(OR(AND($B$9="superior",D2699&gt;$B$10),AND($B$9="inferior",D2699&lt;-$B$10)),"Rechazar H0","No rechazar H0")</f>
        <v>No rechazar H0</v>
      </c>
      <c r="F2699" s="0" t="str">
        <f aca="false">IF(AND(B2699="H0 verdadera",E2699="Rechazar H0"),"Error tipo I",IF(AND(B2699="Ha verdadera",E2699="No rechazar H0"),"Error tipo II","Decisión correcta"))</f>
        <v>Decisión correcta</v>
      </c>
    </row>
    <row r="2700" customFormat="false" ht="15" hidden="false" customHeight="false" outlineLevel="0" collapsed="false">
      <c r="A2700" s="0" t="n">
        <v>2679</v>
      </c>
      <c r="B2700" s="0" t="s">
        <v>86</v>
      </c>
      <c r="C2700" s="17" t="n">
        <v>-0.45180223692869</v>
      </c>
      <c r="D2700" s="17" t="n">
        <f aca="false">(C2700-$B$4)/($B$6/SQRT($B$7))</f>
        <v>-2.25901118464345</v>
      </c>
      <c r="E2700" s="0" t="str">
        <f aca="false">IF(OR(AND($B$9="superior",D2700&gt;$B$10),AND($B$9="inferior",D2700&lt;-$B$10)),"Rechazar H0","No rechazar H0")</f>
        <v>Rechazar H0</v>
      </c>
      <c r="F2700" s="0" t="str">
        <f aca="false">IF(AND(B2700="H0 verdadera",E2700="Rechazar H0"),"Error tipo I",IF(AND(B2700="Ha verdadera",E2700="No rechazar H0"),"Error tipo II","Decisión correcta"))</f>
        <v>Decisión correcta</v>
      </c>
    </row>
    <row r="2701" customFormat="false" ht="15" hidden="false" customHeight="false" outlineLevel="0" collapsed="false">
      <c r="A2701" s="0" t="n">
        <v>2680</v>
      </c>
      <c r="B2701" s="0" t="s">
        <v>86</v>
      </c>
      <c r="C2701" s="17" t="n">
        <v>-0.0795235182917696</v>
      </c>
      <c r="D2701" s="17" t="n">
        <f aca="false">(C2701-$B$4)/($B$6/SQRT($B$7))</f>
        <v>-0.397617591458848</v>
      </c>
      <c r="E2701" s="0" t="str">
        <f aca="false">IF(OR(AND($B$9="superior",D2701&gt;$B$10),AND($B$9="inferior",D2701&lt;-$B$10)),"Rechazar H0","No rechazar H0")</f>
        <v>No rechazar H0</v>
      </c>
      <c r="F2701" s="0" t="str">
        <f aca="false">IF(AND(B2701="H0 verdadera",E2701="Rechazar H0"),"Error tipo I",IF(AND(B2701="Ha verdadera",E2701="No rechazar H0"),"Error tipo II","Decisión correcta"))</f>
        <v>Error tipo II</v>
      </c>
    </row>
    <row r="2702" customFormat="false" ht="15" hidden="false" customHeight="false" outlineLevel="0" collapsed="false">
      <c r="A2702" s="0" t="n">
        <v>2681</v>
      </c>
      <c r="B2702" s="0" t="s">
        <v>85</v>
      </c>
      <c r="C2702" s="17" t="n">
        <v>-0.0942152895217918</v>
      </c>
      <c r="D2702" s="17" t="n">
        <f aca="false">(C2702-$B$4)/($B$6/SQRT($B$7))</f>
        <v>-0.471076447608959</v>
      </c>
      <c r="E2702" s="0" t="str">
        <f aca="false">IF(OR(AND($B$9="superior",D2702&gt;$B$10),AND($B$9="inferior",D2702&lt;-$B$10)),"Rechazar H0","No rechazar H0")</f>
        <v>No rechazar H0</v>
      </c>
      <c r="F2702" s="0" t="str">
        <f aca="false">IF(AND(B2702="H0 verdadera",E2702="Rechazar H0"),"Error tipo I",IF(AND(B2702="Ha verdadera",E2702="No rechazar H0"),"Error tipo II","Decisión correcta"))</f>
        <v>Decisión correcta</v>
      </c>
    </row>
    <row r="2703" customFormat="false" ht="15" hidden="false" customHeight="false" outlineLevel="0" collapsed="false">
      <c r="A2703" s="0" t="n">
        <v>2682</v>
      </c>
      <c r="B2703" s="0" t="s">
        <v>85</v>
      </c>
      <c r="C2703" s="17" t="n">
        <v>0.194314884392807</v>
      </c>
      <c r="D2703" s="17" t="n">
        <f aca="false">(C2703-$B$4)/($B$6/SQRT($B$7))</f>
        <v>0.971574421964037</v>
      </c>
      <c r="E2703" s="0" t="str">
        <f aca="false">IF(OR(AND($B$9="superior",D2703&gt;$B$10),AND($B$9="inferior",D2703&lt;-$B$10)),"Rechazar H0","No rechazar H0")</f>
        <v>No rechazar H0</v>
      </c>
      <c r="F2703" s="0" t="str">
        <f aca="false">IF(AND(B2703="H0 verdadera",E2703="Rechazar H0"),"Error tipo I",IF(AND(B2703="Ha verdadera",E2703="No rechazar H0"),"Error tipo II","Decisión correcta"))</f>
        <v>Decisión correcta</v>
      </c>
    </row>
    <row r="2704" customFormat="false" ht="15" hidden="false" customHeight="false" outlineLevel="0" collapsed="false">
      <c r="A2704" s="0" t="n">
        <v>2683</v>
      </c>
      <c r="B2704" s="0" t="s">
        <v>85</v>
      </c>
      <c r="C2704" s="17" t="n">
        <v>-0.270457448597687</v>
      </c>
      <c r="D2704" s="17" t="n">
        <f aca="false">(C2704-$B$4)/($B$6/SQRT($B$7))</f>
        <v>-1.35228724298844</v>
      </c>
      <c r="E2704" s="0" t="str">
        <f aca="false">IF(OR(AND($B$9="superior",D2704&gt;$B$10),AND($B$9="inferior",D2704&lt;-$B$10)),"Rechazar H0","No rechazar H0")</f>
        <v>No rechazar H0</v>
      </c>
      <c r="F2704" s="0" t="str">
        <f aca="false">IF(AND(B2704="H0 verdadera",E2704="Rechazar H0"),"Error tipo I",IF(AND(B2704="Ha verdadera",E2704="No rechazar H0"),"Error tipo II","Decisión correcta"))</f>
        <v>Decisión correcta</v>
      </c>
    </row>
    <row r="2705" customFormat="false" ht="15" hidden="false" customHeight="false" outlineLevel="0" collapsed="false">
      <c r="A2705" s="0" t="n">
        <v>2684</v>
      </c>
      <c r="B2705" s="0" t="s">
        <v>86</v>
      </c>
      <c r="C2705" s="17" t="n">
        <v>-0.329069422432147</v>
      </c>
      <c r="D2705" s="17" t="n">
        <f aca="false">(C2705-$B$4)/($B$6/SQRT($B$7))</f>
        <v>-1.64534711216073</v>
      </c>
      <c r="E2705" s="0" t="str">
        <f aca="false">IF(OR(AND($B$9="superior",D2705&gt;$B$10),AND($B$9="inferior",D2705&lt;-$B$10)),"Rechazar H0","No rechazar H0")</f>
        <v>Rechazar H0</v>
      </c>
      <c r="F2705" s="0" t="str">
        <f aca="false">IF(AND(B2705="H0 verdadera",E2705="Rechazar H0"),"Error tipo I",IF(AND(B2705="Ha verdadera",E2705="No rechazar H0"),"Error tipo II","Decisión correcta"))</f>
        <v>Decisión correcta</v>
      </c>
    </row>
    <row r="2706" customFormat="false" ht="15" hidden="false" customHeight="false" outlineLevel="0" collapsed="false">
      <c r="A2706" s="0" t="n">
        <v>2685</v>
      </c>
      <c r="B2706" s="0" t="s">
        <v>86</v>
      </c>
      <c r="C2706" s="17" t="n">
        <v>-0.699523782655054</v>
      </c>
      <c r="D2706" s="17" t="n">
        <f aca="false">(C2706-$B$4)/($B$6/SQRT($B$7))</f>
        <v>-3.49761891327527</v>
      </c>
      <c r="E2706" s="0" t="str">
        <f aca="false">IF(OR(AND($B$9="superior",D2706&gt;$B$10),AND($B$9="inferior",D2706&lt;-$B$10)),"Rechazar H0","No rechazar H0")</f>
        <v>Rechazar H0</v>
      </c>
      <c r="F2706" s="0" t="str">
        <f aca="false">IF(AND(B2706="H0 verdadera",E2706="Rechazar H0"),"Error tipo I",IF(AND(B2706="Ha verdadera",E2706="No rechazar H0"),"Error tipo II","Decisión correcta"))</f>
        <v>Decisión correcta</v>
      </c>
    </row>
    <row r="2707" customFormat="false" ht="15" hidden="false" customHeight="false" outlineLevel="0" collapsed="false">
      <c r="A2707" s="0" t="n">
        <v>2686</v>
      </c>
      <c r="B2707" s="0" t="s">
        <v>86</v>
      </c>
      <c r="C2707" s="17" t="n">
        <v>-0.459903649898267</v>
      </c>
      <c r="D2707" s="17" t="n">
        <f aca="false">(C2707-$B$4)/($B$6/SQRT($B$7))</f>
        <v>-2.29951824949133</v>
      </c>
      <c r="E2707" s="0" t="str">
        <f aca="false">IF(OR(AND($B$9="superior",D2707&gt;$B$10),AND($B$9="inferior",D2707&lt;-$B$10)),"Rechazar H0","No rechazar H0")</f>
        <v>Rechazar H0</v>
      </c>
      <c r="F2707" s="0" t="str">
        <f aca="false">IF(AND(B2707="H0 verdadera",E2707="Rechazar H0"),"Error tipo I",IF(AND(B2707="Ha verdadera",E2707="No rechazar H0"),"Error tipo II","Decisión correcta"))</f>
        <v>Decisión correcta</v>
      </c>
    </row>
    <row r="2708" customFormat="false" ht="15" hidden="false" customHeight="false" outlineLevel="0" collapsed="false">
      <c r="A2708" s="0" t="n">
        <v>2687</v>
      </c>
      <c r="B2708" s="0" t="s">
        <v>86</v>
      </c>
      <c r="C2708" s="17" t="n">
        <v>-0.265042959155076</v>
      </c>
      <c r="D2708" s="17" t="n">
        <f aca="false">(C2708-$B$4)/($B$6/SQRT($B$7))</f>
        <v>-1.32521479577538</v>
      </c>
      <c r="E2708" s="0" t="str">
        <f aca="false">IF(OR(AND($B$9="superior",D2708&gt;$B$10),AND($B$9="inferior",D2708&lt;-$B$10)),"Rechazar H0","No rechazar H0")</f>
        <v>No rechazar H0</v>
      </c>
      <c r="F2708" s="0" t="str">
        <f aca="false">IF(AND(B2708="H0 verdadera",E2708="Rechazar H0"),"Error tipo I",IF(AND(B2708="Ha verdadera",E2708="No rechazar H0"),"Error tipo II","Decisión correcta"))</f>
        <v>Error tipo II</v>
      </c>
    </row>
    <row r="2709" customFormat="false" ht="15" hidden="false" customHeight="false" outlineLevel="0" collapsed="false">
      <c r="A2709" s="0" t="n">
        <v>2688</v>
      </c>
      <c r="B2709" s="0" t="s">
        <v>86</v>
      </c>
      <c r="C2709" s="17" t="n">
        <v>-0.269002972384552</v>
      </c>
      <c r="D2709" s="17" t="n">
        <f aca="false">(C2709-$B$4)/($B$6/SQRT($B$7))</f>
        <v>-1.34501486192276</v>
      </c>
      <c r="E2709" s="0" t="str">
        <f aca="false">IF(OR(AND($B$9="superior",D2709&gt;$B$10),AND($B$9="inferior",D2709&lt;-$B$10)),"Rechazar H0","No rechazar H0")</f>
        <v>No rechazar H0</v>
      </c>
      <c r="F2709" s="0" t="str">
        <f aca="false">IF(AND(B2709="H0 verdadera",E2709="Rechazar H0"),"Error tipo I",IF(AND(B2709="Ha verdadera",E2709="No rechazar H0"),"Error tipo II","Decisión correcta"))</f>
        <v>Error tipo II</v>
      </c>
    </row>
    <row r="2710" customFormat="false" ht="15" hidden="false" customHeight="false" outlineLevel="0" collapsed="false">
      <c r="A2710" s="0" t="n">
        <v>2689</v>
      </c>
      <c r="B2710" s="0" t="s">
        <v>86</v>
      </c>
      <c r="C2710" s="17" t="n">
        <v>-0.305546397796683</v>
      </c>
      <c r="D2710" s="17" t="n">
        <f aca="false">(C2710-$B$4)/($B$6/SQRT($B$7))</f>
        <v>-1.52773198898341</v>
      </c>
      <c r="E2710" s="0" t="str">
        <f aca="false">IF(OR(AND($B$9="superior",D2710&gt;$B$10),AND($B$9="inferior",D2710&lt;-$B$10)),"Rechazar H0","No rechazar H0")</f>
        <v>No rechazar H0</v>
      </c>
      <c r="F2710" s="0" t="str">
        <f aca="false">IF(AND(B2710="H0 verdadera",E2710="Rechazar H0"),"Error tipo I",IF(AND(B2710="Ha verdadera",E2710="No rechazar H0"),"Error tipo II","Decisión correcta"))</f>
        <v>Error tipo II</v>
      </c>
    </row>
    <row r="2711" customFormat="false" ht="15" hidden="false" customHeight="false" outlineLevel="0" collapsed="false">
      <c r="A2711" s="0" t="n">
        <v>2690</v>
      </c>
      <c r="B2711" s="0" t="s">
        <v>85</v>
      </c>
      <c r="C2711" s="17" t="n">
        <v>-0.157899211481851</v>
      </c>
      <c r="D2711" s="17" t="n">
        <f aca="false">(C2711-$B$4)/($B$6/SQRT($B$7))</f>
        <v>-0.789496057409255</v>
      </c>
      <c r="E2711" s="0" t="str">
        <f aca="false">IF(OR(AND($B$9="superior",D2711&gt;$B$10),AND($B$9="inferior",D2711&lt;-$B$10)),"Rechazar H0","No rechazar H0")</f>
        <v>No rechazar H0</v>
      </c>
      <c r="F2711" s="0" t="str">
        <f aca="false">IF(AND(B2711="H0 verdadera",E2711="Rechazar H0"),"Error tipo I",IF(AND(B2711="Ha verdadera",E2711="No rechazar H0"),"Error tipo II","Decisión correcta"))</f>
        <v>Decisión correcta</v>
      </c>
    </row>
    <row r="2712" customFormat="false" ht="15" hidden="false" customHeight="false" outlineLevel="0" collapsed="false">
      <c r="A2712" s="0" t="n">
        <v>2691</v>
      </c>
      <c r="B2712" s="0" t="s">
        <v>85</v>
      </c>
      <c r="C2712" s="17" t="n">
        <v>-0.317337699873898</v>
      </c>
      <c r="D2712" s="17" t="n">
        <f aca="false">(C2712-$B$4)/($B$6/SQRT($B$7))</f>
        <v>-1.58668849936949</v>
      </c>
      <c r="E2712" s="0" t="str">
        <f aca="false">IF(OR(AND($B$9="superior",D2712&gt;$B$10),AND($B$9="inferior",D2712&lt;-$B$10)),"Rechazar H0","No rechazar H0")</f>
        <v>No rechazar H0</v>
      </c>
      <c r="F2712" s="0" t="str">
        <f aca="false">IF(AND(B2712="H0 verdadera",E2712="Rechazar H0"),"Error tipo I",IF(AND(B2712="Ha verdadera",E2712="No rechazar H0"),"Error tipo II","Decisión correcta"))</f>
        <v>Decisión correcta</v>
      </c>
    </row>
    <row r="2713" customFormat="false" ht="15" hidden="false" customHeight="false" outlineLevel="0" collapsed="false">
      <c r="A2713" s="0" t="n">
        <v>2692</v>
      </c>
      <c r="B2713" s="0" t="s">
        <v>85</v>
      </c>
      <c r="C2713" s="17" t="n">
        <v>-0.367140038341037</v>
      </c>
      <c r="D2713" s="17" t="n">
        <f aca="false">(C2713-$B$4)/($B$6/SQRT($B$7))</f>
        <v>-1.83570019170519</v>
      </c>
      <c r="E2713" s="0" t="str">
        <f aca="false">IF(OR(AND($B$9="superior",D2713&gt;$B$10),AND($B$9="inferior",D2713&lt;-$B$10)),"Rechazar H0","No rechazar H0")</f>
        <v>Rechazar H0</v>
      </c>
      <c r="F2713" s="0" t="str">
        <f aca="false">IF(AND(B2713="H0 verdadera",E2713="Rechazar H0"),"Error tipo I",IF(AND(B2713="Ha verdadera",E2713="No rechazar H0"),"Error tipo II","Decisión correcta"))</f>
        <v>Error tipo I</v>
      </c>
    </row>
    <row r="2714" customFormat="false" ht="15" hidden="false" customHeight="false" outlineLevel="0" collapsed="false">
      <c r="A2714" s="0" t="n">
        <v>2693</v>
      </c>
      <c r="B2714" s="0" t="s">
        <v>85</v>
      </c>
      <c r="C2714" s="17" t="n">
        <v>0.250466178267698</v>
      </c>
      <c r="D2714" s="17" t="n">
        <f aca="false">(C2714-$B$4)/($B$6/SQRT($B$7))</f>
        <v>1.25233089133849</v>
      </c>
      <c r="E2714" s="0" t="str">
        <f aca="false">IF(OR(AND($B$9="superior",D2714&gt;$B$10),AND($B$9="inferior",D2714&lt;-$B$10)),"Rechazar H0","No rechazar H0")</f>
        <v>No rechazar H0</v>
      </c>
      <c r="F2714" s="0" t="str">
        <f aca="false">IF(AND(B2714="H0 verdadera",E2714="Rechazar H0"),"Error tipo I",IF(AND(B2714="Ha verdadera",E2714="No rechazar H0"),"Error tipo II","Decisión correcta"))</f>
        <v>Decisión correcta</v>
      </c>
    </row>
    <row r="2715" customFormat="false" ht="15" hidden="false" customHeight="false" outlineLevel="0" collapsed="false">
      <c r="A2715" s="0" t="n">
        <v>2694</v>
      </c>
      <c r="B2715" s="0" t="s">
        <v>86</v>
      </c>
      <c r="C2715" s="17" t="n">
        <v>-0.361214554761811</v>
      </c>
      <c r="D2715" s="17" t="n">
        <f aca="false">(C2715-$B$4)/($B$6/SQRT($B$7))</f>
        <v>-1.80607277380905</v>
      </c>
      <c r="E2715" s="0" t="str">
        <f aca="false">IF(OR(AND($B$9="superior",D2715&gt;$B$10),AND($B$9="inferior",D2715&lt;-$B$10)),"Rechazar H0","No rechazar H0")</f>
        <v>Rechazar H0</v>
      </c>
      <c r="F2715" s="0" t="str">
        <f aca="false">IF(AND(B2715="H0 verdadera",E2715="Rechazar H0"),"Error tipo I",IF(AND(B2715="Ha verdadera",E2715="No rechazar H0"),"Error tipo II","Decisión correcta"))</f>
        <v>Decisión correcta</v>
      </c>
    </row>
    <row r="2716" customFormat="false" ht="15" hidden="false" customHeight="false" outlineLevel="0" collapsed="false">
      <c r="A2716" s="0" t="n">
        <v>2695</v>
      </c>
      <c r="B2716" s="0" t="s">
        <v>86</v>
      </c>
      <c r="C2716" s="17" t="n">
        <v>-0.327471601162499</v>
      </c>
      <c r="D2716" s="17" t="n">
        <f aca="false">(C2716-$B$4)/($B$6/SQRT($B$7))</f>
        <v>-1.63735800581249</v>
      </c>
      <c r="E2716" s="0" t="str">
        <f aca="false">IF(OR(AND($B$9="superior",D2716&gt;$B$10),AND($B$9="inferior",D2716&lt;-$B$10)),"Rechazar H0","No rechazar H0")</f>
        <v>No rechazar H0</v>
      </c>
      <c r="F2716" s="0" t="str">
        <f aca="false">IF(AND(B2716="H0 verdadera",E2716="Rechazar H0"),"Error tipo I",IF(AND(B2716="Ha verdadera",E2716="No rechazar H0"),"Error tipo II","Decisión correcta"))</f>
        <v>Error tipo II</v>
      </c>
    </row>
    <row r="2717" customFormat="false" ht="15" hidden="false" customHeight="false" outlineLevel="0" collapsed="false">
      <c r="A2717" s="0" t="n">
        <v>2696</v>
      </c>
      <c r="B2717" s="0" t="s">
        <v>86</v>
      </c>
      <c r="C2717" s="17" t="n">
        <v>-0.801442682802429</v>
      </c>
      <c r="D2717" s="17" t="n">
        <f aca="false">(C2717-$B$4)/($B$6/SQRT($B$7))</f>
        <v>-4.00721341401215</v>
      </c>
      <c r="E2717" s="0" t="str">
        <f aca="false">IF(OR(AND($B$9="superior",D2717&gt;$B$10),AND($B$9="inferior",D2717&lt;-$B$10)),"Rechazar H0","No rechazar H0")</f>
        <v>Rechazar H0</v>
      </c>
      <c r="F2717" s="0" t="str">
        <f aca="false">IF(AND(B2717="H0 verdadera",E2717="Rechazar H0"),"Error tipo I",IF(AND(B2717="Ha verdadera",E2717="No rechazar H0"),"Error tipo II","Decisión correcta"))</f>
        <v>Decisión correcta</v>
      </c>
    </row>
    <row r="2718" customFormat="false" ht="15" hidden="false" customHeight="false" outlineLevel="0" collapsed="false">
      <c r="A2718" s="0" t="n">
        <v>2697</v>
      </c>
      <c r="B2718" s="0" t="s">
        <v>86</v>
      </c>
      <c r="C2718" s="17" t="n">
        <v>-0.219107418643117</v>
      </c>
      <c r="D2718" s="17" t="n">
        <f aca="false">(C2718-$B$4)/($B$6/SQRT($B$7))</f>
        <v>-1.09553709321559</v>
      </c>
      <c r="E2718" s="0" t="str">
        <f aca="false">IF(OR(AND($B$9="superior",D2718&gt;$B$10),AND($B$9="inferior",D2718&lt;-$B$10)),"Rechazar H0","No rechazar H0")</f>
        <v>No rechazar H0</v>
      </c>
      <c r="F2718" s="0" t="str">
        <f aca="false">IF(AND(B2718="H0 verdadera",E2718="Rechazar H0"),"Error tipo I",IF(AND(B2718="Ha verdadera",E2718="No rechazar H0"),"Error tipo II","Decisión correcta"))</f>
        <v>Error tipo II</v>
      </c>
    </row>
    <row r="2719" customFormat="false" ht="15" hidden="false" customHeight="false" outlineLevel="0" collapsed="false">
      <c r="A2719" s="0" t="n">
        <v>2698</v>
      </c>
      <c r="B2719" s="0" t="s">
        <v>86</v>
      </c>
      <c r="C2719" s="17" t="n">
        <v>-0.698841955610579</v>
      </c>
      <c r="D2719" s="17" t="n">
        <f aca="false">(C2719-$B$4)/($B$6/SQRT($B$7))</f>
        <v>-3.4942097780529</v>
      </c>
      <c r="E2719" s="0" t="str">
        <f aca="false">IF(OR(AND($B$9="superior",D2719&gt;$B$10),AND($B$9="inferior",D2719&lt;-$B$10)),"Rechazar H0","No rechazar H0")</f>
        <v>Rechazar H0</v>
      </c>
      <c r="F2719" s="0" t="str">
        <f aca="false">IF(AND(B2719="H0 verdadera",E2719="Rechazar H0"),"Error tipo I",IF(AND(B2719="Ha verdadera",E2719="No rechazar H0"),"Error tipo II","Decisión correcta"))</f>
        <v>Decisión correcta</v>
      </c>
    </row>
    <row r="2720" customFormat="false" ht="15" hidden="false" customHeight="false" outlineLevel="0" collapsed="false">
      <c r="A2720" s="0" t="n">
        <v>2699</v>
      </c>
      <c r="B2720" s="0" t="s">
        <v>85</v>
      </c>
      <c r="C2720" s="17" t="n">
        <v>-0.103289068080022</v>
      </c>
      <c r="D2720" s="17" t="n">
        <f aca="false">(C2720-$B$4)/($B$6/SQRT($B$7))</f>
        <v>-0.516445340400109</v>
      </c>
      <c r="E2720" s="0" t="str">
        <f aca="false">IF(OR(AND($B$9="superior",D2720&gt;$B$10),AND($B$9="inferior",D2720&lt;-$B$10)),"Rechazar H0","No rechazar H0")</f>
        <v>No rechazar H0</v>
      </c>
      <c r="F2720" s="0" t="str">
        <f aca="false">IF(AND(B2720="H0 verdadera",E2720="Rechazar H0"),"Error tipo I",IF(AND(B2720="Ha verdadera",E2720="No rechazar H0"),"Error tipo II","Decisión correcta"))</f>
        <v>Decisión correcta</v>
      </c>
    </row>
    <row r="2721" customFormat="false" ht="15" hidden="false" customHeight="false" outlineLevel="0" collapsed="false">
      <c r="A2721" s="0" t="n">
        <v>2700</v>
      </c>
      <c r="B2721" s="0" t="s">
        <v>85</v>
      </c>
      <c r="C2721" s="17" t="n">
        <v>-0.0323390120947813</v>
      </c>
      <c r="D2721" s="17" t="n">
        <f aca="false">(C2721-$B$4)/($B$6/SQRT($B$7))</f>
        <v>-0.161695060473906</v>
      </c>
      <c r="E2721" s="0" t="str">
        <f aca="false">IF(OR(AND($B$9="superior",D2721&gt;$B$10),AND($B$9="inferior",D2721&lt;-$B$10)),"Rechazar H0","No rechazar H0")</f>
        <v>No rechazar H0</v>
      </c>
      <c r="F2721" s="0" t="str">
        <f aca="false">IF(AND(B2721="H0 verdadera",E2721="Rechazar H0"),"Error tipo I",IF(AND(B2721="Ha verdadera",E2721="No rechazar H0"),"Error tipo II","Decisión correcta"))</f>
        <v>Decisión correcta</v>
      </c>
    </row>
    <row r="2722" customFormat="false" ht="15" hidden="false" customHeight="false" outlineLevel="0" collapsed="false">
      <c r="A2722" s="0" t="n">
        <v>2701</v>
      </c>
      <c r="B2722" s="0" t="s">
        <v>86</v>
      </c>
      <c r="C2722" s="17" t="n">
        <v>-0.45802423955642</v>
      </c>
      <c r="D2722" s="17" t="n">
        <f aca="false">(C2722-$B$4)/($B$6/SQRT($B$7))</f>
        <v>-2.2901211977821</v>
      </c>
      <c r="E2722" s="0" t="str">
        <f aca="false">IF(OR(AND($B$9="superior",D2722&gt;$B$10),AND($B$9="inferior",D2722&lt;-$B$10)),"Rechazar H0","No rechazar H0")</f>
        <v>Rechazar H0</v>
      </c>
      <c r="F2722" s="0" t="str">
        <f aca="false">IF(AND(B2722="H0 verdadera",E2722="Rechazar H0"),"Error tipo I",IF(AND(B2722="Ha verdadera",E2722="No rechazar H0"),"Error tipo II","Decisión correcta"))</f>
        <v>Decisión correcta</v>
      </c>
    </row>
    <row r="2723" customFormat="false" ht="15" hidden="false" customHeight="false" outlineLevel="0" collapsed="false">
      <c r="A2723" s="0" t="n">
        <v>2702</v>
      </c>
      <c r="B2723" s="0" t="s">
        <v>85</v>
      </c>
      <c r="C2723" s="17" t="n">
        <v>0.0917176405758273</v>
      </c>
      <c r="D2723" s="17" t="n">
        <f aca="false">(C2723-$B$4)/($B$6/SQRT($B$7))</f>
        <v>0.458588202879136</v>
      </c>
      <c r="E2723" s="0" t="str">
        <f aca="false">IF(OR(AND($B$9="superior",D2723&gt;$B$10),AND($B$9="inferior",D2723&lt;-$B$10)),"Rechazar H0","No rechazar H0")</f>
        <v>No rechazar H0</v>
      </c>
      <c r="F2723" s="0" t="str">
        <f aca="false">IF(AND(B2723="H0 verdadera",E2723="Rechazar H0"),"Error tipo I",IF(AND(B2723="Ha verdadera",E2723="No rechazar H0"),"Error tipo II","Decisión correcta"))</f>
        <v>Decisión correcta</v>
      </c>
    </row>
    <row r="2724" customFormat="false" ht="15" hidden="false" customHeight="false" outlineLevel="0" collapsed="false">
      <c r="A2724" s="0" t="n">
        <v>2703</v>
      </c>
      <c r="B2724" s="0" t="s">
        <v>85</v>
      </c>
      <c r="C2724" s="17" t="n">
        <v>-0.0400815506302351</v>
      </c>
      <c r="D2724" s="17" t="n">
        <f aca="false">(C2724-$B$4)/($B$6/SQRT($B$7))</f>
        <v>-0.200407753151175</v>
      </c>
      <c r="E2724" s="0" t="str">
        <f aca="false">IF(OR(AND($B$9="superior",D2724&gt;$B$10),AND($B$9="inferior",D2724&lt;-$B$10)),"Rechazar H0","No rechazar H0")</f>
        <v>No rechazar H0</v>
      </c>
      <c r="F2724" s="0" t="str">
        <f aca="false">IF(AND(B2724="H0 verdadera",E2724="Rechazar H0"),"Error tipo I",IF(AND(B2724="Ha verdadera",E2724="No rechazar H0"),"Error tipo II","Decisión correcta"))</f>
        <v>Decisión correcta</v>
      </c>
    </row>
    <row r="2725" customFormat="false" ht="15" hidden="false" customHeight="false" outlineLevel="0" collapsed="false">
      <c r="A2725" s="0" t="n">
        <v>2704</v>
      </c>
      <c r="B2725" s="0" t="s">
        <v>86</v>
      </c>
      <c r="C2725" s="17" t="n">
        <v>-0.468216352242361</v>
      </c>
      <c r="D2725" s="17" t="n">
        <f aca="false">(C2725-$B$4)/($B$6/SQRT($B$7))</f>
        <v>-2.3410817612118</v>
      </c>
      <c r="E2725" s="0" t="str">
        <f aca="false">IF(OR(AND($B$9="superior",D2725&gt;$B$10),AND($B$9="inferior",D2725&lt;-$B$10)),"Rechazar H0","No rechazar H0")</f>
        <v>Rechazar H0</v>
      </c>
      <c r="F2725" s="0" t="str">
        <f aca="false">IF(AND(B2725="H0 verdadera",E2725="Rechazar H0"),"Error tipo I",IF(AND(B2725="Ha verdadera",E2725="No rechazar H0"),"Error tipo II","Decisión correcta"))</f>
        <v>Decisión correcta</v>
      </c>
    </row>
    <row r="2726" customFormat="false" ht="15" hidden="false" customHeight="false" outlineLevel="0" collapsed="false">
      <c r="A2726" s="0" t="n">
        <v>2705</v>
      </c>
      <c r="B2726" s="0" t="s">
        <v>85</v>
      </c>
      <c r="C2726" s="17" t="n">
        <v>-0.29533287824487</v>
      </c>
      <c r="D2726" s="17" t="n">
        <f aca="false">(C2726-$B$4)/($B$6/SQRT($B$7))</f>
        <v>-1.47666439122435</v>
      </c>
      <c r="E2726" s="0" t="str">
        <f aca="false">IF(OR(AND($B$9="superior",D2726&gt;$B$10),AND($B$9="inferior",D2726&lt;-$B$10)),"Rechazar H0","No rechazar H0")</f>
        <v>No rechazar H0</v>
      </c>
      <c r="F2726" s="0" t="str">
        <f aca="false">IF(AND(B2726="H0 verdadera",E2726="Rechazar H0"),"Error tipo I",IF(AND(B2726="Ha verdadera",E2726="No rechazar H0"),"Error tipo II","Decisión correcta"))</f>
        <v>Decisión correcta</v>
      </c>
    </row>
    <row r="2727" customFormat="false" ht="15" hidden="false" customHeight="false" outlineLevel="0" collapsed="false">
      <c r="A2727" s="0" t="n">
        <v>2706</v>
      </c>
      <c r="B2727" s="0" t="s">
        <v>85</v>
      </c>
      <c r="C2727" s="17" t="n">
        <v>0.128522340712685</v>
      </c>
      <c r="D2727" s="17" t="n">
        <f aca="false">(C2727-$B$4)/($B$6/SQRT($B$7))</f>
        <v>0.642611703563424</v>
      </c>
      <c r="E2727" s="0" t="str">
        <f aca="false">IF(OR(AND($B$9="superior",D2727&gt;$B$10),AND($B$9="inferior",D2727&lt;-$B$10)),"Rechazar H0","No rechazar H0")</f>
        <v>No rechazar H0</v>
      </c>
      <c r="F2727" s="0" t="str">
        <f aca="false">IF(AND(B2727="H0 verdadera",E2727="Rechazar H0"),"Error tipo I",IF(AND(B2727="Ha verdadera",E2727="No rechazar H0"),"Error tipo II","Decisión correcta"))</f>
        <v>Decisión correcta</v>
      </c>
    </row>
    <row r="2728" customFormat="false" ht="15" hidden="false" customHeight="false" outlineLevel="0" collapsed="false">
      <c r="A2728" s="0" t="n">
        <v>2707</v>
      </c>
      <c r="B2728" s="0" t="s">
        <v>86</v>
      </c>
      <c r="C2728" s="17" t="n">
        <v>-0.317660402799063</v>
      </c>
      <c r="D2728" s="17" t="n">
        <f aca="false">(C2728-$B$4)/($B$6/SQRT($B$7))</f>
        <v>-1.58830201399532</v>
      </c>
      <c r="E2728" s="0" t="str">
        <f aca="false">IF(OR(AND($B$9="superior",D2728&gt;$B$10),AND($B$9="inferior",D2728&lt;-$B$10)),"Rechazar H0","No rechazar H0")</f>
        <v>No rechazar H0</v>
      </c>
      <c r="F2728" s="0" t="str">
        <f aca="false">IF(AND(B2728="H0 verdadera",E2728="Rechazar H0"),"Error tipo I",IF(AND(B2728="Ha verdadera",E2728="No rechazar H0"),"Error tipo II","Decisión correcta"))</f>
        <v>Error tipo II</v>
      </c>
    </row>
    <row r="2729" customFormat="false" ht="15" hidden="false" customHeight="false" outlineLevel="0" collapsed="false">
      <c r="A2729" s="0" t="n">
        <v>2708</v>
      </c>
      <c r="B2729" s="0" t="s">
        <v>85</v>
      </c>
      <c r="C2729" s="17" t="n">
        <v>0.219699569543929</v>
      </c>
      <c r="D2729" s="17" t="n">
        <f aca="false">(C2729-$B$4)/($B$6/SQRT($B$7))</f>
        <v>1.09849784771964</v>
      </c>
      <c r="E2729" s="0" t="str">
        <f aca="false">IF(OR(AND($B$9="superior",D2729&gt;$B$10),AND($B$9="inferior",D2729&lt;-$B$10)),"Rechazar H0","No rechazar H0")</f>
        <v>No rechazar H0</v>
      </c>
      <c r="F2729" s="0" t="str">
        <f aca="false">IF(AND(B2729="H0 verdadera",E2729="Rechazar H0"),"Error tipo I",IF(AND(B2729="Ha verdadera",E2729="No rechazar H0"),"Error tipo II","Decisión correcta"))</f>
        <v>Decisión correcta</v>
      </c>
    </row>
    <row r="2730" customFormat="false" ht="15" hidden="false" customHeight="false" outlineLevel="0" collapsed="false">
      <c r="A2730" s="0" t="n">
        <v>2709</v>
      </c>
      <c r="B2730" s="0" t="s">
        <v>85</v>
      </c>
      <c r="C2730" s="17" t="n">
        <v>-0.0569144955711676</v>
      </c>
      <c r="D2730" s="17" t="n">
        <f aca="false">(C2730-$B$4)/($B$6/SQRT($B$7))</f>
        <v>-0.284572477855838</v>
      </c>
      <c r="E2730" s="0" t="str">
        <f aca="false">IF(OR(AND($B$9="superior",D2730&gt;$B$10),AND($B$9="inferior",D2730&lt;-$B$10)),"Rechazar H0","No rechazar H0")</f>
        <v>No rechazar H0</v>
      </c>
      <c r="F2730" s="0" t="str">
        <f aca="false">IF(AND(B2730="H0 verdadera",E2730="Rechazar H0"),"Error tipo I",IF(AND(B2730="Ha verdadera",E2730="No rechazar H0"),"Error tipo II","Decisión correcta"))</f>
        <v>Decisión correcta</v>
      </c>
    </row>
    <row r="2731" customFormat="false" ht="15" hidden="false" customHeight="false" outlineLevel="0" collapsed="false">
      <c r="A2731" s="0" t="n">
        <v>2710</v>
      </c>
      <c r="B2731" s="0" t="s">
        <v>86</v>
      </c>
      <c r="C2731" s="17" t="n">
        <v>-0.495847038583309</v>
      </c>
      <c r="D2731" s="17" t="n">
        <f aca="false">(C2731-$B$4)/($B$6/SQRT($B$7))</f>
        <v>-2.47923519291654</v>
      </c>
      <c r="E2731" s="0" t="str">
        <f aca="false">IF(OR(AND($B$9="superior",D2731&gt;$B$10),AND($B$9="inferior",D2731&lt;-$B$10)),"Rechazar H0","No rechazar H0")</f>
        <v>Rechazar H0</v>
      </c>
      <c r="F2731" s="0" t="str">
        <f aca="false">IF(AND(B2731="H0 verdadera",E2731="Rechazar H0"),"Error tipo I",IF(AND(B2731="Ha verdadera",E2731="No rechazar H0"),"Error tipo II","Decisión correcta"))</f>
        <v>Decisión correcta</v>
      </c>
    </row>
    <row r="2732" customFormat="false" ht="15" hidden="false" customHeight="false" outlineLevel="0" collapsed="false">
      <c r="A2732" s="0" t="n">
        <v>2711</v>
      </c>
      <c r="B2732" s="0" t="s">
        <v>85</v>
      </c>
      <c r="C2732" s="17" t="n">
        <v>0.162016289420532</v>
      </c>
      <c r="D2732" s="17" t="n">
        <f aca="false">(C2732-$B$4)/($B$6/SQRT($B$7))</f>
        <v>0.810081447102659</v>
      </c>
      <c r="E2732" s="0" t="str">
        <f aca="false">IF(OR(AND($B$9="superior",D2732&gt;$B$10),AND($B$9="inferior",D2732&lt;-$B$10)),"Rechazar H0","No rechazar H0")</f>
        <v>No rechazar H0</v>
      </c>
      <c r="F2732" s="0" t="str">
        <f aca="false">IF(AND(B2732="H0 verdadera",E2732="Rechazar H0"),"Error tipo I",IF(AND(B2732="Ha verdadera",E2732="No rechazar H0"),"Error tipo II","Decisión correcta"))</f>
        <v>Decisión correcta</v>
      </c>
    </row>
    <row r="2733" customFormat="false" ht="15" hidden="false" customHeight="false" outlineLevel="0" collapsed="false">
      <c r="A2733" s="0" t="n">
        <v>2712</v>
      </c>
      <c r="B2733" s="0" t="s">
        <v>85</v>
      </c>
      <c r="C2733" s="17" t="n">
        <v>0.0880821645096098</v>
      </c>
      <c r="D2733" s="17" t="n">
        <f aca="false">(C2733-$B$4)/($B$6/SQRT($B$7))</f>
        <v>0.440410822548049</v>
      </c>
      <c r="E2733" s="0" t="str">
        <f aca="false">IF(OR(AND($B$9="superior",D2733&gt;$B$10),AND($B$9="inferior",D2733&lt;-$B$10)),"Rechazar H0","No rechazar H0")</f>
        <v>No rechazar H0</v>
      </c>
      <c r="F2733" s="0" t="str">
        <f aca="false">IF(AND(B2733="H0 verdadera",E2733="Rechazar H0"),"Error tipo I",IF(AND(B2733="Ha verdadera",E2733="No rechazar H0"),"Error tipo II","Decisión correcta"))</f>
        <v>Decisión correcta</v>
      </c>
    </row>
    <row r="2734" customFormat="false" ht="15" hidden="false" customHeight="false" outlineLevel="0" collapsed="false">
      <c r="A2734" s="0" t="n">
        <v>2713</v>
      </c>
      <c r="B2734" s="0" t="s">
        <v>86</v>
      </c>
      <c r="C2734" s="17" t="n">
        <v>-0.569681238182467</v>
      </c>
      <c r="D2734" s="17" t="n">
        <f aca="false">(C2734-$B$4)/($B$6/SQRT($B$7))</f>
        <v>-2.84840619091233</v>
      </c>
      <c r="E2734" s="0" t="str">
        <f aca="false">IF(OR(AND($B$9="superior",D2734&gt;$B$10),AND($B$9="inferior",D2734&lt;-$B$10)),"Rechazar H0","No rechazar H0")</f>
        <v>Rechazar H0</v>
      </c>
      <c r="F2734" s="0" t="str">
        <f aca="false">IF(AND(B2734="H0 verdadera",E2734="Rechazar H0"),"Error tipo I",IF(AND(B2734="Ha verdadera",E2734="No rechazar H0"),"Error tipo II","Decisión correcta"))</f>
        <v>Decisión correcta</v>
      </c>
    </row>
    <row r="2735" customFormat="false" ht="15" hidden="false" customHeight="false" outlineLevel="0" collapsed="false">
      <c r="A2735" s="0" t="n">
        <v>2714</v>
      </c>
      <c r="B2735" s="0" t="s">
        <v>85</v>
      </c>
      <c r="C2735" s="17" t="n">
        <v>-0.209116290436575</v>
      </c>
      <c r="D2735" s="17" t="n">
        <f aca="false">(C2735-$B$4)/($B$6/SQRT($B$7))</f>
        <v>-1.04558145218288</v>
      </c>
      <c r="E2735" s="0" t="str">
        <f aca="false">IF(OR(AND($B$9="superior",D2735&gt;$B$10),AND($B$9="inferior",D2735&lt;-$B$10)),"Rechazar H0","No rechazar H0")</f>
        <v>No rechazar H0</v>
      </c>
      <c r="F2735" s="0" t="str">
        <f aca="false">IF(AND(B2735="H0 verdadera",E2735="Rechazar H0"),"Error tipo I",IF(AND(B2735="Ha verdadera",E2735="No rechazar H0"),"Error tipo II","Decisión correcta"))</f>
        <v>Decisión correcta</v>
      </c>
    </row>
    <row r="2736" customFormat="false" ht="15" hidden="false" customHeight="false" outlineLevel="0" collapsed="false">
      <c r="A2736" s="0" t="n">
        <v>2715</v>
      </c>
      <c r="B2736" s="0" t="s">
        <v>86</v>
      </c>
      <c r="C2736" s="17" t="n">
        <v>-0.482627205979148</v>
      </c>
      <c r="D2736" s="17" t="n">
        <f aca="false">(C2736-$B$4)/($B$6/SQRT($B$7))</f>
        <v>-2.41313602989574</v>
      </c>
      <c r="E2736" s="0" t="str">
        <f aca="false">IF(OR(AND($B$9="superior",D2736&gt;$B$10),AND($B$9="inferior",D2736&lt;-$B$10)),"Rechazar H0","No rechazar H0")</f>
        <v>Rechazar H0</v>
      </c>
      <c r="F2736" s="0" t="str">
        <f aca="false">IF(AND(B2736="H0 verdadera",E2736="Rechazar H0"),"Error tipo I",IF(AND(B2736="Ha verdadera",E2736="No rechazar H0"),"Error tipo II","Decisión correcta"))</f>
        <v>Decisión correcta</v>
      </c>
    </row>
    <row r="2737" customFormat="false" ht="15" hidden="false" customHeight="false" outlineLevel="0" collapsed="false">
      <c r="A2737" s="0" t="n">
        <v>2716</v>
      </c>
      <c r="B2737" s="0" t="s">
        <v>86</v>
      </c>
      <c r="C2737" s="17" t="n">
        <v>-0.127388820371616</v>
      </c>
      <c r="D2737" s="17" t="n">
        <f aca="false">(C2737-$B$4)/($B$6/SQRT($B$7))</f>
        <v>-0.636944101858081</v>
      </c>
      <c r="E2737" s="0" t="str">
        <f aca="false">IF(OR(AND($B$9="superior",D2737&gt;$B$10),AND($B$9="inferior",D2737&lt;-$B$10)),"Rechazar H0","No rechazar H0")</f>
        <v>No rechazar H0</v>
      </c>
      <c r="F2737" s="0" t="str">
        <f aca="false">IF(AND(B2737="H0 verdadera",E2737="Rechazar H0"),"Error tipo I",IF(AND(B2737="Ha verdadera",E2737="No rechazar H0"),"Error tipo II","Decisión correcta"))</f>
        <v>Error tipo II</v>
      </c>
    </row>
    <row r="2738" customFormat="false" ht="15" hidden="false" customHeight="false" outlineLevel="0" collapsed="false">
      <c r="A2738" s="0" t="n">
        <v>2717</v>
      </c>
      <c r="B2738" s="0" t="s">
        <v>86</v>
      </c>
      <c r="C2738" s="17" t="n">
        <v>-0.128000220710568</v>
      </c>
      <c r="D2738" s="17" t="n">
        <f aca="false">(C2738-$B$4)/($B$6/SQRT($B$7))</f>
        <v>-0.640001103552842</v>
      </c>
      <c r="E2738" s="0" t="str">
        <f aca="false">IF(OR(AND($B$9="superior",D2738&gt;$B$10),AND($B$9="inferior",D2738&lt;-$B$10)),"Rechazar H0","No rechazar H0")</f>
        <v>No rechazar H0</v>
      </c>
      <c r="F2738" s="0" t="str">
        <f aca="false">IF(AND(B2738="H0 verdadera",E2738="Rechazar H0"),"Error tipo I",IF(AND(B2738="Ha verdadera",E2738="No rechazar H0"),"Error tipo II","Decisión correcta"))</f>
        <v>Error tipo II</v>
      </c>
    </row>
    <row r="2739" customFormat="false" ht="15" hidden="false" customHeight="false" outlineLevel="0" collapsed="false">
      <c r="A2739" s="0" t="n">
        <v>2718</v>
      </c>
      <c r="B2739" s="0" t="s">
        <v>85</v>
      </c>
      <c r="C2739" s="17" t="n">
        <v>0.13763814005457</v>
      </c>
      <c r="D2739" s="17" t="n">
        <f aca="false">(C2739-$B$4)/($B$6/SQRT($B$7))</f>
        <v>0.688190700272848</v>
      </c>
      <c r="E2739" s="0" t="str">
        <f aca="false">IF(OR(AND($B$9="superior",D2739&gt;$B$10),AND($B$9="inferior",D2739&lt;-$B$10)),"Rechazar H0","No rechazar H0")</f>
        <v>No rechazar H0</v>
      </c>
      <c r="F2739" s="0" t="str">
        <f aca="false">IF(AND(B2739="H0 verdadera",E2739="Rechazar H0"),"Error tipo I",IF(AND(B2739="Ha verdadera",E2739="No rechazar H0"),"Error tipo II","Decisión correcta"))</f>
        <v>Decisión correcta</v>
      </c>
    </row>
    <row r="2740" customFormat="false" ht="15" hidden="false" customHeight="false" outlineLevel="0" collapsed="false">
      <c r="A2740" s="0" t="n">
        <v>2719</v>
      </c>
      <c r="B2740" s="0" t="s">
        <v>85</v>
      </c>
      <c r="C2740" s="17" t="n">
        <v>-0.0882604324851536</v>
      </c>
      <c r="D2740" s="17" t="n">
        <f aca="false">(C2740-$B$4)/($B$6/SQRT($B$7))</f>
        <v>-0.441302162425768</v>
      </c>
      <c r="E2740" s="0" t="str">
        <f aca="false">IF(OR(AND($B$9="superior",D2740&gt;$B$10),AND($B$9="inferior",D2740&lt;-$B$10)),"Rechazar H0","No rechazar H0")</f>
        <v>No rechazar H0</v>
      </c>
      <c r="F2740" s="0" t="str">
        <f aca="false">IF(AND(B2740="H0 verdadera",E2740="Rechazar H0"),"Error tipo I",IF(AND(B2740="Ha verdadera",E2740="No rechazar H0"),"Error tipo II","Decisión correcta"))</f>
        <v>Decisión correcta</v>
      </c>
    </row>
    <row r="2741" customFormat="false" ht="15" hidden="false" customHeight="false" outlineLevel="0" collapsed="false">
      <c r="A2741" s="0" t="n">
        <v>2720</v>
      </c>
      <c r="B2741" s="0" t="s">
        <v>85</v>
      </c>
      <c r="C2741" s="17" t="n">
        <v>0.0738132233828185</v>
      </c>
      <c r="D2741" s="17" t="n">
        <f aca="false">(C2741-$B$4)/($B$6/SQRT($B$7))</f>
        <v>0.369066116914092</v>
      </c>
      <c r="E2741" s="0" t="str">
        <f aca="false">IF(OR(AND($B$9="superior",D2741&gt;$B$10),AND($B$9="inferior",D2741&lt;-$B$10)),"Rechazar H0","No rechazar H0")</f>
        <v>No rechazar H0</v>
      </c>
      <c r="F2741" s="0" t="str">
        <f aca="false">IF(AND(B2741="H0 verdadera",E2741="Rechazar H0"),"Error tipo I",IF(AND(B2741="Ha verdadera",E2741="No rechazar H0"),"Error tipo II","Decisión correcta"))</f>
        <v>Decisión correcta</v>
      </c>
    </row>
    <row r="2742" customFormat="false" ht="15" hidden="false" customHeight="false" outlineLevel="0" collapsed="false">
      <c r="A2742" s="0" t="n">
        <v>2721</v>
      </c>
      <c r="B2742" s="0" t="s">
        <v>86</v>
      </c>
      <c r="C2742" s="17" t="n">
        <v>-0.215777844781209</v>
      </c>
      <c r="D2742" s="17" t="n">
        <f aca="false">(C2742-$B$4)/($B$6/SQRT($B$7))</f>
        <v>-1.07888922390605</v>
      </c>
      <c r="E2742" s="0" t="str">
        <f aca="false">IF(OR(AND($B$9="superior",D2742&gt;$B$10),AND($B$9="inferior",D2742&lt;-$B$10)),"Rechazar H0","No rechazar H0")</f>
        <v>No rechazar H0</v>
      </c>
      <c r="F2742" s="0" t="str">
        <f aca="false">IF(AND(B2742="H0 verdadera",E2742="Rechazar H0"),"Error tipo I",IF(AND(B2742="Ha verdadera",E2742="No rechazar H0"),"Error tipo II","Decisión correcta"))</f>
        <v>Error tipo II</v>
      </c>
    </row>
    <row r="2743" customFormat="false" ht="15" hidden="false" customHeight="false" outlineLevel="0" collapsed="false">
      <c r="A2743" s="0" t="n">
        <v>2722</v>
      </c>
      <c r="B2743" s="0" t="s">
        <v>86</v>
      </c>
      <c r="C2743" s="17" t="n">
        <v>-0.521977797791159</v>
      </c>
      <c r="D2743" s="17" t="n">
        <f aca="false">(C2743-$B$4)/($B$6/SQRT($B$7))</f>
        <v>-2.60988898895579</v>
      </c>
      <c r="E2743" s="0" t="str">
        <f aca="false">IF(OR(AND($B$9="superior",D2743&gt;$B$10),AND($B$9="inferior",D2743&lt;-$B$10)),"Rechazar H0","No rechazar H0")</f>
        <v>Rechazar H0</v>
      </c>
      <c r="F2743" s="0" t="str">
        <f aca="false">IF(AND(B2743="H0 verdadera",E2743="Rechazar H0"),"Error tipo I",IF(AND(B2743="Ha verdadera",E2743="No rechazar H0"),"Error tipo II","Decisión correcta"))</f>
        <v>Decisión correcta</v>
      </c>
    </row>
    <row r="2744" customFormat="false" ht="15" hidden="false" customHeight="false" outlineLevel="0" collapsed="false">
      <c r="A2744" s="0" t="n">
        <v>2723</v>
      </c>
      <c r="B2744" s="0" t="s">
        <v>86</v>
      </c>
      <c r="C2744" s="17" t="n">
        <v>-0.494204872577554</v>
      </c>
      <c r="D2744" s="17" t="n">
        <f aca="false">(C2744-$B$4)/($B$6/SQRT($B$7))</f>
        <v>-2.47102436288777</v>
      </c>
      <c r="E2744" s="0" t="str">
        <f aca="false">IF(OR(AND($B$9="superior",D2744&gt;$B$10),AND($B$9="inferior",D2744&lt;-$B$10)),"Rechazar H0","No rechazar H0")</f>
        <v>Rechazar H0</v>
      </c>
      <c r="F2744" s="0" t="str">
        <f aca="false">IF(AND(B2744="H0 verdadera",E2744="Rechazar H0"),"Error tipo I",IF(AND(B2744="Ha verdadera",E2744="No rechazar H0"),"Error tipo II","Decisión correcta"))</f>
        <v>Decisión correcta</v>
      </c>
    </row>
    <row r="2745" customFormat="false" ht="15" hidden="false" customHeight="false" outlineLevel="0" collapsed="false">
      <c r="A2745" s="0" t="n">
        <v>2724</v>
      </c>
      <c r="B2745" s="0" t="s">
        <v>85</v>
      </c>
      <c r="C2745" s="17" t="n">
        <v>0.0312219631150817</v>
      </c>
      <c r="D2745" s="17" t="n">
        <f aca="false">(C2745-$B$4)/($B$6/SQRT($B$7))</f>
        <v>0.156109815575408</v>
      </c>
      <c r="E2745" s="0" t="str">
        <f aca="false">IF(OR(AND($B$9="superior",D2745&gt;$B$10),AND($B$9="inferior",D2745&lt;-$B$10)),"Rechazar H0","No rechazar H0")</f>
        <v>No rechazar H0</v>
      </c>
      <c r="F2745" s="0" t="str">
        <f aca="false">IF(AND(B2745="H0 verdadera",E2745="Rechazar H0"),"Error tipo I",IF(AND(B2745="Ha verdadera",E2745="No rechazar H0"),"Error tipo II","Decisión correcta"))</f>
        <v>Decisión correcta</v>
      </c>
    </row>
    <row r="2746" customFormat="false" ht="15" hidden="false" customHeight="false" outlineLevel="0" collapsed="false">
      <c r="A2746" s="0" t="n">
        <v>2725</v>
      </c>
      <c r="B2746" s="0" t="s">
        <v>85</v>
      </c>
      <c r="C2746" s="17" t="n">
        <v>-0.227240644481103</v>
      </c>
      <c r="D2746" s="17" t="n">
        <f aca="false">(C2746-$B$4)/($B$6/SQRT($B$7))</f>
        <v>-1.13620322240552</v>
      </c>
      <c r="E2746" s="0" t="str">
        <f aca="false">IF(OR(AND($B$9="superior",D2746&gt;$B$10),AND($B$9="inferior",D2746&lt;-$B$10)),"Rechazar H0","No rechazar H0")</f>
        <v>No rechazar H0</v>
      </c>
      <c r="F2746" s="0" t="str">
        <f aca="false">IF(AND(B2746="H0 verdadera",E2746="Rechazar H0"),"Error tipo I",IF(AND(B2746="Ha verdadera",E2746="No rechazar H0"),"Error tipo II","Decisión correcta"))</f>
        <v>Decisión correcta</v>
      </c>
    </row>
    <row r="2747" customFormat="false" ht="15" hidden="false" customHeight="false" outlineLevel="0" collapsed="false">
      <c r="A2747" s="0" t="n">
        <v>2726</v>
      </c>
      <c r="B2747" s="0" t="s">
        <v>86</v>
      </c>
      <c r="C2747" s="17" t="n">
        <v>-0.10599634441388</v>
      </c>
      <c r="D2747" s="17" t="n">
        <f aca="false">(C2747-$B$4)/($B$6/SQRT($B$7))</f>
        <v>-0.529981722069398</v>
      </c>
      <c r="E2747" s="0" t="str">
        <f aca="false">IF(OR(AND($B$9="superior",D2747&gt;$B$10),AND($B$9="inferior",D2747&lt;-$B$10)),"Rechazar H0","No rechazar H0")</f>
        <v>No rechazar H0</v>
      </c>
      <c r="F2747" s="0" t="str">
        <f aca="false">IF(AND(B2747="H0 verdadera",E2747="Rechazar H0"),"Error tipo I",IF(AND(B2747="Ha verdadera",E2747="No rechazar H0"),"Error tipo II","Decisión correcta"))</f>
        <v>Error tipo II</v>
      </c>
    </row>
    <row r="2748" customFormat="false" ht="15" hidden="false" customHeight="false" outlineLevel="0" collapsed="false">
      <c r="A2748" s="0" t="n">
        <v>2727</v>
      </c>
      <c r="B2748" s="0" t="s">
        <v>86</v>
      </c>
      <c r="C2748" s="17" t="n">
        <v>-0.696612024486657</v>
      </c>
      <c r="D2748" s="17" t="n">
        <f aca="false">(C2748-$B$4)/($B$6/SQRT($B$7))</f>
        <v>-3.48306012243328</v>
      </c>
      <c r="E2748" s="0" t="str">
        <f aca="false">IF(OR(AND($B$9="superior",D2748&gt;$B$10),AND($B$9="inferior",D2748&lt;-$B$10)),"Rechazar H0","No rechazar H0")</f>
        <v>Rechazar H0</v>
      </c>
      <c r="F2748" s="0" t="str">
        <f aca="false">IF(AND(B2748="H0 verdadera",E2748="Rechazar H0"),"Error tipo I",IF(AND(B2748="Ha verdadera",E2748="No rechazar H0"),"Error tipo II","Decisión correcta"))</f>
        <v>Decisión correcta</v>
      </c>
    </row>
    <row r="2749" customFormat="false" ht="15" hidden="false" customHeight="false" outlineLevel="0" collapsed="false">
      <c r="A2749" s="0" t="n">
        <v>2728</v>
      </c>
      <c r="B2749" s="0" t="s">
        <v>85</v>
      </c>
      <c r="C2749" s="17" t="n">
        <v>-0.0240619764191406</v>
      </c>
      <c r="D2749" s="17" t="n">
        <f aca="false">(C2749-$B$4)/($B$6/SQRT($B$7))</f>
        <v>-0.120309882095703</v>
      </c>
      <c r="E2749" s="0" t="str">
        <f aca="false">IF(OR(AND($B$9="superior",D2749&gt;$B$10),AND($B$9="inferior",D2749&lt;-$B$10)),"Rechazar H0","No rechazar H0")</f>
        <v>No rechazar H0</v>
      </c>
      <c r="F2749" s="0" t="str">
        <f aca="false">IF(AND(B2749="H0 verdadera",E2749="Rechazar H0"),"Error tipo I",IF(AND(B2749="Ha verdadera",E2749="No rechazar H0"),"Error tipo II","Decisión correcta"))</f>
        <v>Decisión correcta</v>
      </c>
    </row>
    <row r="2750" customFormat="false" ht="15" hidden="false" customHeight="false" outlineLevel="0" collapsed="false">
      <c r="A2750" s="0" t="n">
        <v>2729</v>
      </c>
      <c r="B2750" s="0" t="s">
        <v>85</v>
      </c>
      <c r="C2750" s="17" t="n">
        <v>0.141428297839216</v>
      </c>
      <c r="D2750" s="17" t="n">
        <f aca="false">(C2750-$B$4)/($B$6/SQRT($B$7))</f>
        <v>0.707141489196081</v>
      </c>
      <c r="E2750" s="0" t="str">
        <f aca="false">IF(OR(AND($B$9="superior",D2750&gt;$B$10),AND($B$9="inferior",D2750&lt;-$B$10)),"Rechazar H0","No rechazar H0")</f>
        <v>No rechazar H0</v>
      </c>
      <c r="F2750" s="0" t="str">
        <f aca="false">IF(AND(B2750="H0 verdadera",E2750="Rechazar H0"),"Error tipo I",IF(AND(B2750="Ha verdadera",E2750="No rechazar H0"),"Error tipo II","Decisión correcta"))</f>
        <v>Decisión correcta</v>
      </c>
    </row>
    <row r="2751" customFormat="false" ht="15" hidden="false" customHeight="false" outlineLevel="0" collapsed="false">
      <c r="A2751" s="0" t="n">
        <v>2730</v>
      </c>
      <c r="B2751" s="0" t="s">
        <v>85</v>
      </c>
      <c r="C2751" s="17" t="n">
        <v>0.0418009199857807</v>
      </c>
      <c r="D2751" s="17" t="n">
        <f aca="false">(C2751-$B$4)/($B$6/SQRT($B$7))</f>
        <v>0.209004599928903</v>
      </c>
      <c r="E2751" s="0" t="str">
        <f aca="false">IF(OR(AND($B$9="superior",D2751&gt;$B$10),AND($B$9="inferior",D2751&lt;-$B$10)),"Rechazar H0","No rechazar H0")</f>
        <v>No rechazar H0</v>
      </c>
      <c r="F2751" s="0" t="str">
        <f aca="false">IF(AND(B2751="H0 verdadera",E2751="Rechazar H0"),"Error tipo I",IF(AND(B2751="Ha verdadera",E2751="No rechazar H0"),"Error tipo II","Decisión correcta"))</f>
        <v>Decisión correcta</v>
      </c>
    </row>
    <row r="2752" customFormat="false" ht="15" hidden="false" customHeight="false" outlineLevel="0" collapsed="false">
      <c r="A2752" s="0" t="n">
        <v>2731</v>
      </c>
      <c r="B2752" s="0" t="s">
        <v>85</v>
      </c>
      <c r="C2752" s="17" t="n">
        <v>-0.305155912594377</v>
      </c>
      <c r="D2752" s="17" t="n">
        <f aca="false">(C2752-$B$4)/($B$6/SQRT($B$7))</f>
        <v>-1.52577956297188</v>
      </c>
      <c r="E2752" s="0" t="str">
        <f aca="false">IF(OR(AND($B$9="superior",D2752&gt;$B$10),AND($B$9="inferior",D2752&lt;-$B$10)),"Rechazar H0","No rechazar H0")</f>
        <v>No rechazar H0</v>
      </c>
      <c r="F2752" s="0" t="str">
        <f aca="false">IF(AND(B2752="H0 verdadera",E2752="Rechazar H0"),"Error tipo I",IF(AND(B2752="Ha verdadera",E2752="No rechazar H0"),"Error tipo II","Decisión correcta"))</f>
        <v>Decisión correcta</v>
      </c>
    </row>
    <row r="2753" customFormat="false" ht="15" hidden="false" customHeight="false" outlineLevel="0" collapsed="false">
      <c r="A2753" s="0" t="n">
        <v>2732</v>
      </c>
      <c r="B2753" s="0" t="s">
        <v>85</v>
      </c>
      <c r="C2753" s="17" t="n">
        <v>0.281038573331326</v>
      </c>
      <c r="D2753" s="17" t="n">
        <f aca="false">(C2753-$B$4)/($B$6/SQRT($B$7))</f>
        <v>1.40519286665663</v>
      </c>
      <c r="E2753" s="0" t="str">
        <f aca="false">IF(OR(AND($B$9="superior",D2753&gt;$B$10),AND($B$9="inferior",D2753&lt;-$B$10)),"Rechazar H0","No rechazar H0")</f>
        <v>No rechazar H0</v>
      </c>
      <c r="F2753" s="0" t="str">
        <f aca="false">IF(AND(B2753="H0 verdadera",E2753="Rechazar H0"),"Error tipo I",IF(AND(B2753="Ha verdadera",E2753="No rechazar H0"),"Error tipo II","Decisión correcta"))</f>
        <v>Decisión correcta</v>
      </c>
    </row>
    <row r="2754" customFormat="false" ht="15" hidden="false" customHeight="false" outlineLevel="0" collapsed="false">
      <c r="A2754" s="0" t="n">
        <v>2733</v>
      </c>
      <c r="B2754" s="0" t="s">
        <v>86</v>
      </c>
      <c r="C2754" s="17" t="n">
        <v>-0.374021825815467</v>
      </c>
      <c r="D2754" s="17" t="n">
        <f aca="false">(C2754-$B$4)/($B$6/SQRT($B$7))</f>
        <v>-1.87010912907733</v>
      </c>
      <c r="E2754" s="0" t="str">
        <f aca="false">IF(OR(AND($B$9="superior",D2754&gt;$B$10),AND($B$9="inferior",D2754&lt;-$B$10)),"Rechazar H0","No rechazar H0")</f>
        <v>Rechazar H0</v>
      </c>
      <c r="F2754" s="0" t="str">
        <f aca="false">IF(AND(B2754="H0 verdadera",E2754="Rechazar H0"),"Error tipo I",IF(AND(B2754="Ha verdadera",E2754="No rechazar H0"),"Error tipo II","Decisión correcta"))</f>
        <v>Decisión correcta</v>
      </c>
    </row>
    <row r="2755" customFormat="false" ht="15" hidden="false" customHeight="false" outlineLevel="0" collapsed="false">
      <c r="A2755" s="0" t="n">
        <v>2734</v>
      </c>
      <c r="B2755" s="0" t="s">
        <v>85</v>
      </c>
      <c r="C2755" s="17" t="n">
        <v>0.099570081474968</v>
      </c>
      <c r="D2755" s="17" t="n">
        <f aca="false">(C2755-$B$4)/($B$6/SQRT($B$7))</f>
        <v>0.49785040737484</v>
      </c>
      <c r="E2755" s="0" t="str">
        <f aca="false">IF(OR(AND($B$9="superior",D2755&gt;$B$10),AND($B$9="inferior",D2755&lt;-$B$10)),"Rechazar H0","No rechazar H0")</f>
        <v>No rechazar H0</v>
      </c>
      <c r="F2755" s="0" t="str">
        <f aca="false">IF(AND(B2755="H0 verdadera",E2755="Rechazar H0"),"Error tipo I",IF(AND(B2755="Ha verdadera",E2755="No rechazar H0"),"Error tipo II","Decisión correcta"))</f>
        <v>Decisión correcta</v>
      </c>
    </row>
    <row r="2756" customFormat="false" ht="15" hidden="false" customHeight="false" outlineLevel="0" collapsed="false">
      <c r="A2756" s="0" t="n">
        <v>2735</v>
      </c>
      <c r="B2756" s="0" t="s">
        <v>86</v>
      </c>
      <c r="C2756" s="17" t="n">
        <v>-0.391216940301105</v>
      </c>
      <c r="D2756" s="17" t="n">
        <f aca="false">(C2756-$B$4)/($B$6/SQRT($B$7))</f>
        <v>-1.95608470150552</v>
      </c>
      <c r="E2756" s="0" t="str">
        <f aca="false">IF(OR(AND($B$9="superior",D2756&gt;$B$10),AND($B$9="inferior",D2756&lt;-$B$10)),"Rechazar H0","No rechazar H0")</f>
        <v>Rechazar H0</v>
      </c>
      <c r="F2756" s="0" t="str">
        <f aca="false">IF(AND(B2756="H0 verdadera",E2756="Rechazar H0"),"Error tipo I",IF(AND(B2756="Ha verdadera",E2756="No rechazar H0"),"Error tipo II","Decisión correcta"))</f>
        <v>Decisión correcta</v>
      </c>
    </row>
    <row r="2757" customFormat="false" ht="15" hidden="false" customHeight="false" outlineLevel="0" collapsed="false">
      <c r="A2757" s="0" t="n">
        <v>2736</v>
      </c>
      <c r="B2757" s="0" t="s">
        <v>85</v>
      </c>
      <c r="C2757" s="17" t="n">
        <v>0.145546809041395</v>
      </c>
      <c r="D2757" s="17" t="n">
        <f aca="false">(C2757-$B$4)/($B$6/SQRT($B$7))</f>
        <v>0.727734045206976</v>
      </c>
      <c r="E2757" s="0" t="str">
        <f aca="false">IF(OR(AND($B$9="superior",D2757&gt;$B$10),AND($B$9="inferior",D2757&lt;-$B$10)),"Rechazar H0","No rechazar H0")</f>
        <v>No rechazar H0</v>
      </c>
      <c r="F2757" s="0" t="str">
        <f aca="false">IF(AND(B2757="H0 verdadera",E2757="Rechazar H0"),"Error tipo I",IF(AND(B2757="Ha verdadera",E2757="No rechazar H0"),"Error tipo II","Decisión correcta"))</f>
        <v>Decisión correcta</v>
      </c>
    </row>
    <row r="2758" customFormat="false" ht="15" hidden="false" customHeight="false" outlineLevel="0" collapsed="false">
      <c r="A2758" s="0" t="n">
        <v>2737</v>
      </c>
      <c r="B2758" s="0" t="s">
        <v>85</v>
      </c>
      <c r="C2758" s="17" t="n">
        <v>0.077262681250387</v>
      </c>
      <c r="D2758" s="17" t="n">
        <f aca="false">(C2758-$B$4)/($B$6/SQRT($B$7))</f>
        <v>0.386313406251935</v>
      </c>
      <c r="E2758" s="0" t="str">
        <f aca="false">IF(OR(AND($B$9="superior",D2758&gt;$B$10),AND($B$9="inferior",D2758&lt;-$B$10)),"Rechazar H0","No rechazar H0")</f>
        <v>No rechazar H0</v>
      </c>
      <c r="F2758" s="0" t="str">
        <f aca="false">IF(AND(B2758="H0 verdadera",E2758="Rechazar H0"),"Error tipo I",IF(AND(B2758="Ha verdadera",E2758="No rechazar H0"),"Error tipo II","Decisión correcta"))</f>
        <v>Decisión correcta</v>
      </c>
    </row>
    <row r="2759" customFormat="false" ht="15" hidden="false" customHeight="false" outlineLevel="0" collapsed="false">
      <c r="A2759" s="0" t="n">
        <v>2738</v>
      </c>
      <c r="B2759" s="0" t="s">
        <v>85</v>
      </c>
      <c r="C2759" s="17" t="n">
        <v>-0.230478318248503</v>
      </c>
      <c r="D2759" s="17" t="n">
        <f aca="false">(C2759-$B$4)/($B$6/SQRT($B$7))</f>
        <v>-1.15239159124252</v>
      </c>
      <c r="E2759" s="0" t="str">
        <f aca="false">IF(OR(AND($B$9="superior",D2759&gt;$B$10),AND($B$9="inferior",D2759&lt;-$B$10)),"Rechazar H0","No rechazar H0")</f>
        <v>No rechazar H0</v>
      </c>
      <c r="F2759" s="0" t="str">
        <f aca="false">IF(AND(B2759="H0 verdadera",E2759="Rechazar H0"),"Error tipo I",IF(AND(B2759="Ha verdadera",E2759="No rechazar H0"),"Error tipo II","Decisión correcta"))</f>
        <v>Decisión correcta</v>
      </c>
    </row>
    <row r="2760" customFormat="false" ht="15" hidden="false" customHeight="false" outlineLevel="0" collapsed="false">
      <c r="A2760" s="0" t="n">
        <v>2739</v>
      </c>
      <c r="B2760" s="0" t="s">
        <v>85</v>
      </c>
      <c r="C2760" s="17" t="n">
        <v>0.109751001136799</v>
      </c>
      <c r="D2760" s="17" t="n">
        <f aca="false">(C2760-$B$4)/($B$6/SQRT($B$7))</f>
        <v>0.548755005683996</v>
      </c>
      <c r="E2760" s="0" t="str">
        <f aca="false">IF(OR(AND($B$9="superior",D2760&gt;$B$10),AND($B$9="inferior",D2760&lt;-$B$10)),"Rechazar H0","No rechazar H0")</f>
        <v>No rechazar H0</v>
      </c>
      <c r="F2760" s="0" t="str">
        <f aca="false">IF(AND(B2760="H0 verdadera",E2760="Rechazar H0"),"Error tipo I",IF(AND(B2760="Ha verdadera",E2760="No rechazar H0"),"Error tipo II","Decisión correcta"))</f>
        <v>Decisión correcta</v>
      </c>
    </row>
    <row r="2761" customFormat="false" ht="15" hidden="false" customHeight="false" outlineLevel="0" collapsed="false">
      <c r="A2761" s="0" t="n">
        <v>2740</v>
      </c>
      <c r="B2761" s="0" t="s">
        <v>86</v>
      </c>
      <c r="C2761" s="17" t="n">
        <v>-0.728390696277072</v>
      </c>
      <c r="D2761" s="17" t="n">
        <f aca="false">(C2761-$B$4)/($B$6/SQRT($B$7))</f>
        <v>-3.64195348138536</v>
      </c>
      <c r="E2761" s="0" t="str">
        <f aca="false">IF(OR(AND($B$9="superior",D2761&gt;$B$10),AND($B$9="inferior",D2761&lt;-$B$10)),"Rechazar H0","No rechazar H0")</f>
        <v>Rechazar H0</v>
      </c>
      <c r="F2761" s="0" t="str">
        <f aca="false">IF(AND(B2761="H0 verdadera",E2761="Rechazar H0"),"Error tipo I",IF(AND(B2761="Ha verdadera",E2761="No rechazar H0"),"Error tipo II","Decisión correcta"))</f>
        <v>Decisión correcta</v>
      </c>
    </row>
    <row r="2762" customFormat="false" ht="15" hidden="false" customHeight="false" outlineLevel="0" collapsed="false">
      <c r="A2762" s="0" t="n">
        <v>2741</v>
      </c>
      <c r="B2762" s="0" t="s">
        <v>85</v>
      </c>
      <c r="C2762" s="17" t="n">
        <v>0.158972873390007</v>
      </c>
      <c r="D2762" s="17" t="n">
        <f aca="false">(C2762-$B$4)/($B$6/SQRT($B$7))</f>
        <v>0.794864366950035</v>
      </c>
      <c r="E2762" s="0" t="str">
        <f aca="false">IF(OR(AND($B$9="superior",D2762&gt;$B$10),AND($B$9="inferior",D2762&lt;-$B$10)),"Rechazar H0","No rechazar H0")</f>
        <v>No rechazar H0</v>
      </c>
      <c r="F2762" s="0" t="str">
        <f aca="false">IF(AND(B2762="H0 verdadera",E2762="Rechazar H0"),"Error tipo I",IF(AND(B2762="Ha verdadera",E2762="No rechazar H0"),"Error tipo II","Decisión correcta"))</f>
        <v>Decisión correcta</v>
      </c>
    </row>
    <row r="2763" customFormat="false" ht="15" hidden="false" customHeight="false" outlineLevel="0" collapsed="false">
      <c r="A2763" s="0" t="n">
        <v>2742</v>
      </c>
      <c r="B2763" s="0" t="s">
        <v>86</v>
      </c>
      <c r="C2763" s="17" t="n">
        <v>-0.474691391978048</v>
      </c>
      <c r="D2763" s="17" t="n">
        <f aca="false">(C2763-$B$4)/($B$6/SQRT($B$7))</f>
        <v>-2.37345695989024</v>
      </c>
      <c r="E2763" s="0" t="str">
        <f aca="false">IF(OR(AND($B$9="superior",D2763&gt;$B$10),AND($B$9="inferior",D2763&lt;-$B$10)),"Rechazar H0","No rechazar H0")</f>
        <v>Rechazar H0</v>
      </c>
      <c r="F2763" s="0" t="str">
        <f aca="false">IF(AND(B2763="H0 verdadera",E2763="Rechazar H0"),"Error tipo I",IF(AND(B2763="Ha verdadera",E2763="No rechazar H0"),"Error tipo II","Decisión correcta"))</f>
        <v>Decisión correcta</v>
      </c>
    </row>
    <row r="2764" customFormat="false" ht="15" hidden="false" customHeight="false" outlineLevel="0" collapsed="false">
      <c r="A2764" s="0" t="n">
        <v>2743</v>
      </c>
      <c r="B2764" s="0" t="s">
        <v>86</v>
      </c>
      <c r="C2764" s="17" t="n">
        <v>-0.42647625983027</v>
      </c>
      <c r="D2764" s="17" t="n">
        <f aca="false">(C2764-$B$4)/($B$6/SQRT($B$7))</f>
        <v>-2.13238129915135</v>
      </c>
      <c r="E2764" s="0" t="str">
        <f aca="false">IF(OR(AND($B$9="superior",D2764&gt;$B$10),AND($B$9="inferior",D2764&lt;-$B$10)),"Rechazar H0","No rechazar H0")</f>
        <v>Rechazar H0</v>
      </c>
      <c r="F2764" s="0" t="str">
        <f aca="false">IF(AND(B2764="H0 verdadera",E2764="Rechazar H0"),"Error tipo I",IF(AND(B2764="Ha verdadera",E2764="No rechazar H0"),"Error tipo II","Decisión correcta"))</f>
        <v>Decisión correcta</v>
      </c>
    </row>
    <row r="2765" customFormat="false" ht="15" hidden="false" customHeight="false" outlineLevel="0" collapsed="false">
      <c r="A2765" s="0" t="n">
        <v>2744</v>
      </c>
      <c r="B2765" s="0" t="s">
        <v>85</v>
      </c>
      <c r="C2765" s="17" t="n">
        <v>-0.0873407006848756</v>
      </c>
      <c r="D2765" s="17" t="n">
        <f aca="false">(C2765-$B$4)/($B$6/SQRT($B$7))</f>
        <v>-0.436703503424378</v>
      </c>
      <c r="E2765" s="0" t="str">
        <f aca="false">IF(OR(AND($B$9="superior",D2765&gt;$B$10),AND($B$9="inferior",D2765&lt;-$B$10)),"Rechazar H0","No rechazar H0")</f>
        <v>No rechazar H0</v>
      </c>
      <c r="F2765" s="0" t="str">
        <f aca="false">IF(AND(B2765="H0 verdadera",E2765="Rechazar H0"),"Error tipo I",IF(AND(B2765="Ha verdadera",E2765="No rechazar H0"),"Error tipo II","Decisión correcta"))</f>
        <v>Decisión correcta</v>
      </c>
    </row>
    <row r="2766" customFormat="false" ht="15" hidden="false" customHeight="false" outlineLevel="0" collapsed="false">
      <c r="A2766" s="0" t="n">
        <v>2745</v>
      </c>
      <c r="B2766" s="0" t="s">
        <v>85</v>
      </c>
      <c r="C2766" s="17" t="n">
        <v>-0.183252294310539</v>
      </c>
      <c r="D2766" s="17" t="n">
        <f aca="false">(C2766-$B$4)/($B$6/SQRT($B$7))</f>
        <v>-0.916261471552692</v>
      </c>
      <c r="E2766" s="0" t="str">
        <f aca="false">IF(OR(AND($B$9="superior",D2766&gt;$B$10),AND($B$9="inferior",D2766&lt;-$B$10)),"Rechazar H0","No rechazar H0")</f>
        <v>No rechazar H0</v>
      </c>
      <c r="F2766" s="0" t="str">
        <f aca="false">IF(AND(B2766="H0 verdadera",E2766="Rechazar H0"),"Error tipo I",IF(AND(B2766="Ha verdadera",E2766="No rechazar H0"),"Error tipo II","Decisión correcta"))</f>
        <v>Decisión correcta</v>
      </c>
    </row>
    <row r="2767" customFormat="false" ht="15" hidden="false" customHeight="false" outlineLevel="0" collapsed="false">
      <c r="A2767" s="0" t="n">
        <v>2746</v>
      </c>
      <c r="B2767" s="0" t="s">
        <v>85</v>
      </c>
      <c r="C2767" s="17" t="n">
        <v>-0.114740560324138</v>
      </c>
      <c r="D2767" s="17" t="n">
        <f aca="false">(C2767-$B$4)/($B$6/SQRT($B$7))</f>
        <v>-0.573702801620692</v>
      </c>
      <c r="E2767" s="0" t="str">
        <f aca="false">IF(OR(AND($B$9="superior",D2767&gt;$B$10),AND($B$9="inferior",D2767&lt;-$B$10)),"Rechazar H0","No rechazar H0")</f>
        <v>No rechazar H0</v>
      </c>
      <c r="F2767" s="0" t="str">
        <f aca="false">IF(AND(B2767="H0 verdadera",E2767="Rechazar H0"),"Error tipo I",IF(AND(B2767="Ha verdadera",E2767="No rechazar H0"),"Error tipo II","Decisión correcta"))</f>
        <v>Decisión correcta</v>
      </c>
    </row>
    <row r="2768" customFormat="false" ht="15" hidden="false" customHeight="false" outlineLevel="0" collapsed="false">
      <c r="A2768" s="0" t="n">
        <v>2747</v>
      </c>
      <c r="B2768" s="0" t="s">
        <v>86</v>
      </c>
      <c r="C2768" s="17" t="n">
        <v>-0.28130450967448</v>
      </c>
      <c r="D2768" s="17" t="n">
        <f aca="false">(C2768-$B$4)/($B$6/SQRT($B$7))</f>
        <v>-1.4065225483724</v>
      </c>
      <c r="E2768" s="0" t="str">
        <f aca="false">IF(OR(AND($B$9="superior",D2768&gt;$B$10),AND($B$9="inferior",D2768&lt;-$B$10)),"Rechazar H0","No rechazar H0")</f>
        <v>No rechazar H0</v>
      </c>
      <c r="F2768" s="0" t="str">
        <f aca="false">IF(AND(B2768="H0 verdadera",E2768="Rechazar H0"),"Error tipo I",IF(AND(B2768="Ha verdadera",E2768="No rechazar H0"),"Error tipo II","Decisión correcta"))</f>
        <v>Error tipo II</v>
      </c>
    </row>
    <row r="2769" customFormat="false" ht="15" hidden="false" customHeight="false" outlineLevel="0" collapsed="false">
      <c r="A2769" s="0" t="n">
        <v>2748</v>
      </c>
      <c r="B2769" s="0" t="s">
        <v>86</v>
      </c>
      <c r="C2769" s="17" t="n">
        <v>-0.553244831617525</v>
      </c>
      <c r="D2769" s="17" t="n">
        <f aca="false">(C2769-$B$4)/($B$6/SQRT($B$7))</f>
        <v>-2.76622415808763</v>
      </c>
      <c r="E2769" s="0" t="str">
        <f aca="false">IF(OR(AND($B$9="superior",D2769&gt;$B$10),AND($B$9="inferior",D2769&lt;-$B$10)),"Rechazar H0","No rechazar H0")</f>
        <v>Rechazar H0</v>
      </c>
      <c r="F2769" s="0" t="str">
        <f aca="false">IF(AND(B2769="H0 verdadera",E2769="Rechazar H0"),"Error tipo I",IF(AND(B2769="Ha verdadera",E2769="No rechazar H0"),"Error tipo II","Decisión correcta"))</f>
        <v>Decisión correcta</v>
      </c>
    </row>
    <row r="2770" customFormat="false" ht="15" hidden="false" customHeight="false" outlineLevel="0" collapsed="false">
      <c r="A2770" s="0" t="n">
        <v>2749</v>
      </c>
      <c r="B2770" s="0" t="s">
        <v>86</v>
      </c>
      <c r="C2770" s="17" t="n">
        <v>-0.201047870173196</v>
      </c>
      <c r="D2770" s="17" t="n">
        <f aca="false">(C2770-$B$4)/($B$6/SQRT($B$7))</f>
        <v>-1.00523935086598</v>
      </c>
      <c r="E2770" s="0" t="str">
        <f aca="false">IF(OR(AND($B$9="superior",D2770&gt;$B$10),AND($B$9="inferior",D2770&lt;-$B$10)),"Rechazar H0","No rechazar H0")</f>
        <v>No rechazar H0</v>
      </c>
      <c r="F2770" s="0" t="str">
        <f aca="false">IF(AND(B2770="H0 verdadera",E2770="Rechazar H0"),"Error tipo I",IF(AND(B2770="Ha verdadera",E2770="No rechazar H0"),"Error tipo II","Decisión correcta"))</f>
        <v>Error tipo II</v>
      </c>
    </row>
    <row r="2771" customFormat="false" ht="15" hidden="false" customHeight="false" outlineLevel="0" collapsed="false">
      <c r="A2771" s="0" t="n">
        <v>2750</v>
      </c>
      <c r="B2771" s="0" t="s">
        <v>85</v>
      </c>
      <c r="C2771" s="17" t="n">
        <v>0.125254920587261</v>
      </c>
      <c r="D2771" s="17" t="n">
        <f aca="false">(C2771-$B$4)/($B$6/SQRT($B$7))</f>
        <v>0.626274602936307</v>
      </c>
      <c r="E2771" s="0" t="str">
        <f aca="false">IF(OR(AND($B$9="superior",D2771&gt;$B$10),AND($B$9="inferior",D2771&lt;-$B$10)),"Rechazar H0","No rechazar H0")</f>
        <v>No rechazar H0</v>
      </c>
      <c r="F2771" s="0" t="str">
        <f aca="false">IF(AND(B2771="H0 verdadera",E2771="Rechazar H0"),"Error tipo I",IF(AND(B2771="Ha verdadera",E2771="No rechazar H0"),"Error tipo II","Decisión correcta"))</f>
        <v>Decisión correcta</v>
      </c>
    </row>
    <row r="2772" customFormat="false" ht="15" hidden="false" customHeight="false" outlineLevel="0" collapsed="false">
      <c r="A2772" s="0" t="n">
        <v>2751</v>
      </c>
      <c r="B2772" s="0" t="s">
        <v>86</v>
      </c>
      <c r="C2772" s="17" t="n">
        <v>-0.327238911391716</v>
      </c>
      <c r="D2772" s="17" t="n">
        <f aca="false">(C2772-$B$4)/($B$6/SQRT($B$7))</f>
        <v>-1.63619455695858</v>
      </c>
      <c r="E2772" s="0" t="str">
        <f aca="false">IF(OR(AND($B$9="superior",D2772&gt;$B$10),AND($B$9="inferior",D2772&lt;-$B$10)),"Rechazar H0","No rechazar H0")</f>
        <v>No rechazar H0</v>
      </c>
      <c r="F2772" s="0" t="str">
        <f aca="false">IF(AND(B2772="H0 verdadera",E2772="Rechazar H0"),"Error tipo I",IF(AND(B2772="Ha verdadera",E2772="No rechazar H0"),"Error tipo II","Decisión correcta"))</f>
        <v>Error tipo II</v>
      </c>
    </row>
    <row r="2773" customFormat="false" ht="15" hidden="false" customHeight="false" outlineLevel="0" collapsed="false">
      <c r="A2773" s="0" t="n">
        <v>2752</v>
      </c>
      <c r="B2773" s="0" t="s">
        <v>86</v>
      </c>
      <c r="C2773" s="17" t="n">
        <v>-0.26839841264207</v>
      </c>
      <c r="D2773" s="17" t="n">
        <f aca="false">(C2773-$B$4)/($B$6/SQRT($B$7))</f>
        <v>-1.34199206321035</v>
      </c>
      <c r="E2773" s="0" t="str">
        <f aca="false">IF(OR(AND($B$9="superior",D2773&gt;$B$10),AND($B$9="inferior",D2773&lt;-$B$10)),"Rechazar H0","No rechazar H0")</f>
        <v>No rechazar H0</v>
      </c>
      <c r="F2773" s="0" t="str">
        <f aca="false">IF(AND(B2773="H0 verdadera",E2773="Rechazar H0"),"Error tipo I",IF(AND(B2773="Ha verdadera",E2773="No rechazar H0"),"Error tipo II","Decisión correcta"))</f>
        <v>Error tipo II</v>
      </c>
    </row>
    <row r="2774" customFormat="false" ht="15" hidden="false" customHeight="false" outlineLevel="0" collapsed="false">
      <c r="A2774" s="0" t="n">
        <v>2753</v>
      </c>
      <c r="B2774" s="0" t="s">
        <v>86</v>
      </c>
      <c r="C2774" s="17" t="n">
        <v>-0.552262048221277</v>
      </c>
      <c r="D2774" s="17" t="n">
        <f aca="false">(C2774-$B$4)/($B$6/SQRT($B$7))</f>
        <v>-2.76131024110638</v>
      </c>
      <c r="E2774" s="0" t="str">
        <f aca="false">IF(OR(AND($B$9="superior",D2774&gt;$B$10),AND($B$9="inferior",D2774&lt;-$B$10)),"Rechazar H0","No rechazar H0")</f>
        <v>Rechazar H0</v>
      </c>
      <c r="F2774" s="0" t="str">
        <f aca="false">IF(AND(B2774="H0 verdadera",E2774="Rechazar H0"),"Error tipo I",IF(AND(B2774="Ha verdadera",E2774="No rechazar H0"),"Error tipo II","Decisión correcta"))</f>
        <v>Decisión correcta</v>
      </c>
    </row>
    <row r="2775" customFormat="false" ht="15" hidden="false" customHeight="false" outlineLevel="0" collapsed="false">
      <c r="A2775" s="0" t="n">
        <v>2754</v>
      </c>
      <c r="B2775" s="0" t="s">
        <v>85</v>
      </c>
      <c r="C2775" s="17" t="n">
        <v>0.129197308033776</v>
      </c>
      <c r="D2775" s="17" t="n">
        <f aca="false">(C2775-$B$4)/($B$6/SQRT($B$7))</f>
        <v>0.64598654016888</v>
      </c>
      <c r="E2775" s="0" t="str">
        <f aca="false">IF(OR(AND($B$9="superior",D2775&gt;$B$10),AND($B$9="inferior",D2775&lt;-$B$10)),"Rechazar H0","No rechazar H0")</f>
        <v>No rechazar H0</v>
      </c>
      <c r="F2775" s="0" t="str">
        <f aca="false">IF(AND(B2775="H0 verdadera",E2775="Rechazar H0"),"Error tipo I",IF(AND(B2775="Ha verdadera",E2775="No rechazar H0"),"Error tipo II","Decisión correcta"))</f>
        <v>Decisión correcta</v>
      </c>
    </row>
    <row r="2776" customFormat="false" ht="15" hidden="false" customHeight="false" outlineLevel="0" collapsed="false">
      <c r="A2776" s="0" t="n">
        <v>2755</v>
      </c>
      <c r="B2776" s="0" t="s">
        <v>85</v>
      </c>
      <c r="C2776" s="17" t="n">
        <v>0.0457876224774745</v>
      </c>
      <c r="D2776" s="17" t="n">
        <f aca="false">(C2776-$B$4)/($B$6/SQRT($B$7))</f>
        <v>0.228938112387373</v>
      </c>
      <c r="E2776" s="0" t="str">
        <f aca="false">IF(OR(AND($B$9="superior",D2776&gt;$B$10),AND($B$9="inferior",D2776&lt;-$B$10)),"Rechazar H0","No rechazar H0")</f>
        <v>No rechazar H0</v>
      </c>
      <c r="F2776" s="0" t="str">
        <f aca="false">IF(AND(B2776="H0 verdadera",E2776="Rechazar H0"),"Error tipo I",IF(AND(B2776="Ha verdadera",E2776="No rechazar H0"),"Error tipo II","Decisión correcta"))</f>
        <v>Decisión correcta</v>
      </c>
    </row>
    <row r="2777" customFormat="false" ht="15" hidden="false" customHeight="false" outlineLevel="0" collapsed="false">
      <c r="A2777" s="0" t="n">
        <v>2756</v>
      </c>
      <c r="B2777" s="0" t="s">
        <v>85</v>
      </c>
      <c r="C2777" s="17" t="n">
        <v>-0.327492893293057</v>
      </c>
      <c r="D2777" s="17" t="n">
        <f aca="false">(C2777-$B$4)/($B$6/SQRT($B$7))</f>
        <v>-1.63746446646528</v>
      </c>
      <c r="E2777" s="0" t="str">
        <f aca="false">IF(OR(AND($B$9="superior",D2777&gt;$B$10),AND($B$9="inferior",D2777&lt;-$B$10)),"Rechazar H0","No rechazar H0")</f>
        <v>No rechazar H0</v>
      </c>
      <c r="F2777" s="0" t="str">
        <f aca="false">IF(AND(B2777="H0 verdadera",E2777="Rechazar H0"),"Error tipo I",IF(AND(B2777="Ha verdadera",E2777="No rechazar H0"),"Error tipo II","Decisión correcta"))</f>
        <v>Decisión correcta</v>
      </c>
    </row>
    <row r="2778" customFormat="false" ht="15" hidden="false" customHeight="false" outlineLevel="0" collapsed="false">
      <c r="A2778" s="0" t="n">
        <v>2757</v>
      </c>
      <c r="B2778" s="0" t="s">
        <v>85</v>
      </c>
      <c r="C2778" s="17" t="n">
        <v>-0.0630727359241421</v>
      </c>
      <c r="D2778" s="17" t="n">
        <f aca="false">(C2778-$B$4)/($B$6/SQRT($B$7))</f>
        <v>-0.315363679620711</v>
      </c>
      <c r="E2778" s="0" t="str">
        <f aca="false">IF(OR(AND($B$9="superior",D2778&gt;$B$10),AND($B$9="inferior",D2778&lt;-$B$10)),"Rechazar H0","No rechazar H0")</f>
        <v>No rechazar H0</v>
      </c>
      <c r="F2778" s="0" t="str">
        <f aca="false">IF(AND(B2778="H0 verdadera",E2778="Rechazar H0"),"Error tipo I",IF(AND(B2778="Ha verdadera",E2778="No rechazar H0"),"Error tipo II","Decisión correcta"))</f>
        <v>Decisión correcta</v>
      </c>
    </row>
    <row r="2779" customFormat="false" ht="15" hidden="false" customHeight="false" outlineLevel="0" collapsed="false">
      <c r="A2779" s="0" t="n">
        <v>2758</v>
      </c>
      <c r="B2779" s="0" t="s">
        <v>85</v>
      </c>
      <c r="C2779" s="17" t="n">
        <v>0.00193414069803508</v>
      </c>
      <c r="D2779" s="17" t="n">
        <f aca="false">(C2779-$B$4)/($B$6/SQRT($B$7))</f>
        <v>0.00967070349017541</v>
      </c>
      <c r="E2779" s="0" t="str">
        <f aca="false">IF(OR(AND($B$9="superior",D2779&gt;$B$10),AND($B$9="inferior",D2779&lt;-$B$10)),"Rechazar H0","No rechazar H0")</f>
        <v>No rechazar H0</v>
      </c>
      <c r="F2779" s="0" t="str">
        <f aca="false">IF(AND(B2779="H0 verdadera",E2779="Rechazar H0"),"Error tipo I",IF(AND(B2779="Ha verdadera",E2779="No rechazar H0"),"Error tipo II","Decisión correcta"))</f>
        <v>Decisión correcta</v>
      </c>
    </row>
    <row r="2780" customFormat="false" ht="15" hidden="false" customHeight="false" outlineLevel="0" collapsed="false">
      <c r="A2780" s="0" t="n">
        <v>2759</v>
      </c>
      <c r="B2780" s="0" t="s">
        <v>85</v>
      </c>
      <c r="C2780" s="17" t="n">
        <v>-0.0845846522786437</v>
      </c>
      <c r="D2780" s="17" t="n">
        <f aca="false">(C2780-$B$4)/($B$6/SQRT($B$7))</f>
        <v>-0.422923261393218</v>
      </c>
      <c r="E2780" s="0" t="str">
        <f aca="false">IF(OR(AND($B$9="superior",D2780&gt;$B$10),AND($B$9="inferior",D2780&lt;-$B$10)),"Rechazar H0","No rechazar H0")</f>
        <v>No rechazar H0</v>
      </c>
      <c r="F2780" s="0" t="str">
        <f aca="false">IF(AND(B2780="H0 verdadera",E2780="Rechazar H0"),"Error tipo I",IF(AND(B2780="Ha verdadera",E2780="No rechazar H0"),"Error tipo II","Decisión correcta"))</f>
        <v>Decisión correcta</v>
      </c>
    </row>
    <row r="2781" customFormat="false" ht="15" hidden="false" customHeight="false" outlineLevel="0" collapsed="false">
      <c r="A2781" s="0" t="n">
        <v>2760</v>
      </c>
      <c r="B2781" s="0" t="s">
        <v>85</v>
      </c>
      <c r="C2781" s="17" t="n">
        <v>-0.125417782934408</v>
      </c>
      <c r="D2781" s="17" t="n">
        <f aca="false">(C2781-$B$4)/($B$6/SQRT($B$7))</f>
        <v>-0.627088914672038</v>
      </c>
      <c r="E2781" s="0" t="str">
        <f aca="false">IF(OR(AND($B$9="superior",D2781&gt;$B$10),AND($B$9="inferior",D2781&lt;-$B$10)),"Rechazar H0","No rechazar H0")</f>
        <v>No rechazar H0</v>
      </c>
      <c r="F2781" s="0" t="str">
        <f aca="false">IF(AND(B2781="H0 verdadera",E2781="Rechazar H0"),"Error tipo I",IF(AND(B2781="Ha verdadera",E2781="No rechazar H0"),"Error tipo II","Decisión correcta"))</f>
        <v>Decisión correcta</v>
      </c>
    </row>
    <row r="2782" customFormat="false" ht="15" hidden="false" customHeight="false" outlineLevel="0" collapsed="false">
      <c r="A2782" s="0" t="n">
        <v>2761</v>
      </c>
      <c r="B2782" s="0" t="s">
        <v>86</v>
      </c>
      <c r="C2782" s="17" t="n">
        <v>-0.300265913250949</v>
      </c>
      <c r="D2782" s="17" t="n">
        <f aca="false">(C2782-$B$4)/($B$6/SQRT($B$7))</f>
        <v>-1.50132956625474</v>
      </c>
      <c r="E2782" s="0" t="str">
        <f aca="false">IF(OR(AND($B$9="superior",D2782&gt;$B$10),AND($B$9="inferior",D2782&lt;-$B$10)),"Rechazar H0","No rechazar H0")</f>
        <v>No rechazar H0</v>
      </c>
      <c r="F2782" s="0" t="str">
        <f aca="false">IF(AND(B2782="H0 verdadera",E2782="Rechazar H0"),"Error tipo I",IF(AND(B2782="Ha verdadera",E2782="No rechazar H0"),"Error tipo II","Decisión correcta"))</f>
        <v>Error tipo II</v>
      </c>
    </row>
    <row r="2783" customFormat="false" ht="15" hidden="false" customHeight="false" outlineLevel="0" collapsed="false">
      <c r="A2783" s="0" t="n">
        <v>2762</v>
      </c>
      <c r="B2783" s="0" t="s">
        <v>86</v>
      </c>
      <c r="C2783" s="17" t="n">
        <v>-0.542026557295315</v>
      </c>
      <c r="D2783" s="17" t="n">
        <f aca="false">(C2783-$B$4)/($B$6/SQRT($B$7))</f>
        <v>-2.71013278647657</v>
      </c>
      <c r="E2783" s="0" t="str">
        <f aca="false">IF(OR(AND($B$9="superior",D2783&gt;$B$10),AND($B$9="inferior",D2783&lt;-$B$10)),"Rechazar H0","No rechazar H0")</f>
        <v>Rechazar H0</v>
      </c>
      <c r="F2783" s="0" t="str">
        <f aca="false">IF(AND(B2783="H0 verdadera",E2783="Rechazar H0"),"Error tipo I",IF(AND(B2783="Ha verdadera",E2783="No rechazar H0"),"Error tipo II","Decisión correcta"))</f>
        <v>Decisión correcta</v>
      </c>
    </row>
    <row r="2784" customFormat="false" ht="15" hidden="false" customHeight="false" outlineLevel="0" collapsed="false">
      <c r="A2784" s="0" t="n">
        <v>2763</v>
      </c>
      <c r="B2784" s="0" t="s">
        <v>86</v>
      </c>
      <c r="C2784" s="17" t="n">
        <v>-0.279690544271745</v>
      </c>
      <c r="D2784" s="17" t="n">
        <f aca="false">(C2784-$B$4)/($B$6/SQRT($B$7))</f>
        <v>-1.39845272135873</v>
      </c>
      <c r="E2784" s="0" t="str">
        <f aca="false">IF(OR(AND($B$9="superior",D2784&gt;$B$10),AND($B$9="inferior",D2784&lt;-$B$10)),"Rechazar H0","No rechazar H0")</f>
        <v>No rechazar H0</v>
      </c>
      <c r="F2784" s="0" t="str">
        <f aca="false">IF(AND(B2784="H0 verdadera",E2784="Rechazar H0"),"Error tipo I",IF(AND(B2784="Ha verdadera",E2784="No rechazar H0"),"Error tipo II","Decisión correcta"))</f>
        <v>Error tipo II</v>
      </c>
    </row>
    <row r="2785" customFormat="false" ht="15" hidden="false" customHeight="false" outlineLevel="0" collapsed="false">
      <c r="A2785" s="0" t="n">
        <v>2764</v>
      </c>
      <c r="B2785" s="0" t="s">
        <v>85</v>
      </c>
      <c r="C2785" s="17" t="n">
        <v>0.0542806514728705</v>
      </c>
      <c r="D2785" s="17" t="n">
        <f aca="false">(C2785-$B$4)/($B$6/SQRT($B$7))</f>
        <v>0.271403257364352</v>
      </c>
      <c r="E2785" s="0" t="str">
        <f aca="false">IF(OR(AND($B$9="superior",D2785&gt;$B$10),AND($B$9="inferior",D2785&lt;-$B$10)),"Rechazar H0","No rechazar H0")</f>
        <v>No rechazar H0</v>
      </c>
      <c r="F2785" s="0" t="str">
        <f aca="false">IF(AND(B2785="H0 verdadera",E2785="Rechazar H0"),"Error tipo I",IF(AND(B2785="Ha verdadera",E2785="No rechazar H0"),"Error tipo II","Decisión correcta"))</f>
        <v>Decisión correcta</v>
      </c>
    </row>
    <row r="2786" customFormat="false" ht="15" hidden="false" customHeight="false" outlineLevel="0" collapsed="false">
      <c r="A2786" s="0" t="n">
        <v>2765</v>
      </c>
      <c r="B2786" s="0" t="s">
        <v>85</v>
      </c>
      <c r="C2786" s="17" t="n">
        <v>-0.360812003342272</v>
      </c>
      <c r="D2786" s="17" t="n">
        <f aca="false">(C2786-$B$4)/($B$6/SQRT($B$7))</f>
        <v>-1.80406001671136</v>
      </c>
      <c r="E2786" s="0" t="str">
        <f aca="false">IF(OR(AND($B$9="superior",D2786&gt;$B$10),AND($B$9="inferior",D2786&lt;-$B$10)),"Rechazar H0","No rechazar H0")</f>
        <v>Rechazar H0</v>
      </c>
      <c r="F2786" s="0" t="str">
        <f aca="false">IF(AND(B2786="H0 verdadera",E2786="Rechazar H0"),"Error tipo I",IF(AND(B2786="Ha verdadera",E2786="No rechazar H0"),"Error tipo II","Decisión correcta"))</f>
        <v>Error tipo I</v>
      </c>
    </row>
    <row r="2787" customFormat="false" ht="15" hidden="false" customHeight="false" outlineLevel="0" collapsed="false">
      <c r="A2787" s="0" t="n">
        <v>2766</v>
      </c>
      <c r="B2787" s="0" t="s">
        <v>86</v>
      </c>
      <c r="C2787" s="17" t="n">
        <v>-0.590083932132636</v>
      </c>
      <c r="D2787" s="17" t="n">
        <f aca="false">(C2787-$B$4)/($B$6/SQRT($B$7))</f>
        <v>-2.95041966066318</v>
      </c>
      <c r="E2787" s="0" t="str">
        <f aca="false">IF(OR(AND($B$9="superior",D2787&gt;$B$10),AND($B$9="inferior",D2787&lt;-$B$10)),"Rechazar H0","No rechazar H0")</f>
        <v>Rechazar H0</v>
      </c>
      <c r="F2787" s="0" t="str">
        <f aca="false">IF(AND(B2787="H0 verdadera",E2787="Rechazar H0"),"Error tipo I",IF(AND(B2787="Ha verdadera",E2787="No rechazar H0"),"Error tipo II","Decisión correcta"))</f>
        <v>Decisión correcta</v>
      </c>
    </row>
    <row r="2788" customFormat="false" ht="15" hidden="false" customHeight="false" outlineLevel="0" collapsed="false">
      <c r="A2788" s="0" t="n">
        <v>2767</v>
      </c>
      <c r="B2788" s="0" t="s">
        <v>85</v>
      </c>
      <c r="C2788" s="17" t="n">
        <v>0.0241582544674307</v>
      </c>
      <c r="D2788" s="17" t="n">
        <f aca="false">(C2788-$B$4)/($B$6/SQRT($B$7))</f>
        <v>0.120791272337153</v>
      </c>
      <c r="E2788" s="0" t="str">
        <f aca="false">IF(OR(AND($B$9="superior",D2788&gt;$B$10),AND($B$9="inferior",D2788&lt;-$B$10)),"Rechazar H0","No rechazar H0")</f>
        <v>No rechazar H0</v>
      </c>
      <c r="F2788" s="0" t="str">
        <f aca="false">IF(AND(B2788="H0 verdadera",E2788="Rechazar H0"),"Error tipo I",IF(AND(B2788="Ha verdadera",E2788="No rechazar H0"),"Error tipo II","Decisión correcta"))</f>
        <v>Decisión correcta</v>
      </c>
    </row>
    <row r="2789" customFormat="false" ht="15" hidden="false" customHeight="false" outlineLevel="0" collapsed="false">
      <c r="A2789" s="0" t="n">
        <v>2768</v>
      </c>
      <c r="B2789" s="0" t="s">
        <v>85</v>
      </c>
      <c r="C2789" s="17" t="n">
        <v>0.232999229622379</v>
      </c>
      <c r="D2789" s="17" t="n">
        <f aca="false">(C2789-$B$4)/($B$6/SQRT($B$7))</f>
        <v>1.1649961481119</v>
      </c>
      <c r="E2789" s="0" t="str">
        <f aca="false">IF(OR(AND($B$9="superior",D2789&gt;$B$10),AND($B$9="inferior",D2789&lt;-$B$10)),"Rechazar H0","No rechazar H0")</f>
        <v>No rechazar H0</v>
      </c>
      <c r="F2789" s="0" t="str">
        <f aca="false">IF(AND(B2789="H0 verdadera",E2789="Rechazar H0"),"Error tipo I",IF(AND(B2789="Ha verdadera",E2789="No rechazar H0"),"Error tipo II","Decisión correcta"))</f>
        <v>Decisión correcta</v>
      </c>
    </row>
    <row r="2790" customFormat="false" ht="15" hidden="false" customHeight="false" outlineLevel="0" collapsed="false">
      <c r="A2790" s="0" t="n">
        <v>2769</v>
      </c>
      <c r="B2790" s="0" t="s">
        <v>85</v>
      </c>
      <c r="C2790" s="17" t="n">
        <v>-0.317185024205455</v>
      </c>
      <c r="D2790" s="17" t="n">
        <f aca="false">(C2790-$B$4)/($B$6/SQRT($B$7))</f>
        <v>-1.58592512102728</v>
      </c>
      <c r="E2790" s="0" t="str">
        <f aca="false">IF(OR(AND($B$9="superior",D2790&gt;$B$10),AND($B$9="inferior",D2790&lt;-$B$10)),"Rechazar H0","No rechazar H0")</f>
        <v>No rechazar H0</v>
      </c>
      <c r="F2790" s="0" t="str">
        <f aca="false">IF(AND(B2790="H0 verdadera",E2790="Rechazar H0"),"Error tipo I",IF(AND(B2790="Ha verdadera",E2790="No rechazar H0"),"Error tipo II","Decisión correcta"))</f>
        <v>Decisión correcta</v>
      </c>
    </row>
    <row r="2791" customFormat="false" ht="15" hidden="false" customHeight="false" outlineLevel="0" collapsed="false">
      <c r="A2791" s="0" t="n">
        <v>2770</v>
      </c>
      <c r="B2791" s="0" t="s">
        <v>85</v>
      </c>
      <c r="C2791" s="17" t="n">
        <v>0.244191507166438</v>
      </c>
      <c r="D2791" s="17" t="n">
        <f aca="false">(C2791-$B$4)/($B$6/SQRT($B$7))</f>
        <v>1.22095753583219</v>
      </c>
      <c r="E2791" s="0" t="str">
        <f aca="false">IF(OR(AND($B$9="superior",D2791&gt;$B$10),AND($B$9="inferior",D2791&lt;-$B$10)),"Rechazar H0","No rechazar H0")</f>
        <v>No rechazar H0</v>
      </c>
      <c r="F2791" s="0" t="str">
        <f aca="false">IF(AND(B2791="H0 verdadera",E2791="Rechazar H0"),"Error tipo I",IF(AND(B2791="Ha verdadera",E2791="No rechazar H0"),"Error tipo II","Decisión correcta"))</f>
        <v>Decisión correcta</v>
      </c>
    </row>
    <row r="2792" customFormat="false" ht="15" hidden="false" customHeight="false" outlineLevel="0" collapsed="false">
      <c r="A2792" s="0" t="n">
        <v>2771</v>
      </c>
      <c r="B2792" s="0" t="s">
        <v>86</v>
      </c>
      <c r="C2792" s="17" t="n">
        <v>-0.48040315922298</v>
      </c>
      <c r="D2792" s="17" t="n">
        <f aca="false">(C2792-$B$4)/($B$6/SQRT($B$7))</f>
        <v>-2.4020157961149</v>
      </c>
      <c r="E2792" s="0" t="str">
        <f aca="false">IF(OR(AND($B$9="superior",D2792&gt;$B$10),AND($B$9="inferior",D2792&lt;-$B$10)),"Rechazar H0","No rechazar H0")</f>
        <v>Rechazar H0</v>
      </c>
      <c r="F2792" s="0" t="str">
        <f aca="false">IF(AND(B2792="H0 verdadera",E2792="Rechazar H0"),"Error tipo I",IF(AND(B2792="Ha verdadera",E2792="No rechazar H0"),"Error tipo II","Decisión correcta"))</f>
        <v>Decisión correcta</v>
      </c>
    </row>
    <row r="2793" customFormat="false" ht="15" hidden="false" customHeight="false" outlineLevel="0" collapsed="false">
      <c r="A2793" s="0" t="n">
        <v>2772</v>
      </c>
      <c r="B2793" s="0" t="s">
        <v>86</v>
      </c>
      <c r="C2793" s="17" t="n">
        <v>-0.369704523476371</v>
      </c>
      <c r="D2793" s="17" t="n">
        <f aca="false">(C2793-$B$4)/($B$6/SQRT($B$7))</f>
        <v>-1.84852261738186</v>
      </c>
      <c r="E2793" s="0" t="str">
        <f aca="false">IF(OR(AND($B$9="superior",D2793&gt;$B$10),AND($B$9="inferior",D2793&lt;-$B$10)),"Rechazar H0","No rechazar H0")</f>
        <v>Rechazar H0</v>
      </c>
      <c r="F2793" s="0" t="str">
        <f aca="false">IF(AND(B2793="H0 verdadera",E2793="Rechazar H0"),"Error tipo I",IF(AND(B2793="Ha verdadera",E2793="No rechazar H0"),"Error tipo II","Decisión correcta"))</f>
        <v>Decisión correcta</v>
      </c>
    </row>
    <row r="2794" customFormat="false" ht="15" hidden="false" customHeight="false" outlineLevel="0" collapsed="false">
      <c r="A2794" s="0" t="n">
        <v>2773</v>
      </c>
      <c r="B2794" s="0" t="s">
        <v>85</v>
      </c>
      <c r="C2794" s="17" t="n">
        <v>0.163133713524725</v>
      </c>
      <c r="D2794" s="17" t="n">
        <f aca="false">(C2794-$B$4)/($B$6/SQRT($B$7))</f>
        <v>0.815668567623624</v>
      </c>
      <c r="E2794" s="0" t="str">
        <f aca="false">IF(OR(AND($B$9="superior",D2794&gt;$B$10),AND($B$9="inferior",D2794&lt;-$B$10)),"Rechazar H0","No rechazar H0")</f>
        <v>No rechazar H0</v>
      </c>
      <c r="F2794" s="0" t="str">
        <f aca="false">IF(AND(B2794="H0 verdadera",E2794="Rechazar H0"),"Error tipo I",IF(AND(B2794="Ha verdadera",E2794="No rechazar H0"),"Error tipo II","Decisión correcta"))</f>
        <v>Decisión correcta</v>
      </c>
    </row>
    <row r="2795" customFormat="false" ht="15" hidden="false" customHeight="false" outlineLevel="0" collapsed="false">
      <c r="A2795" s="0" t="n">
        <v>2774</v>
      </c>
      <c r="B2795" s="0" t="s">
        <v>86</v>
      </c>
      <c r="C2795" s="17" t="n">
        <v>-0.357475067943226</v>
      </c>
      <c r="D2795" s="17" t="n">
        <f aca="false">(C2795-$B$4)/($B$6/SQRT($B$7))</f>
        <v>-1.78737533971613</v>
      </c>
      <c r="E2795" s="0" t="str">
        <f aca="false">IF(OR(AND($B$9="superior",D2795&gt;$B$10),AND($B$9="inferior",D2795&lt;-$B$10)),"Rechazar H0","No rechazar H0")</f>
        <v>Rechazar H0</v>
      </c>
      <c r="F2795" s="0" t="str">
        <f aca="false">IF(AND(B2795="H0 verdadera",E2795="Rechazar H0"),"Error tipo I",IF(AND(B2795="Ha verdadera",E2795="No rechazar H0"),"Error tipo II","Decisión correcta"))</f>
        <v>Decisión correcta</v>
      </c>
    </row>
    <row r="2796" customFormat="false" ht="15" hidden="false" customHeight="false" outlineLevel="0" collapsed="false">
      <c r="A2796" s="0" t="n">
        <v>2775</v>
      </c>
      <c r="B2796" s="0" t="s">
        <v>85</v>
      </c>
      <c r="C2796" s="17" t="n">
        <v>-0.0934040083881121</v>
      </c>
      <c r="D2796" s="17" t="n">
        <f aca="false">(C2796-$B$4)/($B$6/SQRT($B$7))</f>
        <v>-0.467020041940561</v>
      </c>
      <c r="E2796" s="0" t="str">
        <f aca="false">IF(OR(AND($B$9="superior",D2796&gt;$B$10),AND($B$9="inferior",D2796&lt;-$B$10)),"Rechazar H0","No rechazar H0")</f>
        <v>No rechazar H0</v>
      </c>
      <c r="F2796" s="0" t="str">
        <f aca="false">IF(AND(B2796="H0 verdadera",E2796="Rechazar H0"),"Error tipo I",IF(AND(B2796="Ha verdadera",E2796="No rechazar H0"),"Error tipo II","Decisión correcta"))</f>
        <v>Decisión correcta</v>
      </c>
    </row>
    <row r="2797" customFormat="false" ht="15" hidden="false" customHeight="false" outlineLevel="0" collapsed="false">
      <c r="A2797" s="0" t="n">
        <v>2776</v>
      </c>
      <c r="B2797" s="0" t="s">
        <v>86</v>
      </c>
      <c r="C2797" s="17" t="n">
        <v>-0.250818061962416</v>
      </c>
      <c r="D2797" s="17" t="n">
        <f aca="false">(C2797-$B$4)/($B$6/SQRT($B$7))</f>
        <v>-1.25409030981208</v>
      </c>
      <c r="E2797" s="0" t="str">
        <f aca="false">IF(OR(AND($B$9="superior",D2797&gt;$B$10),AND($B$9="inferior",D2797&lt;-$B$10)),"Rechazar H0","No rechazar H0")</f>
        <v>No rechazar H0</v>
      </c>
      <c r="F2797" s="0" t="str">
        <f aca="false">IF(AND(B2797="H0 verdadera",E2797="Rechazar H0"),"Error tipo I",IF(AND(B2797="Ha verdadera",E2797="No rechazar H0"),"Error tipo II","Decisión correcta"))</f>
        <v>Error tipo II</v>
      </c>
    </row>
    <row r="2798" customFormat="false" ht="15" hidden="false" customHeight="false" outlineLevel="0" collapsed="false">
      <c r="A2798" s="0" t="n">
        <v>2777</v>
      </c>
      <c r="B2798" s="0" t="s">
        <v>86</v>
      </c>
      <c r="C2798" s="17" t="n">
        <v>-0.482942711765884</v>
      </c>
      <c r="D2798" s="17" t="n">
        <f aca="false">(C2798-$B$4)/($B$6/SQRT($B$7))</f>
        <v>-2.41471355882942</v>
      </c>
      <c r="E2798" s="0" t="str">
        <f aca="false">IF(OR(AND($B$9="superior",D2798&gt;$B$10),AND($B$9="inferior",D2798&lt;-$B$10)),"Rechazar H0","No rechazar H0")</f>
        <v>Rechazar H0</v>
      </c>
      <c r="F2798" s="0" t="str">
        <f aca="false">IF(AND(B2798="H0 verdadera",E2798="Rechazar H0"),"Error tipo I",IF(AND(B2798="Ha verdadera",E2798="No rechazar H0"),"Error tipo II","Decisión correcta"))</f>
        <v>Decisión correcta</v>
      </c>
    </row>
    <row r="2799" customFormat="false" ht="15" hidden="false" customHeight="false" outlineLevel="0" collapsed="false">
      <c r="A2799" s="0" t="n">
        <v>2778</v>
      </c>
      <c r="B2799" s="0" t="s">
        <v>86</v>
      </c>
      <c r="C2799" s="17" t="n">
        <v>-0.265626026178633</v>
      </c>
      <c r="D2799" s="17" t="n">
        <f aca="false">(C2799-$B$4)/($B$6/SQRT($B$7))</f>
        <v>-1.32813013089317</v>
      </c>
      <c r="E2799" s="0" t="str">
        <f aca="false">IF(OR(AND($B$9="superior",D2799&gt;$B$10),AND($B$9="inferior",D2799&lt;-$B$10)),"Rechazar H0","No rechazar H0")</f>
        <v>No rechazar H0</v>
      </c>
      <c r="F2799" s="0" t="str">
        <f aca="false">IF(AND(B2799="H0 verdadera",E2799="Rechazar H0"),"Error tipo I",IF(AND(B2799="Ha verdadera",E2799="No rechazar H0"),"Error tipo II","Decisión correcta"))</f>
        <v>Error tipo II</v>
      </c>
    </row>
    <row r="2800" customFormat="false" ht="15" hidden="false" customHeight="false" outlineLevel="0" collapsed="false">
      <c r="A2800" s="0" t="n">
        <v>2779</v>
      </c>
      <c r="B2800" s="0" t="s">
        <v>85</v>
      </c>
      <c r="C2800" s="17" t="n">
        <v>-0.0785020374975278</v>
      </c>
      <c r="D2800" s="17" t="n">
        <f aca="false">(C2800-$B$4)/($B$6/SQRT($B$7))</f>
        <v>-0.392510187487639</v>
      </c>
      <c r="E2800" s="0" t="str">
        <f aca="false">IF(OR(AND($B$9="superior",D2800&gt;$B$10),AND($B$9="inferior",D2800&lt;-$B$10)),"Rechazar H0","No rechazar H0")</f>
        <v>No rechazar H0</v>
      </c>
      <c r="F2800" s="0" t="str">
        <f aca="false">IF(AND(B2800="H0 verdadera",E2800="Rechazar H0"),"Error tipo I",IF(AND(B2800="Ha verdadera",E2800="No rechazar H0"),"Error tipo II","Decisión correcta"))</f>
        <v>Decisión correcta</v>
      </c>
    </row>
    <row r="2801" customFormat="false" ht="15" hidden="false" customHeight="false" outlineLevel="0" collapsed="false">
      <c r="A2801" s="0" t="n">
        <v>2780</v>
      </c>
      <c r="B2801" s="0" t="s">
        <v>85</v>
      </c>
      <c r="C2801" s="17" t="n">
        <v>0.403787100529466</v>
      </c>
      <c r="D2801" s="17" t="n">
        <f aca="false">(C2801-$B$4)/($B$6/SQRT($B$7))</f>
        <v>2.01893550264733</v>
      </c>
      <c r="E2801" s="0" t="str">
        <f aca="false">IF(OR(AND($B$9="superior",D2801&gt;$B$10),AND($B$9="inferior",D2801&lt;-$B$10)),"Rechazar H0","No rechazar H0")</f>
        <v>No rechazar H0</v>
      </c>
      <c r="F2801" s="0" t="str">
        <f aca="false">IF(AND(B2801="H0 verdadera",E2801="Rechazar H0"),"Error tipo I",IF(AND(B2801="Ha verdadera",E2801="No rechazar H0"),"Error tipo II","Decisión correcta"))</f>
        <v>Decisión correcta</v>
      </c>
    </row>
    <row r="2802" customFormat="false" ht="15" hidden="false" customHeight="false" outlineLevel="0" collapsed="false">
      <c r="A2802" s="0" t="n">
        <v>2781</v>
      </c>
      <c r="B2802" s="0" t="s">
        <v>86</v>
      </c>
      <c r="C2802" s="17" t="n">
        <v>-0.546418272984496</v>
      </c>
      <c r="D2802" s="17" t="n">
        <f aca="false">(C2802-$B$4)/($B$6/SQRT($B$7))</f>
        <v>-2.73209136492248</v>
      </c>
      <c r="E2802" s="0" t="str">
        <f aca="false">IF(OR(AND($B$9="superior",D2802&gt;$B$10),AND($B$9="inferior",D2802&lt;-$B$10)),"Rechazar H0","No rechazar H0")</f>
        <v>Rechazar H0</v>
      </c>
      <c r="F2802" s="0" t="str">
        <f aca="false">IF(AND(B2802="H0 verdadera",E2802="Rechazar H0"),"Error tipo I",IF(AND(B2802="Ha verdadera",E2802="No rechazar H0"),"Error tipo II","Decisión correcta"))</f>
        <v>Decisión correcta</v>
      </c>
    </row>
    <row r="2803" customFormat="false" ht="15" hidden="false" customHeight="false" outlineLevel="0" collapsed="false">
      <c r="A2803" s="0" t="n">
        <v>2782</v>
      </c>
      <c r="B2803" s="0" t="s">
        <v>86</v>
      </c>
      <c r="C2803" s="17" t="n">
        <v>-0.344582930896155</v>
      </c>
      <c r="D2803" s="17" t="n">
        <f aca="false">(C2803-$B$4)/($B$6/SQRT($B$7))</f>
        <v>-1.72291465448077</v>
      </c>
      <c r="E2803" s="0" t="str">
        <f aca="false">IF(OR(AND($B$9="superior",D2803&gt;$B$10),AND($B$9="inferior",D2803&lt;-$B$10)),"Rechazar H0","No rechazar H0")</f>
        <v>Rechazar H0</v>
      </c>
      <c r="F2803" s="0" t="str">
        <f aca="false">IF(AND(B2803="H0 verdadera",E2803="Rechazar H0"),"Error tipo I",IF(AND(B2803="Ha verdadera",E2803="No rechazar H0"),"Error tipo II","Decisión correcta"))</f>
        <v>Decisión correcta</v>
      </c>
    </row>
    <row r="2804" customFormat="false" ht="15" hidden="false" customHeight="false" outlineLevel="0" collapsed="false">
      <c r="A2804" s="0" t="n">
        <v>2783</v>
      </c>
      <c r="B2804" s="0" t="s">
        <v>86</v>
      </c>
      <c r="C2804" s="17" t="n">
        <v>-0.411156833083952</v>
      </c>
      <c r="D2804" s="17" t="n">
        <f aca="false">(C2804-$B$4)/($B$6/SQRT($B$7))</f>
        <v>-2.05578416541976</v>
      </c>
      <c r="E2804" s="0" t="str">
        <f aca="false">IF(OR(AND($B$9="superior",D2804&gt;$B$10),AND($B$9="inferior",D2804&lt;-$B$10)),"Rechazar H0","No rechazar H0")</f>
        <v>Rechazar H0</v>
      </c>
      <c r="F2804" s="0" t="str">
        <f aca="false">IF(AND(B2804="H0 verdadera",E2804="Rechazar H0"),"Error tipo I",IF(AND(B2804="Ha verdadera",E2804="No rechazar H0"),"Error tipo II","Decisión correcta"))</f>
        <v>Decisión correcta</v>
      </c>
    </row>
    <row r="2805" customFormat="false" ht="15" hidden="false" customHeight="false" outlineLevel="0" collapsed="false">
      <c r="A2805" s="0" t="n">
        <v>2784</v>
      </c>
      <c r="B2805" s="0" t="s">
        <v>86</v>
      </c>
      <c r="C2805" s="17" t="n">
        <v>-0.232218562890772</v>
      </c>
      <c r="D2805" s="17" t="n">
        <f aca="false">(C2805-$B$4)/($B$6/SQRT($B$7))</f>
        <v>-1.16109281445386</v>
      </c>
      <c r="E2805" s="0" t="str">
        <f aca="false">IF(OR(AND($B$9="superior",D2805&gt;$B$10),AND($B$9="inferior",D2805&lt;-$B$10)),"Rechazar H0","No rechazar H0")</f>
        <v>No rechazar H0</v>
      </c>
      <c r="F2805" s="0" t="str">
        <f aca="false">IF(AND(B2805="H0 verdadera",E2805="Rechazar H0"),"Error tipo I",IF(AND(B2805="Ha verdadera",E2805="No rechazar H0"),"Error tipo II","Decisión correcta"))</f>
        <v>Error tipo II</v>
      </c>
    </row>
    <row r="2806" customFormat="false" ht="15" hidden="false" customHeight="false" outlineLevel="0" collapsed="false">
      <c r="A2806" s="0" t="n">
        <v>2785</v>
      </c>
      <c r="B2806" s="0" t="s">
        <v>85</v>
      </c>
      <c r="C2806" s="17" t="n">
        <v>-0.133559995629619</v>
      </c>
      <c r="D2806" s="17" t="n">
        <f aca="false">(C2806-$B$4)/($B$6/SQRT($B$7))</f>
        <v>-0.667799978148094</v>
      </c>
      <c r="E2806" s="0" t="str">
        <f aca="false">IF(OR(AND($B$9="superior",D2806&gt;$B$10),AND($B$9="inferior",D2806&lt;-$B$10)),"Rechazar H0","No rechazar H0")</f>
        <v>No rechazar H0</v>
      </c>
      <c r="F2806" s="0" t="str">
        <f aca="false">IF(AND(B2806="H0 verdadera",E2806="Rechazar H0"),"Error tipo I",IF(AND(B2806="Ha verdadera",E2806="No rechazar H0"),"Error tipo II","Decisión correcta"))</f>
        <v>Decisión correcta</v>
      </c>
    </row>
    <row r="2807" customFormat="false" ht="15" hidden="false" customHeight="false" outlineLevel="0" collapsed="false">
      <c r="A2807" s="0" t="n">
        <v>2786</v>
      </c>
      <c r="B2807" s="0" t="s">
        <v>85</v>
      </c>
      <c r="C2807" s="17" t="n">
        <v>-0.097028888889451</v>
      </c>
      <c r="D2807" s="17" t="n">
        <f aca="false">(C2807-$B$4)/($B$6/SQRT($B$7))</f>
        <v>-0.485144444447255</v>
      </c>
      <c r="E2807" s="0" t="str">
        <f aca="false">IF(OR(AND($B$9="superior",D2807&gt;$B$10),AND($B$9="inferior",D2807&lt;-$B$10)),"Rechazar H0","No rechazar H0")</f>
        <v>No rechazar H0</v>
      </c>
      <c r="F2807" s="0" t="str">
        <f aca="false">IF(AND(B2807="H0 verdadera",E2807="Rechazar H0"),"Error tipo I",IF(AND(B2807="Ha verdadera",E2807="No rechazar H0"),"Error tipo II","Decisión correcta"))</f>
        <v>Decisión correcta</v>
      </c>
    </row>
    <row r="2808" customFormat="false" ht="15" hidden="false" customHeight="false" outlineLevel="0" collapsed="false">
      <c r="A2808" s="0" t="n">
        <v>2787</v>
      </c>
      <c r="B2808" s="0" t="s">
        <v>86</v>
      </c>
      <c r="C2808" s="17" t="n">
        <v>-0.570953952249893</v>
      </c>
      <c r="D2808" s="17" t="n">
        <f aca="false">(C2808-$B$4)/($B$6/SQRT($B$7))</f>
        <v>-2.85476976124946</v>
      </c>
      <c r="E2808" s="0" t="str">
        <f aca="false">IF(OR(AND($B$9="superior",D2808&gt;$B$10),AND($B$9="inferior",D2808&lt;-$B$10)),"Rechazar H0","No rechazar H0")</f>
        <v>Rechazar H0</v>
      </c>
      <c r="F2808" s="0" t="str">
        <f aca="false">IF(AND(B2808="H0 verdadera",E2808="Rechazar H0"),"Error tipo I",IF(AND(B2808="Ha verdadera",E2808="No rechazar H0"),"Error tipo II","Decisión correcta"))</f>
        <v>Decisión correcta</v>
      </c>
    </row>
    <row r="2809" customFormat="false" ht="15" hidden="false" customHeight="false" outlineLevel="0" collapsed="false">
      <c r="A2809" s="0" t="n">
        <v>2788</v>
      </c>
      <c r="B2809" s="0" t="s">
        <v>85</v>
      </c>
      <c r="C2809" s="17" t="n">
        <v>-0.208441620377409</v>
      </c>
      <c r="D2809" s="17" t="n">
        <f aca="false">(C2809-$B$4)/($B$6/SQRT($B$7))</f>
        <v>-1.04220810188705</v>
      </c>
      <c r="E2809" s="0" t="str">
        <f aca="false">IF(OR(AND($B$9="superior",D2809&gt;$B$10),AND($B$9="inferior",D2809&lt;-$B$10)),"Rechazar H0","No rechazar H0")</f>
        <v>No rechazar H0</v>
      </c>
      <c r="F2809" s="0" t="str">
        <f aca="false">IF(AND(B2809="H0 verdadera",E2809="Rechazar H0"),"Error tipo I",IF(AND(B2809="Ha verdadera",E2809="No rechazar H0"),"Error tipo II","Decisión correcta"))</f>
        <v>Decisión correcta</v>
      </c>
    </row>
    <row r="2810" customFormat="false" ht="15" hidden="false" customHeight="false" outlineLevel="0" collapsed="false">
      <c r="A2810" s="0" t="n">
        <v>2789</v>
      </c>
      <c r="B2810" s="0" t="s">
        <v>85</v>
      </c>
      <c r="C2810" s="17" t="n">
        <v>0.100207020360556</v>
      </c>
      <c r="D2810" s="17" t="n">
        <f aca="false">(C2810-$B$4)/($B$6/SQRT($B$7))</f>
        <v>0.501035101802781</v>
      </c>
      <c r="E2810" s="0" t="str">
        <f aca="false">IF(OR(AND($B$9="superior",D2810&gt;$B$10),AND($B$9="inferior",D2810&lt;-$B$10)),"Rechazar H0","No rechazar H0")</f>
        <v>No rechazar H0</v>
      </c>
      <c r="F2810" s="0" t="str">
        <f aca="false">IF(AND(B2810="H0 verdadera",E2810="Rechazar H0"),"Error tipo I",IF(AND(B2810="Ha verdadera",E2810="No rechazar H0"),"Error tipo II","Decisión correcta"))</f>
        <v>Decisión correcta</v>
      </c>
    </row>
    <row r="2811" customFormat="false" ht="15" hidden="false" customHeight="false" outlineLevel="0" collapsed="false">
      <c r="A2811" s="0" t="n">
        <v>2790</v>
      </c>
      <c r="B2811" s="0" t="s">
        <v>85</v>
      </c>
      <c r="C2811" s="17" t="n">
        <v>-0.0456888501476569</v>
      </c>
      <c r="D2811" s="17" t="n">
        <f aca="false">(C2811-$B$4)/($B$6/SQRT($B$7))</f>
        <v>-0.228444250738284</v>
      </c>
      <c r="E2811" s="0" t="str">
        <f aca="false">IF(OR(AND($B$9="superior",D2811&gt;$B$10),AND($B$9="inferior",D2811&lt;-$B$10)),"Rechazar H0","No rechazar H0")</f>
        <v>No rechazar H0</v>
      </c>
      <c r="F2811" s="0" t="str">
        <f aca="false">IF(AND(B2811="H0 verdadera",E2811="Rechazar H0"),"Error tipo I",IF(AND(B2811="Ha verdadera",E2811="No rechazar H0"),"Error tipo II","Decisión correcta"))</f>
        <v>Decisión correcta</v>
      </c>
    </row>
    <row r="2812" customFormat="false" ht="15" hidden="false" customHeight="false" outlineLevel="0" collapsed="false">
      <c r="A2812" s="0" t="n">
        <v>2791</v>
      </c>
      <c r="B2812" s="0" t="s">
        <v>85</v>
      </c>
      <c r="C2812" s="17" t="n">
        <v>0.0977356227045629</v>
      </c>
      <c r="D2812" s="17" t="n">
        <f aca="false">(C2812-$B$4)/($B$6/SQRT($B$7))</f>
        <v>0.488678113522814</v>
      </c>
      <c r="E2812" s="0" t="str">
        <f aca="false">IF(OR(AND($B$9="superior",D2812&gt;$B$10),AND($B$9="inferior",D2812&lt;-$B$10)),"Rechazar H0","No rechazar H0")</f>
        <v>No rechazar H0</v>
      </c>
      <c r="F2812" s="0" t="str">
        <f aca="false">IF(AND(B2812="H0 verdadera",E2812="Rechazar H0"),"Error tipo I",IF(AND(B2812="Ha verdadera",E2812="No rechazar H0"),"Error tipo II","Decisión correcta"))</f>
        <v>Decisión correcta</v>
      </c>
    </row>
    <row r="2813" customFormat="false" ht="15" hidden="false" customHeight="false" outlineLevel="0" collapsed="false">
      <c r="A2813" s="0" t="n">
        <v>2792</v>
      </c>
      <c r="B2813" s="0" t="s">
        <v>85</v>
      </c>
      <c r="C2813" s="17" t="n">
        <v>-0.173319729739879</v>
      </c>
      <c r="D2813" s="17" t="n">
        <f aca="false">(C2813-$B$4)/($B$6/SQRT($B$7))</f>
        <v>-0.866598648699394</v>
      </c>
      <c r="E2813" s="0" t="str">
        <f aca="false">IF(OR(AND($B$9="superior",D2813&gt;$B$10),AND($B$9="inferior",D2813&lt;-$B$10)),"Rechazar H0","No rechazar H0")</f>
        <v>No rechazar H0</v>
      </c>
      <c r="F2813" s="0" t="str">
        <f aca="false">IF(AND(B2813="H0 verdadera",E2813="Rechazar H0"),"Error tipo I",IF(AND(B2813="Ha verdadera",E2813="No rechazar H0"),"Error tipo II","Decisión correcta"))</f>
        <v>Decisión correcta</v>
      </c>
    </row>
    <row r="2814" customFormat="false" ht="15" hidden="false" customHeight="false" outlineLevel="0" collapsed="false">
      <c r="A2814" s="0" t="n">
        <v>2793</v>
      </c>
      <c r="B2814" s="0" t="s">
        <v>86</v>
      </c>
      <c r="C2814" s="17" t="n">
        <v>-0.335087080614222</v>
      </c>
      <c r="D2814" s="17" t="n">
        <f aca="false">(C2814-$B$4)/($B$6/SQRT($B$7))</f>
        <v>-1.67543540307111</v>
      </c>
      <c r="E2814" s="0" t="str">
        <f aca="false">IF(OR(AND($B$9="superior",D2814&gt;$B$10),AND($B$9="inferior",D2814&lt;-$B$10)),"Rechazar H0","No rechazar H0")</f>
        <v>Rechazar H0</v>
      </c>
      <c r="F2814" s="0" t="str">
        <f aca="false">IF(AND(B2814="H0 verdadera",E2814="Rechazar H0"),"Error tipo I",IF(AND(B2814="Ha verdadera",E2814="No rechazar H0"),"Error tipo II","Decisión correcta"))</f>
        <v>Decisión correcta</v>
      </c>
    </row>
    <row r="2815" customFormat="false" ht="15" hidden="false" customHeight="false" outlineLevel="0" collapsed="false">
      <c r="A2815" s="0" t="n">
        <v>2794</v>
      </c>
      <c r="B2815" s="0" t="s">
        <v>86</v>
      </c>
      <c r="C2815" s="17" t="n">
        <v>-0.540200966460211</v>
      </c>
      <c r="D2815" s="17" t="n">
        <f aca="false">(C2815-$B$4)/($B$6/SQRT($B$7))</f>
        <v>-2.70100483230106</v>
      </c>
      <c r="E2815" s="0" t="str">
        <f aca="false">IF(OR(AND($B$9="superior",D2815&gt;$B$10),AND($B$9="inferior",D2815&lt;-$B$10)),"Rechazar H0","No rechazar H0")</f>
        <v>Rechazar H0</v>
      </c>
      <c r="F2815" s="0" t="str">
        <f aca="false">IF(AND(B2815="H0 verdadera",E2815="Rechazar H0"),"Error tipo I",IF(AND(B2815="Ha verdadera",E2815="No rechazar H0"),"Error tipo II","Decisión correcta"))</f>
        <v>Decisión correcta</v>
      </c>
    </row>
    <row r="2816" customFormat="false" ht="15" hidden="false" customHeight="false" outlineLevel="0" collapsed="false">
      <c r="A2816" s="0" t="n">
        <v>2795</v>
      </c>
      <c r="B2816" s="0" t="s">
        <v>85</v>
      </c>
      <c r="C2816" s="17" t="n">
        <v>-0.167743662317147</v>
      </c>
      <c r="D2816" s="17" t="n">
        <f aca="false">(C2816-$B$4)/($B$6/SQRT($B$7))</f>
        <v>-0.838718311585736</v>
      </c>
      <c r="E2816" s="0" t="str">
        <f aca="false">IF(OR(AND($B$9="superior",D2816&gt;$B$10),AND($B$9="inferior",D2816&lt;-$B$10)),"Rechazar H0","No rechazar H0")</f>
        <v>No rechazar H0</v>
      </c>
      <c r="F2816" s="0" t="str">
        <f aca="false">IF(AND(B2816="H0 verdadera",E2816="Rechazar H0"),"Error tipo I",IF(AND(B2816="Ha verdadera",E2816="No rechazar H0"),"Error tipo II","Decisión correcta"))</f>
        <v>Decisión correcta</v>
      </c>
    </row>
    <row r="2817" customFormat="false" ht="15" hidden="false" customHeight="false" outlineLevel="0" collapsed="false">
      <c r="A2817" s="0" t="n">
        <v>2796</v>
      </c>
      <c r="B2817" s="0" t="s">
        <v>85</v>
      </c>
      <c r="C2817" s="17" t="n">
        <v>-0.112447553635569</v>
      </c>
      <c r="D2817" s="17" t="n">
        <f aca="false">(C2817-$B$4)/($B$6/SQRT($B$7))</f>
        <v>-0.562237768177846</v>
      </c>
      <c r="E2817" s="0" t="str">
        <f aca="false">IF(OR(AND($B$9="superior",D2817&gt;$B$10),AND($B$9="inferior",D2817&lt;-$B$10)),"Rechazar H0","No rechazar H0")</f>
        <v>No rechazar H0</v>
      </c>
      <c r="F2817" s="0" t="str">
        <f aca="false">IF(AND(B2817="H0 verdadera",E2817="Rechazar H0"),"Error tipo I",IF(AND(B2817="Ha verdadera",E2817="No rechazar H0"),"Error tipo II","Decisión correcta"))</f>
        <v>Decisión correcta</v>
      </c>
    </row>
    <row r="2818" customFormat="false" ht="15" hidden="false" customHeight="false" outlineLevel="0" collapsed="false">
      <c r="A2818" s="0" t="n">
        <v>2797</v>
      </c>
      <c r="B2818" s="0" t="s">
        <v>86</v>
      </c>
      <c r="C2818" s="17" t="n">
        <v>-0.212741279654741</v>
      </c>
      <c r="D2818" s="17" t="n">
        <f aca="false">(C2818-$B$4)/($B$6/SQRT($B$7))</f>
        <v>-1.06370639827371</v>
      </c>
      <c r="E2818" s="0" t="str">
        <f aca="false">IF(OR(AND($B$9="superior",D2818&gt;$B$10),AND($B$9="inferior",D2818&lt;-$B$10)),"Rechazar H0","No rechazar H0")</f>
        <v>No rechazar H0</v>
      </c>
      <c r="F2818" s="0" t="str">
        <f aca="false">IF(AND(B2818="H0 verdadera",E2818="Rechazar H0"),"Error tipo I",IF(AND(B2818="Ha verdadera",E2818="No rechazar H0"),"Error tipo II","Decisión correcta"))</f>
        <v>Error tipo II</v>
      </c>
    </row>
    <row r="2819" customFormat="false" ht="15" hidden="false" customHeight="false" outlineLevel="0" collapsed="false">
      <c r="A2819" s="0" t="n">
        <v>2798</v>
      </c>
      <c r="B2819" s="0" t="s">
        <v>86</v>
      </c>
      <c r="C2819" s="17" t="n">
        <v>-0.315228432038081</v>
      </c>
      <c r="D2819" s="17" t="n">
        <f aca="false">(C2819-$B$4)/($B$6/SQRT($B$7))</f>
        <v>-1.5761421601904</v>
      </c>
      <c r="E2819" s="0" t="str">
        <f aca="false">IF(OR(AND($B$9="superior",D2819&gt;$B$10),AND($B$9="inferior",D2819&lt;-$B$10)),"Rechazar H0","No rechazar H0")</f>
        <v>No rechazar H0</v>
      </c>
      <c r="F2819" s="0" t="str">
        <f aca="false">IF(AND(B2819="H0 verdadera",E2819="Rechazar H0"),"Error tipo I",IF(AND(B2819="Ha verdadera",E2819="No rechazar H0"),"Error tipo II","Decisión correcta"))</f>
        <v>Error tipo II</v>
      </c>
    </row>
    <row r="2820" customFormat="false" ht="15" hidden="false" customHeight="false" outlineLevel="0" collapsed="false">
      <c r="A2820" s="0" t="n">
        <v>2799</v>
      </c>
      <c r="B2820" s="0" t="s">
        <v>85</v>
      </c>
      <c r="C2820" s="17" t="n">
        <v>0.124897872950016</v>
      </c>
      <c r="D2820" s="17" t="n">
        <f aca="false">(C2820-$B$4)/($B$6/SQRT($B$7))</f>
        <v>0.624489364750081</v>
      </c>
      <c r="E2820" s="0" t="str">
        <f aca="false">IF(OR(AND($B$9="superior",D2820&gt;$B$10),AND($B$9="inferior",D2820&lt;-$B$10)),"Rechazar H0","No rechazar H0")</f>
        <v>No rechazar H0</v>
      </c>
      <c r="F2820" s="0" t="str">
        <f aca="false">IF(AND(B2820="H0 verdadera",E2820="Rechazar H0"),"Error tipo I",IF(AND(B2820="Ha verdadera",E2820="No rechazar H0"),"Error tipo II","Decisión correcta"))</f>
        <v>Decisión correcta</v>
      </c>
    </row>
    <row r="2821" customFormat="false" ht="15" hidden="false" customHeight="false" outlineLevel="0" collapsed="false">
      <c r="A2821" s="0" t="n">
        <v>2800</v>
      </c>
      <c r="B2821" s="0" t="s">
        <v>86</v>
      </c>
      <c r="C2821" s="17" t="n">
        <v>-0.219253271985914</v>
      </c>
      <c r="D2821" s="17" t="n">
        <f aca="false">(C2821-$B$4)/($B$6/SQRT($B$7))</f>
        <v>-1.09626635992957</v>
      </c>
      <c r="E2821" s="0" t="str">
        <f aca="false">IF(OR(AND($B$9="superior",D2821&gt;$B$10),AND($B$9="inferior",D2821&lt;-$B$10)),"Rechazar H0","No rechazar H0")</f>
        <v>No rechazar H0</v>
      </c>
      <c r="F2821" s="0" t="str">
        <f aca="false">IF(AND(B2821="H0 verdadera",E2821="Rechazar H0"),"Error tipo I",IF(AND(B2821="Ha verdadera",E2821="No rechazar H0"),"Error tipo II","Decisión correcta"))</f>
        <v>Error tipo II</v>
      </c>
    </row>
    <row r="2822" customFormat="false" ht="15" hidden="false" customHeight="false" outlineLevel="0" collapsed="false">
      <c r="A2822" s="0" t="n">
        <v>2801</v>
      </c>
      <c r="B2822" s="0" t="s">
        <v>86</v>
      </c>
      <c r="C2822" s="17" t="n">
        <v>-0.381302048885581</v>
      </c>
      <c r="D2822" s="17" t="n">
        <f aca="false">(C2822-$B$4)/($B$6/SQRT($B$7))</f>
        <v>-1.9065102444279</v>
      </c>
      <c r="E2822" s="0" t="str">
        <f aca="false">IF(OR(AND($B$9="superior",D2822&gt;$B$10),AND($B$9="inferior",D2822&lt;-$B$10)),"Rechazar H0","No rechazar H0")</f>
        <v>Rechazar H0</v>
      </c>
      <c r="F2822" s="0" t="str">
        <f aca="false">IF(AND(B2822="H0 verdadera",E2822="Rechazar H0"),"Error tipo I",IF(AND(B2822="Ha verdadera",E2822="No rechazar H0"),"Error tipo II","Decisión correcta"))</f>
        <v>Decisión correcta</v>
      </c>
    </row>
    <row r="2823" customFormat="false" ht="15" hidden="false" customHeight="false" outlineLevel="0" collapsed="false">
      <c r="A2823" s="0" t="n">
        <v>2802</v>
      </c>
      <c r="B2823" s="0" t="s">
        <v>85</v>
      </c>
      <c r="C2823" s="17" t="n">
        <v>-0.151480529269925</v>
      </c>
      <c r="D2823" s="17" t="n">
        <f aca="false">(C2823-$B$4)/($B$6/SQRT($B$7))</f>
        <v>-0.757402646349626</v>
      </c>
      <c r="E2823" s="0" t="str">
        <f aca="false">IF(OR(AND($B$9="superior",D2823&gt;$B$10),AND($B$9="inferior",D2823&lt;-$B$10)),"Rechazar H0","No rechazar H0")</f>
        <v>No rechazar H0</v>
      </c>
      <c r="F2823" s="0" t="str">
        <f aca="false">IF(AND(B2823="H0 verdadera",E2823="Rechazar H0"),"Error tipo I",IF(AND(B2823="Ha verdadera",E2823="No rechazar H0"),"Error tipo II","Decisión correcta"))</f>
        <v>Decisión correcta</v>
      </c>
    </row>
    <row r="2824" customFormat="false" ht="15" hidden="false" customHeight="false" outlineLevel="0" collapsed="false">
      <c r="A2824" s="0" t="n">
        <v>2803</v>
      </c>
      <c r="B2824" s="0" t="s">
        <v>86</v>
      </c>
      <c r="C2824" s="17" t="n">
        <v>-0.527153909146149</v>
      </c>
      <c r="D2824" s="17" t="n">
        <f aca="false">(C2824-$B$4)/($B$6/SQRT($B$7))</f>
        <v>-2.63576954573075</v>
      </c>
      <c r="E2824" s="0" t="str">
        <f aca="false">IF(OR(AND($B$9="superior",D2824&gt;$B$10),AND($B$9="inferior",D2824&lt;-$B$10)),"Rechazar H0","No rechazar H0")</f>
        <v>Rechazar H0</v>
      </c>
      <c r="F2824" s="0" t="str">
        <f aca="false">IF(AND(B2824="H0 verdadera",E2824="Rechazar H0"),"Error tipo I",IF(AND(B2824="Ha verdadera",E2824="No rechazar H0"),"Error tipo II","Decisión correcta"))</f>
        <v>Decisión correcta</v>
      </c>
    </row>
    <row r="2825" customFormat="false" ht="15" hidden="false" customHeight="false" outlineLevel="0" collapsed="false">
      <c r="A2825" s="0" t="n">
        <v>2804</v>
      </c>
      <c r="B2825" s="0" t="s">
        <v>85</v>
      </c>
      <c r="C2825" s="17" t="n">
        <v>0.24042341108524</v>
      </c>
      <c r="D2825" s="17" t="n">
        <f aca="false">(C2825-$B$4)/($B$6/SQRT($B$7))</f>
        <v>1.2021170554262</v>
      </c>
      <c r="E2825" s="0" t="str">
        <f aca="false">IF(OR(AND($B$9="superior",D2825&gt;$B$10),AND($B$9="inferior",D2825&lt;-$B$10)),"Rechazar H0","No rechazar H0")</f>
        <v>No rechazar H0</v>
      </c>
      <c r="F2825" s="0" t="str">
        <f aca="false">IF(AND(B2825="H0 verdadera",E2825="Rechazar H0"),"Error tipo I",IF(AND(B2825="Ha verdadera",E2825="No rechazar H0"),"Error tipo II","Decisión correcta"))</f>
        <v>Decisión correcta</v>
      </c>
    </row>
    <row r="2826" customFormat="false" ht="15" hidden="false" customHeight="false" outlineLevel="0" collapsed="false">
      <c r="A2826" s="0" t="n">
        <v>2805</v>
      </c>
      <c r="B2826" s="0" t="s">
        <v>85</v>
      </c>
      <c r="C2826" s="17" t="n">
        <v>-0.396475478544445</v>
      </c>
      <c r="D2826" s="17" t="n">
        <f aca="false">(C2826-$B$4)/($B$6/SQRT($B$7))</f>
        <v>-1.98237739272223</v>
      </c>
      <c r="E2826" s="0" t="str">
        <f aca="false">IF(OR(AND($B$9="superior",D2826&gt;$B$10),AND($B$9="inferior",D2826&lt;-$B$10)),"Rechazar H0","No rechazar H0")</f>
        <v>Rechazar H0</v>
      </c>
      <c r="F2826" s="0" t="str">
        <f aca="false">IF(AND(B2826="H0 verdadera",E2826="Rechazar H0"),"Error tipo I",IF(AND(B2826="Ha verdadera",E2826="No rechazar H0"),"Error tipo II","Decisión correcta"))</f>
        <v>Error tipo I</v>
      </c>
    </row>
    <row r="2827" customFormat="false" ht="15" hidden="false" customHeight="false" outlineLevel="0" collapsed="false">
      <c r="A2827" s="0" t="n">
        <v>2806</v>
      </c>
      <c r="B2827" s="0" t="s">
        <v>85</v>
      </c>
      <c r="C2827" s="17" t="n">
        <v>-0.00866029585116913</v>
      </c>
      <c r="D2827" s="17" t="n">
        <f aca="false">(C2827-$B$4)/($B$6/SQRT($B$7))</f>
        <v>-0.0433014792558457</v>
      </c>
      <c r="E2827" s="0" t="str">
        <f aca="false">IF(OR(AND($B$9="superior",D2827&gt;$B$10),AND($B$9="inferior",D2827&lt;-$B$10)),"Rechazar H0","No rechazar H0")</f>
        <v>No rechazar H0</v>
      </c>
      <c r="F2827" s="0" t="str">
        <f aca="false">IF(AND(B2827="H0 verdadera",E2827="Rechazar H0"),"Error tipo I",IF(AND(B2827="Ha verdadera",E2827="No rechazar H0"),"Error tipo II","Decisión correcta"))</f>
        <v>Decisión correcta</v>
      </c>
    </row>
    <row r="2828" customFormat="false" ht="15" hidden="false" customHeight="false" outlineLevel="0" collapsed="false">
      <c r="A2828" s="0" t="n">
        <v>2807</v>
      </c>
      <c r="B2828" s="0" t="s">
        <v>86</v>
      </c>
      <c r="C2828" s="17" t="n">
        <v>-0.27573418855708</v>
      </c>
      <c r="D2828" s="17" t="n">
        <f aca="false">(C2828-$B$4)/($B$6/SQRT($B$7))</f>
        <v>-1.3786709427854</v>
      </c>
      <c r="E2828" s="0" t="str">
        <f aca="false">IF(OR(AND($B$9="superior",D2828&gt;$B$10),AND($B$9="inferior",D2828&lt;-$B$10)),"Rechazar H0","No rechazar H0")</f>
        <v>No rechazar H0</v>
      </c>
      <c r="F2828" s="0" t="str">
        <f aca="false">IF(AND(B2828="H0 verdadera",E2828="Rechazar H0"),"Error tipo I",IF(AND(B2828="Ha verdadera",E2828="No rechazar H0"),"Error tipo II","Decisión correcta"))</f>
        <v>Error tipo II</v>
      </c>
    </row>
    <row r="2829" customFormat="false" ht="15" hidden="false" customHeight="false" outlineLevel="0" collapsed="false">
      <c r="A2829" s="0" t="n">
        <v>2808</v>
      </c>
      <c r="B2829" s="0" t="s">
        <v>86</v>
      </c>
      <c r="C2829" s="17" t="n">
        <v>-0.115350103266992</v>
      </c>
      <c r="D2829" s="17" t="n">
        <f aca="false">(C2829-$B$4)/($B$6/SQRT($B$7))</f>
        <v>-0.576750516334961</v>
      </c>
      <c r="E2829" s="0" t="str">
        <f aca="false">IF(OR(AND($B$9="superior",D2829&gt;$B$10),AND($B$9="inferior",D2829&lt;-$B$10)),"Rechazar H0","No rechazar H0")</f>
        <v>No rechazar H0</v>
      </c>
      <c r="F2829" s="0" t="str">
        <f aca="false">IF(AND(B2829="H0 verdadera",E2829="Rechazar H0"),"Error tipo I",IF(AND(B2829="Ha verdadera",E2829="No rechazar H0"),"Error tipo II","Decisión correcta"))</f>
        <v>Error tipo II</v>
      </c>
    </row>
    <row r="2830" customFormat="false" ht="15" hidden="false" customHeight="false" outlineLevel="0" collapsed="false">
      <c r="A2830" s="0" t="n">
        <v>2809</v>
      </c>
      <c r="B2830" s="0" t="s">
        <v>86</v>
      </c>
      <c r="C2830" s="17" t="n">
        <v>-0.356247736460213</v>
      </c>
      <c r="D2830" s="17" t="n">
        <f aca="false">(C2830-$B$4)/($B$6/SQRT($B$7))</f>
        <v>-1.78123868230106</v>
      </c>
      <c r="E2830" s="0" t="str">
        <f aca="false">IF(OR(AND($B$9="superior",D2830&gt;$B$10),AND($B$9="inferior",D2830&lt;-$B$10)),"Rechazar H0","No rechazar H0")</f>
        <v>Rechazar H0</v>
      </c>
      <c r="F2830" s="0" t="str">
        <f aca="false">IF(AND(B2830="H0 verdadera",E2830="Rechazar H0"),"Error tipo I",IF(AND(B2830="Ha verdadera",E2830="No rechazar H0"),"Error tipo II","Decisión correcta"))</f>
        <v>Decisión correcta</v>
      </c>
    </row>
    <row r="2831" customFormat="false" ht="15" hidden="false" customHeight="false" outlineLevel="0" collapsed="false">
      <c r="A2831" s="0" t="n">
        <v>2810</v>
      </c>
      <c r="B2831" s="0" t="s">
        <v>86</v>
      </c>
      <c r="C2831" s="17" t="n">
        <v>-0.593178828193521</v>
      </c>
      <c r="D2831" s="17" t="n">
        <f aca="false">(C2831-$B$4)/($B$6/SQRT($B$7))</f>
        <v>-2.96589414096761</v>
      </c>
      <c r="E2831" s="0" t="str">
        <f aca="false">IF(OR(AND($B$9="superior",D2831&gt;$B$10),AND($B$9="inferior",D2831&lt;-$B$10)),"Rechazar H0","No rechazar H0")</f>
        <v>Rechazar H0</v>
      </c>
      <c r="F2831" s="0" t="str">
        <f aca="false">IF(AND(B2831="H0 verdadera",E2831="Rechazar H0"),"Error tipo I",IF(AND(B2831="Ha verdadera",E2831="No rechazar H0"),"Error tipo II","Decisión correcta"))</f>
        <v>Decisión correcta</v>
      </c>
    </row>
    <row r="2832" customFormat="false" ht="15" hidden="false" customHeight="false" outlineLevel="0" collapsed="false">
      <c r="A2832" s="0" t="n">
        <v>2811</v>
      </c>
      <c r="B2832" s="0" t="s">
        <v>85</v>
      </c>
      <c r="C2832" s="17" t="n">
        <v>-0.15102542938946</v>
      </c>
      <c r="D2832" s="17" t="n">
        <f aca="false">(C2832-$B$4)/($B$6/SQRT($B$7))</f>
        <v>-0.755127146947301</v>
      </c>
      <c r="E2832" s="0" t="str">
        <f aca="false">IF(OR(AND($B$9="superior",D2832&gt;$B$10),AND($B$9="inferior",D2832&lt;-$B$10)),"Rechazar H0","No rechazar H0")</f>
        <v>No rechazar H0</v>
      </c>
      <c r="F2832" s="0" t="str">
        <f aca="false">IF(AND(B2832="H0 verdadera",E2832="Rechazar H0"),"Error tipo I",IF(AND(B2832="Ha verdadera",E2832="No rechazar H0"),"Error tipo II","Decisión correcta"))</f>
        <v>Decisión correcta</v>
      </c>
    </row>
    <row r="2833" customFormat="false" ht="15" hidden="false" customHeight="false" outlineLevel="0" collapsed="false">
      <c r="A2833" s="0" t="n">
        <v>2812</v>
      </c>
      <c r="B2833" s="0" t="s">
        <v>86</v>
      </c>
      <c r="C2833" s="17" t="n">
        <v>-0.47033925021261</v>
      </c>
      <c r="D2833" s="17" t="n">
        <f aca="false">(C2833-$B$4)/($B$6/SQRT($B$7))</f>
        <v>-2.35169625106305</v>
      </c>
      <c r="E2833" s="0" t="str">
        <f aca="false">IF(OR(AND($B$9="superior",D2833&gt;$B$10),AND($B$9="inferior",D2833&lt;-$B$10)),"Rechazar H0","No rechazar H0")</f>
        <v>Rechazar H0</v>
      </c>
      <c r="F2833" s="0" t="str">
        <f aca="false">IF(AND(B2833="H0 verdadera",E2833="Rechazar H0"),"Error tipo I",IF(AND(B2833="Ha verdadera",E2833="No rechazar H0"),"Error tipo II","Decisión correcta"))</f>
        <v>Decisión correcta</v>
      </c>
    </row>
    <row r="2834" customFormat="false" ht="15" hidden="false" customHeight="false" outlineLevel="0" collapsed="false">
      <c r="A2834" s="0" t="n">
        <v>2813</v>
      </c>
      <c r="B2834" s="0" t="s">
        <v>85</v>
      </c>
      <c r="C2834" s="17" t="n">
        <v>-0.189277657984773</v>
      </c>
      <c r="D2834" s="17" t="n">
        <f aca="false">(C2834-$B$4)/($B$6/SQRT($B$7))</f>
        <v>-0.946388289923866</v>
      </c>
      <c r="E2834" s="0" t="str">
        <f aca="false">IF(OR(AND($B$9="superior",D2834&gt;$B$10),AND($B$9="inferior",D2834&lt;-$B$10)),"Rechazar H0","No rechazar H0")</f>
        <v>No rechazar H0</v>
      </c>
      <c r="F2834" s="0" t="str">
        <f aca="false">IF(AND(B2834="H0 verdadera",E2834="Rechazar H0"),"Error tipo I",IF(AND(B2834="Ha verdadera",E2834="No rechazar H0"),"Error tipo II","Decisión correcta"))</f>
        <v>Decisión correcta</v>
      </c>
    </row>
    <row r="2835" customFormat="false" ht="15" hidden="false" customHeight="false" outlineLevel="0" collapsed="false">
      <c r="A2835" s="0" t="n">
        <v>2814</v>
      </c>
      <c r="B2835" s="0" t="s">
        <v>85</v>
      </c>
      <c r="C2835" s="17" t="n">
        <v>0.149263275021207</v>
      </c>
      <c r="D2835" s="17" t="n">
        <f aca="false">(C2835-$B$4)/($B$6/SQRT($B$7))</f>
        <v>0.746316375106033</v>
      </c>
      <c r="E2835" s="0" t="str">
        <f aca="false">IF(OR(AND($B$9="superior",D2835&gt;$B$10),AND($B$9="inferior",D2835&lt;-$B$10)),"Rechazar H0","No rechazar H0")</f>
        <v>No rechazar H0</v>
      </c>
      <c r="F2835" s="0" t="str">
        <f aca="false">IF(AND(B2835="H0 verdadera",E2835="Rechazar H0"),"Error tipo I",IF(AND(B2835="Ha verdadera",E2835="No rechazar H0"),"Error tipo II","Decisión correcta"))</f>
        <v>Decisión correcta</v>
      </c>
    </row>
    <row r="2836" customFormat="false" ht="15" hidden="false" customHeight="false" outlineLevel="0" collapsed="false">
      <c r="A2836" s="0" t="n">
        <v>2815</v>
      </c>
      <c r="B2836" s="0" t="s">
        <v>85</v>
      </c>
      <c r="C2836" s="17" t="n">
        <v>-0.397228644180145</v>
      </c>
      <c r="D2836" s="17" t="n">
        <f aca="false">(C2836-$B$4)/($B$6/SQRT($B$7))</f>
        <v>-1.98614322090072</v>
      </c>
      <c r="E2836" s="0" t="str">
        <f aca="false">IF(OR(AND($B$9="superior",D2836&gt;$B$10),AND($B$9="inferior",D2836&lt;-$B$10)),"Rechazar H0","No rechazar H0")</f>
        <v>Rechazar H0</v>
      </c>
      <c r="F2836" s="0" t="str">
        <f aca="false">IF(AND(B2836="H0 verdadera",E2836="Rechazar H0"),"Error tipo I",IF(AND(B2836="Ha verdadera",E2836="No rechazar H0"),"Error tipo II","Decisión correcta"))</f>
        <v>Error tipo I</v>
      </c>
    </row>
    <row r="2837" customFormat="false" ht="15" hidden="false" customHeight="false" outlineLevel="0" collapsed="false">
      <c r="A2837" s="0" t="n">
        <v>2816</v>
      </c>
      <c r="B2837" s="0" t="s">
        <v>85</v>
      </c>
      <c r="C2837" s="17" t="n">
        <v>0.012712690548848</v>
      </c>
      <c r="D2837" s="17" t="n">
        <f aca="false">(C2837-$B$4)/($B$6/SQRT($B$7))</f>
        <v>0.0635634527442398</v>
      </c>
      <c r="E2837" s="0" t="str">
        <f aca="false">IF(OR(AND($B$9="superior",D2837&gt;$B$10),AND($B$9="inferior",D2837&lt;-$B$10)),"Rechazar H0","No rechazar H0")</f>
        <v>No rechazar H0</v>
      </c>
      <c r="F2837" s="0" t="str">
        <f aca="false">IF(AND(B2837="H0 verdadera",E2837="Rechazar H0"),"Error tipo I",IF(AND(B2837="Ha verdadera",E2837="No rechazar H0"),"Error tipo II","Decisión correcta"))</f>
        <v>Decisión correcta</v>
      </c>
    </row>
    <row r="2838" customFormat="false" ht="15" hidden="false" customHeight="false" outlineLevel="0" collapsed="false">
      <c r="A2838" s="0" t="n">
        <v>2817</v>
      </c>
      <c r="B2838" s="0" t="s">
        <v>86</v>
      </c>
      <c r="C2838" s="17" t="n">
        <v>-0.273616153087956</v>
      </c>
      <c r="D2838" s="17" t="n">
        <f aca="false">(C2838-$B$4)/($B$6/SQRT($B$7))</f>
        <v>-1.36808076543978</v>
      </c>
      <c r="E2838" s="0" t="str">
        <f aca="false">IF(OR(AND($B$9="superior",D2838&gt;$B$10),AND($B$9="inferior",D2838&lt;-$B$10)),"Rechazar H0","No rechazar H0")</f>
        <v>No rechazar H0</v>
      </c>
      <c r="F2838" s="0" t="str">
        <f aca="false">IF(AND(B2838="H0 verdadera",E2838="Rechazar H0"),"Error tipo I",IF(AND(B2838="Ha verdadera",E2838="No rechazar H0"),"Error tipo II","Decisión correcta"))</f>
        <v>Error tipo II</v>
      </c>
    </row>
    <row r="2839" customFormat="false" ht="15" hidden="false" customHeight="false" outlineLevel="0" collapsed="false">
      <c r="A2839" s="0" t="n">
        <v>2818</v>
      </c>
      <c r="B2839" s="0" t="s">
        <v>85</v>
      </c>
      <c r="C2839" s="17" t="n">
        <v>0.113149741663642</v>
      </c>
      <c r="D2839" s="17" t="n">
        <f aca="false">(C2839-$B$4)/($B$6/SQRT($B$7))</f>
        <v>0.565748708318211</v>
      </c>
      <c r="E2839" s="0" t="str">
        <f aca="false">IF(OR(AND($B$9="superior",D2839&gt;$B$10),AND($B$9="inferior",D2839&lt;-$B$10)),"Rechazar H0","No rechazar H0")</f>
        <v>No rechazar H0</v>
      </c>
      <c r="F2839" s="0" t="str">
        <f aca="false">IF(AND(B2839="H0 verdadera",E2839="Rechazar H0"),"Error tipo I",IF(AND(B2839="Ha verdadera",E2839="No rechazar H0"),"Error tipo II","Decisión correcta"))</f>
        <v>Decisión correcta</v>
      </c>
    </row>
    <row r="2840" customFormat="false" ht="15" hidden="false" customHeight="false" outlineLevel="0" collapsed="false">
      <c r="A2840" s="0" t="n">
        <v>2819</v>
      </c>
      <c r="B2840" s="0" t="s">
        <v>85</v>
      </c>
      <c r="C2840" s="17" t="n">
        <v>-0.0836489288650128</v>
      </c>
      <c r="D2840" s="17" t="n">
        <f aca="false">(C2840-$B$4)/($B$6/SQRT($B$7))</f>
        <v>-0.418244644325064</v>
      </c>
      <c r="E2840" s="0" t="str">
        <f aca="false">IF(OR(AND($B$9="superior",D2840&gt;$B$10),AND($B$9="inferior",D2840&lt;-$B$10)),"Rechazar H0","No rechazar H0")</f>
        <v>No rechazar H0</v>
      </c>
      <c r="F2840" s="0" t="str">
        <f aca="false">IF(AND(B2840="H0 verdadera",E2840="Rechazar H0"),"Error tipo I",IF(AND(B2840="Ha verdadera",E2840="No rechazar H0"),"Error tipo II","Decisión correcta"))</f>
        <v>Decisión correcta</v>
      </c>
    </row>
    <row r="2841" customFormat="false" ht="15" hidden="false" customHeight="false" outlineLevel="0" collapsed="false">
      <c r="A2841" s="0" t="n">
        <v>2820</v>
      </c>
      <c r="B2841" s="0" t="s">
        <v>86</v>
      </c>
      <c r="C2841" s="17" t="n">
        <v>-0.404136300103004</v>
      </c>
      <c r="D2841" s="17" t="n">
        <f aca="false">(C2841-$B$4)/($B$6/SQRT($B$7))</f>
        <v>-2.02068150051502</v>
      </c>
      <c r="E2841" s="0" t="str">
        <f aca="false">IF(OR(AND($B$9="superior",D2841&gt;$B$10),AND($B$9="inferior",D2841&lt;-$B$10)),"Rechazar H0","No rechazar H0")</f>
        <v>Rechazar H0</v>
      </c>
      <c r="F2841" s="0" t="str">
        <f aca="false">IF(AND(B2841="H0 verdadera",E2841="Rechazar H0"),"Error tipo I",IF(AND(B2841="Ha verdadera",E2841="No rechazar H0"),"Error tipo II","Decisión correcta"))</f>
        <v>Decisión correcta</v>
      </c>
    </row>
    <row r="2842" customFormat="false" ht="15" hidden="false" customHeight="false" outlineLevel="0" collapsed="false">
      <c r="A2842" s="0" t="n">
        <v>2821</v>
      </c>
      <c r="B2842" s="0" t="s">
        <v>86</v>
      </c>
      <c r="C2842" s="17" t="n">
        <v>-0.120664311216333</v>
      </c>
      <c r="D2842" s="17" t="n">
        <f aca="false">(C2842-$B$4)/($B$6/SQRT($B$7))</f>
        <v>-0.603321556081663</v>
      </c>
      <c r="E2842" s="0" t="str">
        <f aca="false">IF(OR(AND($B$9="superior",D2842&gt;$B$10),AND($B$9="inferior",D2842&lt;-$B$10)),"Rechazar H0","No rechazar H0")</f>
        <v>No rechazar H0</v>
      </c>
      <c r="F2842" s="0" t="str">
        <f aca="false">IF(AND(B2842="H0 verdadera",E2842="Rechazar H0"),"Error tipo I",IF(AND(B2842="Ha verdadera",E2842="No rechazar H0"),"Error tipo II","Decisión correcta"))</f>
        <v>Error tipo II</v>
      </c>
    </row>
    <row r="2843" customFormat="false" ht="15" hidden="false" customHeight="false" outlineLevel="0" collapsed="false">
      <c r="A2843" s="0" t="n">
        <v>2822</v>
      </c>
      <c r="B2843" s="0" t="s">
        <v>85</v>
      </c>
      <c r="C2843" s="17" t="n">
        <v>0.0185934635261113</v>
      </c>
      <c r="D2843" s="17" t="n">
        <f aca="false">(C2843-$B$4)/($B$6/SQRT($B$7))</f>
        <v>0.0929673176305565</v>
      </c>
      <c r="E2843" s="0" t="str">
        <f aca="false">IF(OR(AND($B$9="superior",D2843&gt;$B$10),AND($B$9="inferior",D2843&lt;-$B$10)),"Rechazar H0","No rechazar H0")</f>
        <v>No rechazar H0</v>
      </c>
      <c r="F2843" s="0" t="str">
        <f aca="false">IF(AND(B2843="H0 verdadera",E2843="Rechazar H0"),"Error tipo I",IF(AND(B2843="Ha verdadera",E2843="No rechazar H0"),"Error tipo II","Decisión correcta"))</f>
        <v>Decisión correcta</v>
      </c>
    </row>
    <row r="2844" customFormat="false" ht="15" hidden="false" customHeight="false" outlineLevel="0" collapsed="false">
      <c r="A2844" s="0" t="n">
        <v>2823</v>
      </c>
      <c r="B2844" s="0" t="s">
        <v>86</v>
      </c>
      <c r="C2844" s="17" t="n">
        <v>-0.598830146168356</v>
      </c>
      <c r="D2844" s="17" t="n">
        <f aca="false">(C2844-$B$4)/($B$6/SQRT($B$7))</f>
        <v>-2.99415073084178</v>
      </c>
      <c r="E2844" s="0" t="str">
        <f aca="false">IF(OR(AND($B$9="superior",D2844&gt;$B$10),AND($B$9="inferior",D2844&lt;-$B$10)),"Rechazar H0","No rechazar H0")</f>
        <v>Rechazar H0</v>
      </c>
      <c r="F2844" s="0" t="str">
        <f aca="false">IF(AND(B2844="H0 verdadera",E2844="Rechazar H0"),"Error tipo I",IF(AND(B2844="Ha verdadera",E2844="No rechazar H0"),"Error tipo II","Decisión correcta"))</f>
        <v>Decisión correcta</v>
      </c>
    </row>
    <row r="2845" customFormat="false" ht="15" hidden="false" customHeight="false" outlineLevel="0" collapsed="false">
      <c r="A2845" s="0" t="n">
        <v>2824</v>
      </c>
      <c r="B2845" s="0" t="s">
        <v>86</v>
      </c>
      <c r="C2845" s="17" t="n">
        <v>-0.736423296248154</v>
      </c>
      <c r="D2845" s="17" t="n">
        <f aca="false">(C2845-$B$4)/($B$6/SQRT($B$7))</f>
        <v>-3.68211648124077</v>
      </c>
      <c r="E2845" s="0" t="str">
        <f aca="false">IF(OR(AND($B$9="superior",D2845&gt;$B$10),AND($B$9="inferior",D2845&lt;-$B$10)),"Rechazar H0","No rechazar H0")</f>
        <v>Rechazar H0</v>
      </c>
      <c r="F2845" s="0" t="str">
        <f aca="false">IF(AND(B2845="H0 verdadera",E2845="Rechazar H0"),"Error tipo I",IF(AND(B2845="Ha verdadera",E2845="No rechazar H0"),"Error tipo II","Decisión correcta"))</f>
        <v>Decisión correcta</v>
      </c>
    </row>
    <row r="2846" customFormat="false" ht="15" hidden="false" customHeight="false" outlineLevel="0" collapsed="false">
      <c r="A2846" s="0" t="n">
        <v>2825</v>
      </c>
      <c r="B2846" s="0" t="s">
        <v>85</v>
      </c>
      <c r="C2846" s="17" t="n">
        <v>0.237624575445725</v>
      </c>
      <c r="D2846" s="17" t="n">
        <f aca="false">(C2846-$B$4)/($B$6/SQRT($B$7))</f>
        <v>1.18812287722863</v>
      </c>
      <c r="E2846" s="0" t="str">
        <f aca="false">IF(OR(AND($B$9="superior",D2846&gt;$B$10),AND($B$9="inferior",D2846&lt;-$B$10)),"Rechazar H0","No rechazar H0")</f>
        <v>No rechazar H0</v>
      </c>
      <c r="F2846" s="0" t="str">
        <f aca="false">IF(AND(B2846="H0 verdadera",E2846="Rechazar H0"),"Error tipo I",IF(AND(B2846="Ha verdadera",E2846="No rechazar H0"),"Error tipo II","Decisión correcta"))</f>
        <v>Decisión correcta</v>
      </c>
    </row>
    <row r="2847" customFormat="false" ht="15" hidden="false" customHeight="false" outlineLevel="0" collapsed="false">
      <c r="A2847" s="0" t="n">
        <v>2826</v>
      </c>
      <c r="B2847" s="0" t="s">
        <v>86</v>
      </c>
      <c r="C2847" s="17" t="n">
        <v>-0.391264598180941</v>
      </c>
      <c r="D2847" s="17" t="n">
        <f aca="false">(C2847-$B$4)/($B$6/SQRT($B$7))</f>
        <v>-1.9563229909047</v>
      </c>
      <c r="E2847" s="0" t="str">
        <f aca="false">IF(OR(AND($B$9="superior",D2847&gt;$B$10),AND($B$9="inferior",D2847&lt;-$B$10)),"Rechazar H0","No rechazar H0")</f>
        <v>Rechazar H0</v>
      </c>
      <c r="F2847" s="0" t="str">
        <f aca="false">IF(AND(B2847="H0 verdadera",E2847="Rechazar H0"),"Error tipo I",IF(AND(B2847="Ha verdadera",E2847="No rechazar H0"),"Error tipo II","Decisión correcta"))</f>
        <v>Decisión correcta</v>
      </c>
    </row>
    <row r="2848" customFormat="false" ht="15" hidden="false" customHeight="false" outlineLevel="0" collapsed="false">
      <c r="A2848" s="0" t="n">
        <v>2827</v>
      </c>
      <c r="B2848" s="0" t="s">
        <v>85</v>
      </c>
      <c r="C2848" s="17" t="n">
        <v>0.00197188443553889</v>
      </c>
      <c r="D2848" s="17" t="n">
        <f aca="false">(C2848-$B$4)/($B$6/SQRT($B$7))</f>
        <v>0.00985942217769444</v>
      </c>
      <c r="E2848" s="0" t="str">
        <f aca="false">IF(OR(AND($B$9="superior",D2848&gt;$B$10),AND($B$9="inferior",D2848&lt;-$B$10)),"Rechazar H0","No rechazar H0")</f>
        <v>No rechazar H0</v>
      </c>
      <c r="F2848" s="0" t="str">
        <f aca="false">IF(AND(B2848="H0 verdadera",E2848="Rechazar H0"),"Error tipo I",IF(AND(B2848="Ha verdadera",E2848="No rechazar H0"),"Error tipo II","Decisión correcta"))</f>
        <v>Decisión correcta</v>
      </c>
    </row>
    <row r="2849" customFormat="false" ht="15" hidden="false" customHeight="false" outlineLevel="0" collapsed="false">
      <c r="A2849" s="0" t="n">
        <v>2828</v>
      </c>
      <c r="B2849" s="0" t="s">
        <v>86</v>
      </c>
      <c r="C2849" s="17" t="n">
        <v>-0.350631641998412</v>
      </c>
      <c r="D2849" s="17" t="n">
        <f aca="false">(C2849-$B$4)/($B$6/SQRT($B$7))</f>
        <v>-1.75315820999206</v>
      </c>
      <c r="E2849" s="0" t="str">
        <f aca="false">IF(OR(AND($B$9="superior",D2849&gt;$B$10),AND($B$9="inferior",D2849&lt;-$B$10)),"Rechazar H0","No rechazar H0")</f>
        <v>Rechazar H0</v>
      </c>
      <c r="F2849" s="0" t="str">
        <f aca="false">IF(AND(B2849="H0 verdadera",E2849="Rechazar H0"),"Error tipo I",IF(AND(B2849="Ha verdadera",E2849="No rechazar H0"),"Error tipo II","Decisión correcta"))</f>
        <v>Decisión correcta</v>
      </c>
    </row>
    <row r="2850" customFormat="false" ht="15" hidden="false" customHeight="false" outlineLevel="0" collapsed="false">
      <c r="A2850" s="0" t="n">
        <v>2829</v>
      </c>
      <c r="B2850" s="0" t="s">
        <v>85</v>
      </c>
      <c r="C2850" s="17" t="n">
        <v>-0.0554942677276936</v>
      </c>
      <c r="D2850" s="17" t="n">
        <f aca="false">(C2850-$B$4)/($B$6/SQRT($B$7))</f>
        <v>-0.277471338638468</v>
      </c>
      <c r="E2850" s="0" t="str">
        <f aca="false">IF(OR(AND($B$9="superior",D2850&gt;$B$10),AND($B$9="inferior",D2850&lt;-$B$10)),"Rechazar H0","No rechazar H0")</f>
        <v>No rechazar H0</v>
      </c>
      <c r="F2850" s="0" t="str">
        <f aca="false">IF(AND(B2850="H0 verdadera",E2850="Rechazar H0"),"Error tipo I",IF(AND(B2850="Ha verdadera",E2850="No rechazar H0"),"Error tipo II","Decisión correcta"))</f>
        <v>Decisión correcta</v>
      </c>
    </row>
    <row r="2851" customFormat="false" ht="15" hidden="false" customHeight="false" outlineLevel="0" collapsed="false">
      <c r="A2851" s="0" t="n">
        <v>2830</v>
      </c>
      <c r="B2851" s="0" t="s">
        <v>85</v>
      </c>
      <c r="C2851" s="17" t="n">
        <v>-0.119834290099688</v>
      </c>
      <c r="D2851" s="17" t="n">
        <f aca="false">(C2851-$B$4)/($B$6/SQRT($B$7))</f>
        <v>-0.59917145049844</v>
      </c>
      <c r="E2851" s="0" t="str">
        <f aca="false">IF(OR(AND($B$9="superior",D2851&gt;$B$10),AND($B$9="inferior",D2851&lt;-$B$10)),"Rechazar H0","No rechazar H0")</f>
        <v>No rechazar H0</v>
      </c>
      <c r="F2851" s="0" t="str">
        <f aca="false">IF(AND(B2851="H0 verdadera",E2851="Rechazar H0"),"Error tipo I",IF(AND(B2851="Ha verdadera",E2851="No rechazar H0"),"Error tipo II","Decisión correcta"))</f>
        <v>Decisión correcta</v>
      </c>
    </row>
    <row r="2852" customFormat="false" ht="15" hidden="false" customHeight="false" outlineLevel="0" collapsed="false">
      <c r="A2852" s="0" t="n">
        <v>2831</v>
      </c>
      <c r="B2852" s="0" t="s">
        <v>85</v>
      </c>
      <c r="C2852" s="17" t="n">
        <v>0.0274928577757676</v>
      </c>
      <c r="D2852" s="17" t="n">
        <f aca="false">(C2852-$B$4)/($B$6/SQRT($B$7))</f>
        <v>0.137464288878838</v>
      </c>
      <c r="E2852" s="0" t="str">
        <f aca="false">IF(OR(AND($B$9="superior",D2852&gt;$B$10),AND($B$9="inferior",D2852&lt;-$B$10)),"Rechazar H0","No rechazar H0")</f>
        <v>No rechazar H0</v>
      </c>
      <c r="F2852" s="0" t="str">
        <f aca="false">IF(AND(B2852="H0 verdadera",E2852="Rechazar H0"),"Error tipo I",IF(AND(B2852="Ha verdadera",E2852="No rechazar H0"),"Error tipo II","Decisión correcta"))</f>
        <v>Decisión correcta</v>
      </c>
    </row>
    <row r="2853" customFormat="false" ht="15" hidden="false" customHeight="false" outlineLevel="0" collapsed="false">
      <c r="A2853" s="0" t="n">
        <v>2832</v>
      </c>
      <c r="B2853" s="0" t="s">
        <v>85</v>
      </c>
      <c r="C2853" s="17" t="n">
        <v>0.237238954245078</v>
      </c>
      <c r="D2853" s="17" t="n">
        <f aca="false">(C2853-$B$4)/($B$6/SQRT($B$7))</f>
        <v>1.18619477122539</v>
      </c>
      <c r="E2853" s="0" t="str">
        <f aca="false">IF(OR(AND($B$9="superior",D2853&gt;$B$10),AND($B$9="inferior",D2853&lt;-$B$10)),"Rechazar H0","No rechazar H0")</f>
        <v>No rechazar H0</v>
      </c>
      <c r="F2853" s="0" t="str">
        <f aca="false">IF(AND(B2853="H0 verdadera",E2853="Rechazar H0"),"Error tipo I",IF(AND(B2853="Ha verdadera",E2853="No rechazar H0"),"Error tipo II","Decisión correcta"))</f>
        <v>Decisión correcta</v>
      </c>
    </row>
    <row r="2854" customFormat="false" ht="15" hidden="false" customHeight="false" outlineLevel="0" collapsed="false">
      <c r="A2854" s="0" t="n">
        <v>2833</v>
      </c>
      <c r="B2854" s="0" t="s">
        <v>86</v>
      </c>
      <c r="C2854" s="17" t="n">
        <v>-0.689976664642048</v>
      </c>
      <c r="D2854" s="17" t="n">
        <f aca="false">(C2854-$B$4)/($B$6/SQRT($B$7))</f>
        <v>-3.44988332321024</v>
      </c>
      <c r="E2854" s="0" t="str">
        <f aca="false">IF(OR(AND($B$9="superior",D2854&gt;$B$10),AND($B$9="inferior",D2854&lt;-$B$10)),"Rechazar H0","No rechazar H0")</f>
        <v>Rechazar H0</v>
      </c>
      <c r="F2854" s="0" t="str">
        <f aca="false">IF(AND(B2854="H0 verdadera",E2854="Rechazar H0"),"Error tipo I",IF(AND(B2854="Ha verdadera",E2854="No rechazar H0"),"Error tipo II","Decisión correcta"))</f>
        <v>Decisión correcta</v>
      </c>
    </row>
    <row r="2855" customFormat="false" ht="15" hidden="false" customHeight="false" outlineLevel="0" collapsed="false">
      <c r="A2855" s="0" t="n">
        <v>2834</v>
      </c>
      <c r="B2855" s="0" t="s">
        <v>86</v>
      </c>
      <c r="C2855" s="17" t="n">
        <v>-0.337108597221211</v>
      </c>
      <c r="D2855" s="17" t="n">
        <f aca="false">(C2855-$B$4)/($B$6/SQRT($B$7))</f>
        <v>-1.68554298610606</v>
      </c>
      <c r="E2855" s="0" t="str">
        <f aca="false">IF(OR(AND($B$9="superior",D2855&gt;$B$10),AND($B$9="inferior",D2855&lt;-$B$10)),"Rechazar H0","No rechazar H0")</f>
        <v>Rechazar H0</v>
      </c>
      <c r="F2855" s="0" t="str">
        <f aca="false">IF(AND(B2855="H0 verdadera",E2855="Rechazar H0"),"Error tipo I",IF(AND(B2855="Ha verdadera",E2855="No rechazar H0"),"Error tipo II","Decisión correcta"))</f>
        <v>Decisión correcta</v>
      </c>
    </row>
    <row r="2856" customFormat="false" ht="15" hidden="false" customHeight="false" outlineLevel="0" collapsed="false">
      <c r="A2856" s="0" t="n">
        <v>2835</v>
      </c>
      <c r="B2856" s="0" t="s">
        <v>86</v>
      </c>
      <c r="C2856" s="17" t="n">
        <v>-0.190914813574386</v>
      </c>
      <c r="D2856" s="17" t="n">
        <f aca="false">(C2856-$B$4)/($B$6/SQRT($B$7))</f>
        <v>-0.954574067871932</v>
      </c>
      <c r="E2856" s="0" t="str">
        <f aca="false">IF(OR(AND($B$9="superior",D2856&gt;$B$10),AND($B$9="inferior",D2856&lt;-$B$10)),"Rechazar H0","No rechazar H0")</f>
        <v>No rechazar H0</v>
      </c>
      <c r="F2856" s="0" t="str">
        <f aca="false">IF(AND(B2856="H0 verdadera",E2856="Rechazar H0"),"Error tipo I",IF(AND(B2856="Ha verdadera",E2856="No rechazar H0"),"Error tipo II","Decisión correcta"))</f>
        <v>Error tipo II</v>
      </c>
    </row>
    <row r="2857" customFormat="false" ht="15" hidden="false" customHeight="false" outlineLevel="0" collapsed="false">
      <c r="A2857" s="0" t="n">
        <v>2836</v>
      </c>
      <c r="B2857" s="0" t="s">
        <v>85</v>
      </c>
      <c r="C2857" s="17" t="n">
        <v>0.303390836847908</v>
      </c>
      <c r="D2857" s="17" t="n">
        <f aca="false">(C2857-$B$4)/($B$6/SQRT($B$7))</f>
        <v>1.51695418423954</v>
      </c>
      <c r="E2857" s="0" t="str">
        <f aca="false">IF(OR(AND($B$9="superior",D2857&gt;$B$10),AND($B$9="inferior",D2857&lt;-$B$10)),"Rechazar H0","No rechazar H0")</f>
        <v>No rechazar H0</v>
      </c>
      <c r="F2857" s="0" t="str">
        <f aca="false">IF(AND(B2857="H0 verdadera",E2857="Rechazar H0"),"Error tipo I",IF(AND(B2857="Ha verdadera",E2857="No rechazar H0"),"Error tipo II","Decisión correcta"))</f>
        <v>Decisión correcta</v>
      </c>
    </row>
    <row r="2858" customFormat="false" ht="15" hidden="false" customHeight="false" outlineLevel="0" collapsed="false">
      <c r="A2858" s="0" t="n">
        <v>2837</v>
      </c>
      <c r="B2858" s="0" t="s">
        <v>86</v>
      </c>
      <c r="C2858" s="17" t="n">
        <v>-0.334449035500702</v>
      </c>
      <c r="D2858" s="17" t="n">
        <f aca="false">(C2858-$B$4)/($B$6/SQRT($B$7))</f>
        <v>-1.67224517750351</v>
      </c>
      <c r="E2858" s="0" t="str">
        <f aca="false">IF(OR(AND($B$9="superior",D2858&gt;$B$10),AND($B$9="inferior",D2858&lt;-$B$10)),"Rechazar H0","No rechazar H0")</f>
        <v>Rechazar H0</v>
      </c>
      <c r="F2858" s="0" t="str">
        <f aca="false">IF(AND(B2858="H0 verdadera",E2858="Rechazar H0"),"Error tipo I",IF(AND(B2858="Ha verdadera",E2858="No rechazar H0"),"Error tipo II","Decisión correcta"))</f>
        <v>Decisión correcta</v>
      </c>
    </row>
    <row r="2859" customFormat="false" ht="15" hidden="false" customHeight="false" outlineLevel="0" collapsed="false">
      <c r="A2859" s="0" t="n">
        <v>2838</v>
      </c>
      <c r="B2859" s="0" t="s">
        <v>85</v>
      </c>
      <c r="C2859" s="17" t="n">
        <v>0.0798824977888118</v>
      </c>
      <c r="D2859" s="17" t="n">
        <f aca="false">(C2859-$B$4)/($B$6/SQRT($B$7))</f>
        <v>0.399412488944059</v>
      </c>
      <c r="E2859" s="0" t="str">
        <f aca="false">IF(OR(AND($B$9="superior",D2859&gt;$B$10),AND($B$9="inferior",D2859&lt;-$B$10)),"Rechazar H0","No rechazar H0")</f>
        <v>No rechazar H0</v>
      </c>
      <c r="F2859" s="0" t="str">
        <f aca="false">IF(AND(B2859="H0 verdadera",E2859="Rechazar H0"),"Error tipo I",IF(AND(B2859="Ha verdadera",E2859="No rechazar H0"),"Error tipo II","Decisión correcta"))</f>
        <v>Decisión correcta</v>
      </c>
    </row>
    <row r="2860" customFormat="false" ht="15" hidden="false" customHeight="false" outlineLevel="0" collapsed="false">
      <c r="A2860" s="0" t="n">
        <v>2839</v>
      </c>
      <c r="B2860" s="0" t="s">
        <v>85</v>
      </c>
      <c r="C2860" s="17" t="n">
        <v>0.172001910975677</v>
      </c>
      <c r="D2860" s="17" t="n">
        <f aca="false">(C2860-$B$4)/($B$6/SQRT($B$7))</f>
        <v>0.860009554878382</v>
      </c>
      <c r="E2860" s="0" t="str">
        <f aca="false">IF(OR(AND($B$9="superior",D2860&gt;$B$10),AND($B$9="inferior",D2860&lt;-$B$10)),"Rechazar H0","No rechazar H0")</f>
        <v>No rechazar H0</v>
      </c>
      <c r="F2860" s="0" t="str">
        <f aca="false">IF(AND(B2860="H0 verdadera",E2860="Rechazar H0"),"Error tipo I",IF(AND(B2860="Ha verdadera",E2860="No rechazar H0"),"Error tipo II","Decisión correcta"))</f>
        <v>Decisión correcta</v>
      </c>
    </row>
    <row r="2861" customFormat="false" ht="15" hidden="false" customHeight="false" outlineLevel="0" collapsed="false">
      <c r="A2861" s="0" t="n">
        <v>2840</v>
      </c>
      <c r="B2861" s="0" t="s">
        <v>86</v>
      </c>
      <c r="C2861" s="17" t="n">
        <v>-0.531167444477386</v>
      </c>
      <c r="D2861" s="17" t="n">
        <f aca="false">(C2861-$B$4)/($B$6/SQRT($B$7))</f>
        <v>-2.65583722238693</v>
      </c>
      <c r="E2861" s="0" t="str">
        <f aca="false">IF(OR(AND($B$9="superior",D2861&gt;$B$10),AND($B$9="inferior",D2861&lt;-$B$10)),"Rechazar H0","No rechazar H0")</f>
        <v>Rechazar H0</v>
      </c>
      <c r="F2861" s="0" t="str">
        <f aca="false">IF(AND(B2861="H0 verdadera",E2861="Rechazar H0"),"Error tipo I",IF(AND(B2861="Ha verdadera",E2861="No rechazar H0"),"Error tipo II","Decisión correcta"))</f>
        <v>Decisión correcta</v>
      </c>
    </row>
    <row r="2862" customFormat="false" ht="15" hidden="false" customHeight="false" outlineLevel="0" collapsed="false">
      <c r="A2862" s="0" t="n">
        <v>2841</v>
      </c>
      <c r="B2862" s="0" t="s">
        <v>86</v>
      </c>
      <c r="C2862" s="17" t="n">
        <v>-0.287216570933465</v>
      </c>
      <c r="D2862" s="17" t="n">
        <f aca="false">(C2862-$B$4)/($B$6/SQRT($B$7))</f>
        <v>-1.43608285466732</v>
      </c>
      <c r="E2862" s="0" t="str">
        <f aca="false">IF(OR(AND($B$9="superior",D2862&gt;$B$10),AND($B$9="inferior",D2862&lt;-$B$10)),"Rechazar H0","No rechazar H0")</f>
        <v>No rechazar H0</v>
      </c>
      <c r="F2862" s="0" t="str">
        <f aca="false">IF(AND(B2862="H0 verdadera",E2862="Rechazar H0"),"Error tipo I",IF(AND(B2862="Ha verdadera",E2862="No rechazar H0"),"Error tipo II","Decisión correcta"))</f>
        <v>Error tipo II</v>
      </c>
    </row>
    <row r="2863" customFormat="false" ht="15" hidden="false" customHeight="false" outlineLevel="0" collapsed="false">
      <c r="A2863" s="0" t="n">
        <v>2842</v>
      </c>
      <c r="B2863" s="0" t="s">
        <v>85</v>
      </c>
      <c r="C2863" s="17" t="n">
        <v>-0.0236381789118967</v>
      </c>
      <c r="D2863" s="17" t="n">
        <f aca="false">(C2863-$B$4)/($B$6/SQRT($B$7))</f>
        <v>-0.118190894559484</v>
      </c>
      <c r="E2863" s="0" t="str">
        <f aca="false">IF(OR(AND($B$9="superior",D2863&gt;$B$10),AND($B$9="inferior",D2863&lt;-$B$10)),"Rechazar H0","No rechazar H0")</f>
        <v>No rechazar H0</v>
      </c>
      <c r="F2863" s="0" t="str">
        <f aca="false">IF(AND(B2863="H0 verdadera",E2863="Rechazar H0"),"Error tipo I",IF(AND(B2863="Ha verdadera",E2863="No rechazar H0"),"Error tipo II","Decisión correcta"))</f>
        <v>Decisión correcta</v>
      </c>
    </row>
    <row r="2864" customFormat="false" ht="15" hidden="false" customHeight="false" outlineLevel="0" collapsed="false">
      <c r="A2864" s="0" t="n">
        <v>2843</v>
      </c>
      <c r="B2864" s="0" t="s">
        <v>86</v>
      </c>
      <c r="C2864" s="17" t="n">
        <v>-0.823037755779338</v>
      </c>
      <c r="D2864" s="17" t="n">
        <f aca="false">(C2864-$B$4)/($B$6/SQRT($B$7))</f>
        <v>-4.11518877889669</v>
      </c>
      <c r="E2864" s="0" t="str">
        <f aca="false">IF(OR(AND($B$9="superior",D2864&gt;$B$10),AND($B$9="inferior",D2864&lt;-$B$10)),"Rechazar H0","No rechazar H0")</f>
        <v>Rechazar H0</v>
      </c>
      <c r="F2864" s="0" t="str">
        <f aca="false">IF(AND(B2864="H0 verdadera",E2864="Rechazar H0"),"Error tipo I",IF(AND(B2864="Ha verdadera",E2864="No rechazar H0"),"Error tipo II","Decisión correcta"))</f>
        <v>Decisión correcta</v>
      </c>
    </row>
    <row r="2865" customFormat="false" ht="15" hidden="false" customHeight="false" outlineLevel="0" collapsed="false">
      <c r="A2865" s="0" t="n">
        <v>2844</v>
      </c>
      <c r="B2865" s="0" t="s">
        <v>85</v>
      </c>
      <c r="C2865" s="17" t="n">
        <v>0.47038130087725</v>
      </c>
      <c r="D2865" s="17" t="n">
        <f aca="false">(C2865-$B$4)/($B$6/SQRT($B$7))</f>
        <v>2.35190650438625</v>
      </c>
      <c r="E2865" s="0" t="str">
        <f aca="false">IF(OR(AND($B$9="superior",D2865&gt;$B$10),AND($B$9="inferior",D2865&lt;-$B$10)),"Rechazar H0","No rechazar H0")</f>
        <v>No rechazar H0</v>
      </c>
      <c r="F2865" s="0" t="str">
        <f aca="false">IF(AND(B2865="H0 verdadera",E2865="Rechazar H0"),"Error tipo I",IF(AND(B2865="Ha verdadera",E2865="No rechazar H0"),"Error tipo II","Decisión correcta"))</f>
        <v>Decisión correcta</v>
      </c>
    </row>
    <row r="2866" customFormat="false" ht="15" hidden="false" customHeight="false" outlineLevel="0" collapsed="false">
      <c r="A2866" s="0" t="n">
        <v>2845</v>
      </c>
      <c r="B2866" s="0" t="s">
        <v>86</v>
      </c>
      <c r="C2866" s="17" t="n">
        <v>-0.447227845224007</v>
      </c>
      <c r="D2866" s="17" t="n">
        <f aca="false">(C2866-$B$4)/($B$6/SQRT($B$7))</f>
        <v>-2.23613922612003</v>
      </c>
      <c r="E2866" s="0" t="str">
        <f aca="false">IF(OR(AND($B$9="superior",D2866&gt;$B$10),AND($B$9="inferior",D2866&lt;-$B$10)),"Rechazar H0","No rechazar H0")</f>
        <v>Rechazar H0</v>
      </c>
      <c r="F2866" s="0" t="str">
        <f aca="false">IF(AND(B2866="H0 verdadera",E2866="Rechazar H0"),"Error tipo I",IF(AND(B2866="Ha verdadera",E2866="No rechazar H0"),"Error tipo II","Decisión correcta"))</f>
        <v>Decisión correcta</v>
      </c>
    </row>
    <row r="2867" customFormat="false" ht="15" hidden="false" customHeight="false" outlineLevel="0" collapsed="false">
      <c r="A2867" s="0" t="n">
        <v>2846</v>
      </c>
      <c r="B2867" s="0" t="s">
        <v>85</v>
      </c>
      <c r="C2867" s="17" t="n">
        <v>-0.087808835437711</v>
      </c>
      <c r="D2867" s="17" t="n">
        <f aca="false">(C2867-$B$4)/($B$6/SQRT($B$7))</f>
        <v>-0.439044177188555</v>
      </c>
      <c r="E2867" s="0" t="str">
        <f aca="false">IF(OR(AND($B$9="superior",D2867&gt;$B$10),AND($B$9="inferior",D2867&lt;-$B$10)),"Rechazar H0","No rechazar H0")</f>
        <v>No rechazar H0</v>
      </c>
      <c r="F2867" s="0" t="str">
        <f aca="false">IF(AND(B2867="H0 verdadera",E2867="Rechazar H0"),"Error tipo I",IF(AND(B2867="Ha verdadera",E2867="No rechazar H0"),"Error tipo II","Decisión correcta"))</f>
        <v>Decisión correcta</v>
      </c>
    </row>
    <row r="2868" customFormat="false" ht="15" hidden="false" customHeight="false" outlineLevel="0" collapsed="false">
      <c r="A2868" s="0" t="n">
        <v>2847</v>
      </c>
      <c r="B2868" s="0" t="s">
        <v>86</v>
      </c>
      <c r="C2868" s="17" t="n">
        <v>-0.257670935284251</v>
      </c>
      <c r="D2868" s="17" t="n">
        <f aca="false">(C2868-$B$4)/($B$6/SQRT($B$7))</f>
        <v>-1.28835467642125</v>
      </c>
      <c r="E2868" s="0" t="str">
        <f aca="false">IF(OR(AND($B$9="superior",D2868&gt;$B$10),AND($B$9="inferior",D2868&lt;-$B$10)),"Rechazar H0","No rechazar H0")</f>
        <v>No rechazar H0</v>
      </c>
      <c r="F2868" s="0" t="str">
        <f aca="false">IF(AND(B2868="H0 verdadera",E2868="Rechazar H0"),"Error tipo I",IF(AND(B2868="Ha verdadera",E2868="No rechazar H0"),"Error tipo II","Decisión correcta"))</f>
        <v>Error tipo II</v>
      </c>
    </row>
    <row r="2869" customFormat="false" ht="15" hidden="false" customHeight="false" outlineLevel="0" collapsed="false">
      <c r="A2869" s="0" t="n">
        <v>2848</v>
      </c>
      <c r="B2869" s="0" t="s">
        <v>86</v>
      </c>
      <c r="C2869" s="17" t="n">
        <v>-0.598214058913665</v>
      </c>
      <c r="D2869" s="17" t="n">
        <f aca="false">(C2869-$B$4)/($B$6/SQRT($B$7))</f>
        <v>-2.99107029456833</v>
      </c>
      <c r="E2869" s="0" t="str">
        <f aca="false">IF(OR(AND($B$9="superior",D2869&gt;$B$10),AND($B$9="inferior",D2869&lt;-$B$10)),"Rechazar H0","No rechazar H0")</f>
        <v>Rechazar H0</v>
      </c>
      <c r="F2869" s="0" t="str">
        <f aca="false">IF(AND(B2869="H0 verdadera",E2869="Rechazar H0"),"Error tipo I",IF(AND(B2869="Ha verdadera",E2869="No rechazar H0"),"Error tipo II","Decisión correcta"))</f>
        <v>Decisión correcta</v>
      </c>
    </row>
    <row r="2870" customFormat="false" ht="15" hidden="false" customHeight="false" outlineLevel="0" collapsed="false">
      <c r="A2870" s="0" t="n">
        <v>2849</v>
      </c>
      <c r="B2870" s="0" t="s">
        <v>86</v>
      </c>
      <c r="C2870" s="17" t="n">
        <v>-0.676448034600786</v>
      </c>
      <c r="D2870" s="17" t="n">
        <f aca="false">(C2870-$B$4)/($B$6/SQRT($B$7))</f>
        <v>-3.38224017300393</v>
      </c>
      <c r="E2870" s="0" t="str">
        <f aca="false">IF(OR(AND($B$9="superior",D2870&gt;$B$10),AND($B$9="inferior",D2870&lt;-$B$10)),"Rechazar H0","No rechazar H0")</f>
        <v>Rechazar H0</v>
      </c>
      <c r="F2870" s="0" t="str">
        <f aca="false">IF(AND(B2870="H0 verdadera",E2870="Rechazar H0"),"Error tipo I",IF(AND(B2870="Ha verdadera",E2870="No rechazar H0"),"Error tipo II","Decisión correcta"))</f>
        <v>Decisión correcta</v>
      </c>
    </row>
    <row r="2871" customFormat="false" ht="15" hidden="false" customHeight="false" outlineLevel="0" collapsed="false">
      <c r="A2871" s="0" t="n">
        <v>2850</v>
      </c>
      <c r="B2871" s="0" t="s">
        <v>85</v>
      </c>
      <c r="C2871" s="17" t="n">
        <v>-0.338541083358423</v>
      </c>
      <c r="D2871" s="17" t="n">
        <f aca="false">(C2871-$B$4)/($B$6/SQRT($B$7))</f>
        <v>-1.69270541679211</v>
      </c>
      <c r="E2871" s="0" t="str">
        <f aca="false">IF(OR(AND($B$9="superior",D2871&gt;$B$10),AND($B$9="inferior",D2871&lt;-$B$10)),"Rechazar H0","No rechazar H0")</f>
        <v>Rechazar H0</v>
      </c>
      <c r="F2871" s="0" t="str">
        <f aca="false">IF(AND(B2871="H0 verdadera",E2871="Rechazar H0"),"Error tipo I",IF(AND(B2871="Ha verdadera",E2871="No rechazar H0"),"Error tipo II","Decisión correcta"))</f>
        <v>Error tipo I</v>
      </c>
    </row>
    <row r="2872" customFormat="false" ht="15" hidden="false" customHeight="false" outlineLevel="0" collapsed="false">
      <c r="A2872" s="0" t="n">
        <v>2851</v>
      </c>
      <c r="B2872" s="0" t="s">
        <v>85</v>
      </c>
      <c r="C2872" s="17" t="n">
        <v>-0.0930282182692218</v>
      </c>
      <c r="D2872" s="17" t="n">
        <f aca="false">(C2872-$B$4)/($B$6/SQRT($B$7))</f>
        <v>-0.465141091346109</v>
      </c>
      <c r="E2872" s="0" t="str">
        <f aca="false">IF(OR(AND($B$9="superior",D2872&gt;$B$10),AND($B$9="inferior",D2872&lt;-$B$10)),"Rechazar H0","No rechazar H0")</f>
        <v>No rechazar H0</v>
      </c>
      <c r="F2872" s="0" t="str">
        <f aca="false">IF(AND(B2872="H0 verdadera",E2872="Rechazar H0"),"Error tipo I",IF(AND(B2872="Ha verdadera",E2872="No rechazar H0"),"Error tipo II","Decisión correcta"))</f>
        <v>Decisión correcta</v>
      </c>
    </row>
    <row r="2873" customFormat="false" ht="15" hidden="false" customHeight="false" outlineLevel="0" collapsed="false">
      <c r="A2873" s="0" t="n">
        <v>2852</v>
      </c>
      <c r="B2873" s="0" t="s">
        <v>85</v>
      </c>
      <c r="C2873" s="17" t="n">
        <v>-0.0378250692569124</v>
      </c>
      <c r="D2873" s="17" t="n">
        <f aca="false">(C2873-$B$4)/($B$6/SQRT($B$7))</f>
        <v>-0.189125346284562</v>
      </c>
      <c r="E2873" s="0" t="str">
        <f aca="false">IF(OR(AND($B$9="superior",D2873&gt;$B$10),AND($B$9="inferior",D2873&lt;-$B$10)),"Rechazar H0","No rechazar H0")</f>
        <v>No rechazar H0</v>
      </c>
      <c r="F2873" s="0" t="str">
        <f aca="false">IF(AND(B2873="H0 verdadera",E2873="Rechazar H0"),"Error tipo I",IF(AND(B2873="Ha verdadera",E2873="No rechazar H0"),"Error tipo II","Decisión correcta"))</f>
        <v>Decisión correcta</v>
      </c>
    </row>
    <row r="2874" customFormat="false" ht="15" hidden="false" customHeight="false" outlineLevel="0" collapsed="false">
      <c r="A2874" s="0" t="n">
        <v>2853</v>
      </c>
      <c r="B2874" s="0" t="s">
        <v>85</v>
      </c>
      <c r="C2874" s="17" t="n">
        <v>0.27014869361223</v>
      </c>
      <c r="D2874" s="17" t="n">
        <f aca="false">(C2874-$B$4)/($B$6/SQRT($B$7))</f>
        <v>1.35074346806115</v>
      </c>
      <c r="E2874" s="0" t="str">
        <f aca="false">IF(OR(AND($B$9="superior",D2874&gt;$B$10),AND($B$9="inferior",D2874&lt;-$B$10)),"Rechazar H0","No rechazar H0")</f>
        <v>No rechazar H0</v>
      </c>
      <c r="F2874" s="0" t="str">
        <f aca="false">IF(AND(B2874="H0 verdadera",E2874="Rechazar H0"),"Error tipo I",IF(AND(B2874="Ha verdadera",E2874="No rechazar H0"),"Error tipo II","Decisión correcta"))</f>
        <v>Decisión correcta</v>
      </c>
    </row>
    <row r="2875" customFormat="false" ht="15" hidden="false" customHeight="false" outlineLevel="0" collapsed="false">
      <c r="A2875" s="0" t="n">
        <v>2854</v>
      </c>
      <c r="B2875" s="0" t="s">
        <v>85</v>
      </c>
      <c r="C2875" s="17" t="n">
        <v>-0.0808402725950796</v>
      </c>
      <c r="D2875" s="17" t="n">
        <f aca="false">(C2875-$B$4)/($B$6/SQRT($B$7))</f>
        <v>-0.404201362975398</v>
      </c>
      <c r="E2875" s="0" t="str">
        <f aca="false">IF(OR(AND($B$9="superior",D2875&gt;$B$10),AND($B$9="inferior",D2875&lt;-$B$10)),"Rechazar H0","No rechazar H0")</f>
        <v>No rechazar H0</v>
      </c>
      <c r="F2875" s="0" t="str">
        <f aca="false">IF(AND(B2875="H0 verdadera",E2875="Rechazar H0"),"Error tipo I",IF(AND(B2875="Ha verdadera",E2875="No rechazar H0"),"Error tipo II","Decisión correcta"))</f>
        <v>Decisión correcta</v>
      </c>
    </row>
    <row r="2876" customFormat="false" ht="15" hidden="false" customHeight="false" outlineLevel="0" collapsed="false">
      <c r="A2876" s="0" t="n">
        <v>2855</v>
      </c>
      <c r="B2876" s="0" t="s">
        <v>86</v>
      </c>
      <c r="C2876" s="17" t="n">
        <v>-0.557961486709175</v>
      </c>
      <c r="D2876" s="17" t="n">
        <f aca="false">(C2876-$B$4)/($B$6/SQRT($B$7))</f>
        <v>-2.78980743354587</v>
      </c>
      <c r="E2876" s="0" t="str">
        <f aca="false">IF(OR(AND($B$9="superior",D2876&gt;$B$10),AND($B$9="inferior",D2876&lt;-$B$10)),"Rechazar H0","No rechazar H0")</f>
        <v>Rechazar H0</v>
      </c>
      <c r="F2876" s="0" t="str">
        <f aca="false">IF(AND(B2876="H0 verdadera",E2876="Rechazar H0"),"Error tipo I",IF(AND(B2876="Ha verdadera",E2876="No rechazar H0"),"Error tipo II","Decisión correcta"))</f>
        <v>Decisión correcta</v>
      </c>
    </row>
    <row r="2877" customFormat="false" ht="15" hidden="false" customHeight="false" outlineLevel="0" collapsed="false">
      <c r="A2877" s="0" t="n">
        <v>2856</v>
      </c>
      <c r="B2877" s="0" t="s">
        <v>85</v>
      </c>
      <c r="C2877" s="17" t="n">
        <v>-0.184116037499348</v>
      </c>
      <c r="D2877" s="17" t="n">
        <f aca="false">(C2877-$B$4)/($B$6/SQRT($B$7))</f>
        <v>-0.92058018749674</v>
      </c>
      <c r="E2877" s="0" t="str">
        <f aca="false">IF(OR(AND($B$9="superior",D2877&gt;$B$10),AND($B$9="inferior",D2877&lt;-$B$10)),"Rechazar H0","No rechazar H0")</f>
        <v>No rechazar H0</v>
      </c>
      <c r="F2877" s="0" t="str">
        <f aca="false">IF(AND(B2877="H0 verdadera",E2877="Rechazar H0"),"Error tipo I",IF(AND(B2877="Ha verdadera",E2877="No rechazar H0"),"Error tipo II","Decisión correcta"))</f>
        <v>Decisión correcta</v>
      </c>
    </row>
    <row r="2878" customFormat="false" ht="15" hidden="false" customHeight="false" outlineLevel="0" collapsed="false">
      <c r="A2878" s="0" t="n">
        <v>2857</v>
      </c>
      <c r="B2878" s="0" t="s">
        <v>85</v>
      </c>
      <c r="C2878" s="17" t="n">
        <v>0.048955826231865</v>
      </c>
      <c r="D2878" s="17" t="n">
        <f aca="false">(C2878-$B$4)/($B$6/SQRT($B$7))</f>
        <v>0.244779131159325</v>
      </c>
      <c r="E2878" s="0" t="str">
        <f aca="false">IF(OR(AND($B$9="superior",D2878&gt;$B$10),AND($B$9="inferior",D2878&lt;-$B$10)),"Rechazar H0","No rechazar H0")</f>
        <v>No rechazar H0</v>
      </c>
      <c r="F2878" s="0" t="str">
        <f aca="false">IF(AND(B2878="H0 verdadera",E2878="Rechazar H0"),"Error tipo I",IF(AND(B2878="Ha verdadera",E2878="No rechazar H0"),"Error tipo II","Decisión correcta"))</f>
        <v>Decisión correcta</v>
      </c>
    </row>
    <row r="2879" customFormat="false" ht="15" hidden="false" customHeight="false" outlineLevel="0" collapsed="false">
      <c r="A2879" s="0" t="n">
        <v>2858</v>
      </c>
      <c r="B2879" s="0" t="s">
        <v>86</v>
      </c>
      <c r="C2879" s="17" t="n">
        <v>-0.410184518216319</v>
      </c>
      <c r="D2879" s="17" t="n">
        <f aca="false">(C2879-$B$4)/($B$6/SQRT($B$7))</f>
        <v>-2.05092259108159</v>
      </c>
      <c r="E2879" s="0" t="str">
        <f aca="false">IF(OR(AND($B$9="superior",D2879&gt;$B$10),AND($B$9="inferior",D2879&lt;-$B$10)),"Rechazar H0","No rechazar H0")</f>
        <v>Rechazar H0</v>
      </c>
      <c r="F2879" s="0" t="str">
        <f aca="false">IF(AND(B2879="H0 verdadera",E2879="Rechazar H0"),"Error tipo I",IF(AND(B2879="Ha verdadera",E2879="No rechazar H0"),"Error tipo II","Decisión correcta"))</f>
        <v>Decisión correcta</v>
      </c>
    </row>
    <row r="2880" customFormat="false" ht="15" hidden="false" customHeight="false" outlineLevel="0" collapsed="false">
      <c r="A2880" s="0" t="n">
        <v>2859</v>
      </c>
      <c r="B2880" s="0" t="s">
        <v>85</v>
      </c>
      <c r="C2880" s="17" t="n">
        <v>0.0566087762466791</v>
      </c>
      <c r="D2880" s="17" t="n">
        <f aca="false">(C2880-$B$4)/($B$6/SQRT($B$7))</f>
        <v>0.283043881233395</v>
      </c>
      <c r="E2880" s="0" t="str">
        <f aca="false">IF(OR(AND($B$9="superior",D2880&gt;$B$10),AND($B$9="inferior",D2880&lt;-$B$10)),"Rechazar H0","No rechazar H0")</f>
        <v>No rechazar H0</v>
      </c>
      <c r="F2880" s="0" t="str">
        <f aca="false">IF(AND(B2880="H0 verdadera",E2880="Rechazar H0"),"Error tipo I",IF(AND(B2880="Ha verdadera",E2880="No rechazar H0"),"Error tipo II","Decisión correcta"))</f>
        <v>Decisión correcta</v>
      </c>
    </row>
    <row r="2881" customFormat="false" ht="15" hidden="false" customHeight="false" outlineLevel="0" collapsed="false">
      <c r="A2881" s="0" t="n">
        <v>2860</v>
      </c>
      <c r="B2881" s="0" t="s">
        <v>86</v>
      </c>
      <c r="C2881" s="17" t="n">
        <v>-0.624433094089087</v>
      </c>
      <c r="D2881" s="17" t="n">
        <f aca="false">(C2881-$B$4)/($B$6/SQRT($B$7))</f>
        <v>-3.12216547044543</v>
      </c>
      <c r="E2881" s="0" t="str">
        <f aca="false">IF(OR(AND($B$9="superior",D2881&gt;$B$10),AND($B$9="inferior",D2881&lt;-$B$10)),"Rechazar H0","No rechazar H0")</f>
        <v>Rechazar H0</v>
      </c>
      <c r="F2881" s="0" t="str">
        <f aca="false">IF(AND(B2881="H0 verdadera",E2881="Rechazar H0"),"Error tipo I",IF(AND(B2881="Ha verdadera",E2881="No rechazar H0"),"Error tipo II","Decisión correcta"))</f>
        <v>Decisión correcta</v>
      </c>
    </row>
    <row r="2882" customFormat="false" ht="15" hidden="false" customHeight="false" outlineLevel="0" collapsed="false">
      <c r="A2882" s="0" t="n">
        <v>2861</v>
      </c>
      <c r="B2882" s="0" t="s">
        <v>85</v>
      </c>
      <c r="C2882" s="17" t="n">
        <v>-0.192601375107649</v>
      </c>
      <c r="D2882" s="17" t="n">
        <f aca="false">(C2882-$B$4)/($B$6/SQRT($B$7))</f>
        <v>-0.963006875538246</v>
      </c>
      <c r="E2882" s="0" t="str">
        <f aca="false">IF(OR(AND($B$9="superior",D2882&gt;$B$10),AND($B$9="inferior",D2882&lt;-$B$10)),"Rechazar H0","No rechazar H0")</f>
        <v>No rechazar H0</v>
      </c>
      <c r="F2882" s="0" t="str">
        <f aca="false">IF(AND(B2882="H0 verdadera",E2882="Rechazar H0"),"Error tipo I",IF(AND(B2882="Ha verdadera",E2882="No rechazar H0"),"Error tipo II","Decisión correcta"))</f>
        <v>Decisión correcta</v>
      </c>
    </row>
    <row r="2883" customFormat="false" ht="15" hidden="false" customHeight="false" outlineLevel="0" collapsed="false">
      <c r="A2883" s="0" t="n">
        <v>2862</v>
      </c>
      <c r="B2883" s="0" t="s">
        <v>85</v>
      </c>
      <c r="C2883" s="17" t="n">
        <v>-0.101834764121868</v>
      </c>
      <c r="D2883" s="17" t="n">
        <f aca="false">(C2883-$B$4)/($B$6/SQRT($B$7))</f>
        <v>-0.509173820609341</v>
      </c>
      <c r="E2883" s="0" t="str">
        <f aca="false">IF(OR(AND($B$9="superior",D2883&gt;$B$10),AND($B$9="inferior",D2883&lt;-$B$10)),"Rechazar H0","No rechazar H0")</f>
        <v>No rechazar H0</v>
      </c>
      <c r="F2883" s="0" t="str">
        <f aca="false">IF(AND(B2883="H0 verdadera",E2883="Rechazar H0"),"Error tipo I",IF(AND(B2883="Ha verdadera",E2883="No rechazar H0"),"Error tipo II","Decisión correcta"))</f>
        <v>Decisión correcta</v>
      </c>
    </row>
    <row r="2884" customFormat="false" ht="15" hidden="false" customHeight="false" outlineLevel="0" collapsed="false">
      <c r="A2884" s="0" t="n">
        <v>2863</v>
      </c>
      <c r="B2884" s="0" t="s">
        <v>85</v>
      </c>
      <c r="C2884" s="17" t="n">
        <v>0.361501112129034</v>
      </c>
      <c r="D2884" s="17" t="n">
        <f aca="false">(C2884-$B$4)/($B$6/SQRT($B$7))</f>
        <v>1.80750556064517</v>
      </c>
      <c r="E2884" s="0" t="str">
        <f aca="false">IF(OR(AND($B$9="superior",D2884&gt;$B$10),AND($B$9="inferior",D2884&lt;-$B$10)),"Rechazar H0","No rechazar H0")</f>
        <v>No rechazar H0</v>
      </c>
      <c r="F2884" s="0" t="str">
        <f aca="false">IF(AND(B2884="H0 verdadera",E2884="Rechazar H0"),"Error tipo I",IF(AND(B2884="Ha verdadera",E2884="No rechazar H0"),"Error tipo II","Decisión correcta"))</f>
        <v>Decisión correcta</v>
      </c>
    </row>
    <row r="2885" customFormat="false" ht="15" hidden="false" customHeight="false" outlineLevel="0" collapsed="false">
      <c r="A2885" s="0" t="n">
        <v>2864</v>
      </c>
      <c r="B2885" s="0" t="s">
        <v>86</v>
      </c>
      <c r="C2885" s="17" t="n">
        <v>-0.31414388878597</v>
      </c>
      <c r="D2885" s="17" t="n">
        <f aca="false">(C2885-$B$4)/($B$6/SQRT($B$7))</f>
        <v>-1.57071944392985</v>
      </c>
      <c r="E2885" s="0" t="str">
        <f aca="false">IF(OR(AND($B$9="superior",D2885&gt;$B$10),AND($B$9="inferior",D2885&lt;-$B$10)),"Rechazar H0","No rechazar H0")</f>
        <v>No rechazar H0</v>
      </c>
      <c r="F2885" s="0" t="str">
        <f aca="false">IF(AND(B2885="H0 verdadera",E2885="Rechazar H0"),"Error tipo I",IF(AND(B2885="Ha verdadera",E2885="No rechazar H0"),"Error tipo II","Decisión correcta"))</f>
        <v>Error tipo II</v>
      </c>
    </row>
    <row r="2886" customFormat="false" ht="15" hidden="false" customHeight="false" outlineLevel="0" collapsed="false">
      <c r="A2886" s="0" t="n">
        <v>2865</v>
      </c>
      <c r="B2886" s="0" t="s">
        <v>86</v>
      </c>
      <c r="C2886" s="17" t="n">
        <v>-0.443552192575659</v>
      </c>
      <c r="D2886" s="17" t="n">
        <f aca="false">(C2886-$B$4)/($B$6/SQRT($B$7))</f>
        <v>-2.2177609628783</v>
      </c>
      <c r="E2886" s="0" t="str">
        <f aca="false">IF(OR(AND($B$9="superior",D2886&gt;$B$10),AND($B$9="inferior",D2886&lt;-$B$10)),"Rechazar H0","No rechazar H0")</f>
        <v>Rechazar H0</v>
      </c>
      <c r="F2886" s="0" t="str">
        <f aca="false">IF(AND(B2886="H0 verdadera",E2886="Rechazar H0"),"Error tipo I",IF(AND(B2886="Ha verdadera",E2886="No rechazar H0"),"Error tipo II","Decisión correcta"))</f>
        <v>Decisión correcta</v>
      </c>
    </row>
    <row r="2887" customFormat="false" ht="15" hidden="false" customHeight="false" outlineLevel="0" collapsed="false">
      <c r="A2887" s="0" t="n">
        <v>2866</v>
      </c>
      <c r="B2887" s="0" t="s">
        <v>85</v>
      </c>
      <c r="C2887" s="17" t="n">
        <v>0.154496618919151</v>
      </c>
      <c r="D2887" s="17" t="n">
        <f aca="false">(C2887-$B$4)/($B$6/SQRT($B$7))</f>
        <v>0.772483094595754</v>
      </c>
      <c r="E2887" s="0" t="str">
        <f aca="false">IF(OR(AND($B$9="superior",D2887&gt;$B$10),AND($B$9="inferior",D2887&lt;-$B$10)),"Rechazar H0","No rechazar H0")</f>
        <v>No rechazar H0</v>
      </c>
      <c r="F2887" s="0" t="str">
        <f aca="false">IF(AND(B2887="H0 verdadera",E2887="Rechazar H0"),"Error tipo I",IF(AND(B2887="Ha verdadera",E2887="No rechazar H0"),"Error tipo II","Decisión correcta"))</f>
        <v>Decisión correcta</v>
      </c>
    </row>
    <row r="2888" customFormat="false" ht="15" hidden="false" customHeight="false" outlineLevel="0" collapsed="false">
      <c r="A2888" s="0" t="n">
        <v>2867</v>
      </c>
      <c r="B2888" s="0" t="s">
        <v>86</v>
      </c>
      <c r="C2888" s="17" t="n">
        <v>-0.216010286467683</v>
      </c>
      <c r="D2888" s="17" t="n">
        <f aca="false">(C2888-$B$4)/($B$6/SQRT($B$7))</f>
        <v>-1.08005143233841</v>
      </c>
      <c r="E2888" s="0" t="str">
        <f aca="false">IF(OR(AND($B$9="superior",D2888&gt;$B$10),AND($B$9="inferior",D2888&lt;-$B$10)),"Rechazar H0","No rechazar H0")</f>
        <v>No rechazar H0</v>
      </c>
      <c r="F2888" s="0" t="str">
        <f aca="false">IF(AND(B2888="H0 verdadera",E2888="Rechazar H0"),"Error tipo I",IF(AND(B2888="Ha verdadera",E2888="No rechazar H0"),"Error tipo II","Decisión correcta"))</f>
        <v>Error tipo II</v>
      </c>
    </row>
    <row r="2889" customFormat="false" ht="15" hidden="false" customHeight="false" outlineLevel="0" collapsed="false">
      <c r="A2889" s="0" t="n">
        <v>2868</v>
      </c>
      <c r="B2889" s="0" t="s">
        <v>85</v>
      </c>
      <c r="C2889" s="17" t="n">
        <v>0.281274771613381</v>
      </c>
      <c r="D2889" s="17" t="n">
        <f aca="false">(C2889-$B$4)/($B$6/SQRT($B$7))</f>
        <v>1.40637385806691</v>
      </c>
      <c r="E2889" s="0" t="str">
        <f aca="false">IF(OR(AND($B$9="superior",D2889&gt;$B$10),AND($B$9="inferior",D2889&lt;-$B$10)),"Rechazar H0","No rechazar H0")</f>
        <v>No rechazar H0</v>
      </c>
      <c r="F2889" s="0" t="str">
        <f aca="false">IF(AND(B2889="H0 verdadera",E2889="Rechazar H0"),"Error tipo I",IF(AND(B2889="Ha verdadera",E2889="No rechazar H0"),"Error tipo II","Decisión correcta"))</f>
        <v>Decisión correcta</v>
      </c>
    </row>
    <row r="2890" customFormat="false" ht="15" hidden="false" customHeight="false" outlineLevel="0" collapsed="false">
      <c r="A2890" s="0" t="n">
        <v>2869</v>
      </c>
      <c r="B2890" s="0" t="s">
        <v>85</v>
      </c>
      <c r="C2890" s="17" t="n">
        <v>0.419168998314038</v>
      </c>
      <c r="D2890" s="17" t="n">
        <f aca="false">(C2890-$B$4)/($B$6/SQRT($B$7))</f>
        <v>2.09584499157019</v>
      </c>
      <c r="E2890" s="0" t="str">
        <f aca="false">IF(OR(AND($B$9="superior",D2890&gt;$B$10),AND($B$9="inferior",D2890&lt;-$B$10)),"Rechazar H0","No rechazar H0")</f>
        <v>No rechazar H0</v>
      </c>
      <c r="F2890" s="0" t="str">
        <f aca="false">IF(AND(B2890="H0 verdadera",E2890="Rechazar H0"),"Error tipo I",IF(AND(B2890="Ha verdadera",E2890="No rechazar H0"),"Error tipo II","Decisión correcta"))</f>
        <v>Decisión correcta</v>
      </c>
    </row>
    <row r="2891" customFormat="false" ht="15" hidden="false" customHeight="false" outlineLevel="0" collapsed="false">
      <c r="A2891" s="0" t="n">
        <v>2870</v>
      </c>
      <c r="B2891" s="0" t="s">
        <v>85</v>
      </c>
      <c r="C2891" s="17" t="n">
        <v>-0.0501189236704686</v>
      </c>
      <c r="D2891" s="17" t="n">
        <f aca="false">(C2891-$B$4)/($B$6/SQRT($B$7))</f>
        <v>-0.250594618352343</v>
      </c>
      <c r="E2891" s="0" t="str">
        <f aca="false">IF(OR(AND($B$9="superior",D2891&gt;$B$10),AND($B$9="inferior",D2891&lt;-$B$10)),"Rechazar H0","No rechazar H0")</f>
        <v>No rechazar H0</v>
      </c>
      <c r="F2891" s="0" t="str">
        <f aca="false">IF(AND(B2891="H0 verdadera",E2891="Rechazar H0"),"Error tipo I",IF(AND(B2891="Ha verdadera",E2891="No rechazar H0"),"Error tipo II","Decisión correcta"))</f>
        <v>Decisión correcta</v>
      </c>
    </row>
    <row r="2892" customFormat="false" ht="15" hidden="false" customHeight="false" outlineLevel="0" collapsed="false">
      <c r="A2892" s="0" t="n">
        <v>2871</v>
      </c>
      <c r="B2892" s="0" t="s">
        <v>85</v>
      </c>
      <c r="C2892" s="17" t="n">
        <v>0.463694494938186</v>
      </c>
      <c r="D2892" s="17" t="n">
        <f aca="false">(C2892-$B$4)/($B$6/SQRT($B$7))</f>
        <v>2.31847247469093</v>
      </c>
      <c r="E2892" s="0" t="str">
        <f aca="false">IF(OR(AND($B$9="superior",D2892&gt;$B$10),AND($B$9="inferior",D2892&lt;-$B$10)),"Rechazar H0","No rechazar H0")</f>
        <v>No rechazar H0</v>
      </c>
      <c r="F2892" s="0" t="str">
        <f aca="false">IF(AND(B2892="H0 verdadera",E2892="Rechazar H0"),"Error tipo I",IF(AND(B2892="Ha verdadera",E2892="No rechazar H0"),"Error tipo II","Decisión correcta"))</f>
        <v>Decisión correcta</v>
      </c>
    </row>
    <row r="2893" customFormat="false" ht="15" hidden="false" customHeight="false" outlineLevel="0" collapsed="false">
      <c r="A2893" s="0" t="n">
        <v>2872</v>
      </c>
      <c r="B2893" s="0" t="s">
        <v>85</v>
      </c>
      <c r="C2893" s="17" t="n">
        <v>-0.133470063079957</v>
      </c>
      <c r="D2893" s="17" t="n">
        <f aca="false">(C2893-$B$4)/($B$6/SQRT($B$7))</f>
        <v>-0.667350315399784</v>
      </c>
      <c r="E2893" s="0" t="str">
        <f aca="false">IF(OR(AND($B$9="superior",D2893&gt;$B$10),AND($B$9="inferior",D2893&lt;-$B$10)),"Rechazar H0","No rechazar H0")</f>
        <v>No rechazar H0</v>
      </c>
      <c r="F2893" s="0" t="str">
        <f aca="false">IF(AND(B2893="H0 verdadera",E2893="Rechazar H0"),"Error tipo I",IF(AND(B2893="Ha verdadera",E2893="No rechazar H0"),"Error tipo II","Decisión correcta"))</f>
        <v>Decisión correcta</v>
      </c>
    </row>
    <row r="2894" customFormat="false" ht="15" hidden="false" customHeight="false" outlineLevel="0" collapsed="false">
      <c r="A2894" s="0" t="n">
        <v>2873</v>
      </c>
      <c r="B2894" s="0" t="s">
        <v>85</v>
      </c>
      <c r="C2894" s="17" t="n">
        <v>0.152801373313039</v>
      </c>
      <c r="D2894" s="17" t="n">
        <f aca="false">(C2894-$B$4)/($B$6/SQRT($B$7))</f>
        <v>0.764006866565195</v>
      </c>
      <c r="E2894" s="0" t="str">
        <f aca="false">IF(OR(AND($B$9="superior",D2894&gt;$B$10),AND($B$9="inferior",D2894&lt;-$B$10)),"Rechazar H0","No rechazar H0")</f>
        <v>No rechazar H0</v>
      </c>
      <c r="F2894" s="0" t="str">
        <f aca="false">IF(AND(B2894="H0 verdadera",E2894="Rechazar H0"),"Error tipo I",IF(AND(B2894="Ha verdadera",E2894="No rechazar H0"),"Error tipo II","Decisión correcta"))</f>
        <v>Decisión correcta</v>
      </c>
    </row>
    <row r="2895" customFormat="false" ht="15" hidden="false" customHeight="false" outlineLevel="0" collapsed="false">
      <c r="A2895" s="0" t="n">
        <v>2874</v>
      </c>
      <c r="B2895" s="0" t="s">
        <v>86</v>
      </c>
      <c r="C2895" s="17" t="n">
        <v>0.0134684196119928</v>
      </c>
      <c r="D2895" s="17" t="n">
        <f aca="false">(C2895-$B$4)/($B$6/SQRT($B$7))</f>
        <v>0.067342098059964</v>
      </c>
      <c r="E2895" s="0" t="str">
        <f aca="false">IF(OR(AND($B$9="superior",D2895&gt;$B$10),AND($B$9="inferior",D2895&lt;-$B$10)),"Rechazar H0","No rechazar H0")</f>
        <v>No rechazar H0</v>
      </c>
      <c r="F2895" s="0" t="str">
        <f aca="false">IF(AND(B2895="H0 verdadera",E2895="Rechazar H0"),"Error tipo I",IF(AND(B2895="Ha verdadera",E2895="No rechazar H0"),"Error tipo II","Decisión correcta"))</f>
        <v>Error tipo II</v>
      </c>
    </row>
    <row r="2896" customFormat="false" ht="15" hidden="false" customHeight="false" outlineLevel="0" collapsed="false">
      <c r="A2896" s="0" t="n">
        <v>2875</v>
      </c>
      <c r="B2896" s="0" t="s">
        <v>85</v>
      </c>
      <c r="C2896" s="17" t="n">
        <v>-0.279366089091029</v>
      </c>
      <c r="D2896" s="17" t="n">
        <f aca="false">(C2896-$B$4)/($B$6/SQRT($B$7))</f>
        <v>-1.39683044545514</v>
      </c>
      <c r="E2896" s="0" t="str">
        <f aca="false">IF(OR(AND($B$9="superior",D2896&gt;$B$10),AND($B$9="inferior",D2896&lt;-$B$10)),"Rechazar H0","No rechazar H0")</f>
        <v>No rechazar H0</v>
      </c>
      <c r="F2896" s="0" t="str">
        <f aca="false">IF(AND(B2896="H0 verdadera",E2896="Rechazar H0"),"Error tipo I",IF(AND(B2896="Ha verdadera",E2896="No rechazar H0"),"Error tipo II","Decisión correcta"))</f>
        <v>Decisión correcta</v>
      </c>
    </row>
    <row r="2897" customFormat="false" ht="15" hidden="false" customHeight="false" outlineLevel="0" collapsed="false">
      <c r="A2897" s="0" t="n">
        <v>2876</v>
      </c>
      <c r="B2897" s="0" t="s">
        <v>85</v>
      </c>
      <c r="C2897" s="17" t="n">
        <v>-0.206832167689153</v>
      </c>
      <c r="D2897" s="17" t="n">
        <f aca="false">(C2897-$B$4)/($B$6/SQRT($B$7))</f>
        <v>-1.03416083844576</v>
      </c>
      <c r="E2897" s="0" t="str">
        <f aca="false">IF(OR(AND($B$9="superior",D2897&gt;$B$10),AND($B$9="inferior",D2897&lt;-$B$10)),"Rechazar H0","No rechazar H0")</f>
        <v>No rechazar H0</v>
      </c>
      <c r="F2897" s="0" t="str">
        <f aca="false">IF(AND(B2897="H0 verdadera",E2897="Rechazar H0"),"Error tipo I",IF(AND(B2897="Ha verdadera",E2897="No rechazar H0"),"Error tipo II","Decisión correcta"))</f>
        <v>Decisión correcta</v>
      </c>
    </row>
    <row r="2898" customFormat="false" ht="15" hidden="false" customHeight="false" outlineLevel="0" collapsed="false">
      <c r="A2898" s="0" t="n">
        <v>2877</v>
      </c>
      <c r="B2898" s="0" t="s">
        <v>85</v>
      </c>
      <c r="C2898" s="17" t="n">
        <v>0.00798232225006268</v>
      </c>
      <c r="D2898" s="17" t="n">
        <f aca="false">(C2898-$B$4)/($B$6/SQRT($B$7))</f>
        <v>0.0399116112503134</v>
      </c>
      <c r="E2898" s="0" t="str">
        <f aca="false">IF(OR(AND($B$9="superior",D2898&gt;$B$10),AND($B$9="inferior",D2898&lt;-$B$10)),"Rechazar H0","No rechazar H0")</f>
        <v>No rechazar H0</v>
      </c>
      <c r="F2898" s="0" t="str">
        <f aca="false">IF(AND(B2898="H0 verdadera",E2898="Rechazar H0"),"Error tipo I",IF(AND(B2898="Ha verdadera",E2898="No rechazar H0"),"Error tipo II","Decisión correcta"))</f>
        <v>Decisión correcta</v>
      </c>
    </row>
    <row r="2899" customFormat="false" ht="15" hidden="false" customHeight="false" outlineLevel="0" collapsed="false">
      <c r="A2899" s="0" t="n">
        <v>2878</v>
      </c>
      <c r="B2899" s="0" t="s">
        <v>86</v>
      </c>
      <c r="C2899" s="17" t="n">
        <v>-0.171382359029368</v>
      </c>
      <c r="D2899" s="17" t="n">
        <f aca="false">(C2899-$B$4)/($B$6/SQRT($B$7))</f>
        <v>-0.856911795146842</v>
      </c>
      <c r="E2899" s="0" t="str">
        <f aca="false">IF(OR(AND($B$9="superior",D2899&gt;$B$10),AND($B$9="inferior",D2899&lt;-$B$10)),"Rechazar H0","No rechazar H0")</f>
        <v>No rechazar H0</v>
      </c>
      <c r="F2899" s="0" t="str">
        <f aca="false">IF(AND(B2899="H0 verdadera",E2899="Rechazar H0"),"Error tipo I",IF(AND(B2899="Ha verdadera",E2899="No rechazar H0"),"Error tipo II","Decisión correcta"))</f>
        <v>Error tipo II</v>
      </c>
    </row>
    <row r="2900" customFormat="false" ht="15" hidden="false" customHeight="false" outlineLevel="0" collapsed="false">
      <c r="A2900" s="0" t="n">
        <v>2879</v>
      </c>
      <c r="B2900" s="0" t="s">
        <v>85</v>
      </c>
      <c r="C2900" s="17" t="n">
        <v>0.0181323109022289</v>
      </c>
      <c r="D2900" s="17" t="n">
        <f aca="false">(C2900-$B$4)/($B$6/SQRT($B$7))</f>
        <v>0.0906615545111445</v>
      </c>
      <c r="E2900" s="0" t="str">
        <f aca="false">IF(OR(AND($B$9="superior",D2900&gt;$B$10),AND($B$9="inferior",D2900&lt;-$B$10)),"Rechazar H0","No rechazar H0")</f>
        <v>No rechazar H0</v>
      </c>
      <c r="F2900" s="0" t="str">
        <f aca="false">IF(AND(B2900="H0 verdadera",E2900="Rechazar H0"),"Error tipo I",IF(AND(B2900="Ha verdadera",E2900="No rechazar H0"),"Error tipo II","Decisión correcta"))</f>
        <v>Decisión correcta</v>
      </c>
    </row>
    <row r="2901" customFormat="false" ht="15" hidden="false" customHeight="false" outlineLevel="0" collapsed="false">
      <c r="A2901" s="0" t="n">
        <v>2880</v>
      </c>
      <c r="B2901" s="0" t="s">
        <v>85</v>
      </c>
      <c r="C2901" s="17" t="n">
        <v>-0.0556989807862132</v>
      </c>
      <c r="D2901" s="17" t="n">
        <f aca="false">(C2901-$B$4)/($B$6/SQRT($B$7))</f>
        <v>-0.278494903931066</v>
      </c>
      <c r="E2901" s="0" t="str">
        <f aca="false">IF(OR(AND($B$9="superior",D2901&gt;$B$10),AND($B$9="inferior",D2901&lt;-$B$10)),"Rechazar H0","No rechazar H0")</f>
        <v>No rechazar H0</v>
      </c>
      <c r="F2901" s="0" t="str">
        <f aca="false">IF(AND(B2901="H0 verdadera",E2901="Rechazar H0"),"Error tipo I",IF(AND(B2901="Ha verdadera",E2901="No rechazar H0"),"Error tipo II","Decisión correcta"))</f>
        <v>Decisión correcta</v>
      </c>
    </row>
    <row r="2902" customFormat="false" ht="15" hidden="false" customHeight="false" outlineLevel="0" collapsed="false">
      <c r="A2902" s="0" t="n">
        <v>2881</v>
      </c>
      <c r="B2902" s="0" t="s">
        <v>85</v>
      </c>
      <c r="C2902" s="17" t="n">
        <v>-0.220617965073542</v>
      </c>
      <c r="D2902" s="17" t="n">
        <f aca="false">(C2902-$B$4)/($B$6/SQRT($B$7))</f>
        <v>-1.10308982536771</v>
      </c>
      <c r="E2902" s="0" t="str">
        <f aca="false">IF(OR(AND($B$9="superior",D2902&gt;$B$10),AND($B$9="inferior",D2902&lt;-$B$10)),"Rechazar H0","No rechazar H0")</f>
        <v>No rechazar H0</v>
      </c>
      <c r="F2902" s="0" t="str">
        <f aca="false">IF(AND(B2902="H0 verdadera",E2902="Rechazar H0"),"Error tipo I",IF(AND(B2902="Ha verdadera",E2902="No rechazar H0"),"Error tipo II","Decisión correcta"))</f>
        <v>Decisión correcta</v>
      </c>
    </row>
    <row r="2903" customFormat="false" ht="15" hidden="false" customHeight="false" outlineLevel="0" collapsed="false">
      <c r="A2903" s="0" t="n">
        <v>2882</v>
      </c>
      <c r="B2903" s="0" t="s">
        <v>86</v>
      </c>
      <c r="C2903" s="17" t="n">
        <v>-0.0590896593465467</v>
      </c>
      <c r="D2903" s="17" t="n">
        <f aca="false">(C2903-$B$4)/($B$6/SQRT($B$7))</f>
        <v>-0.295448296732733</v>
      </c>
      <c r="E2903" s="0" t="str">
        <f aca="false">IF(OR(AND($B$9="superior",D2903&gt;$B$10),AND($B$9="inferior",D2903&lt;-$B$10)),"Rechazar H0","No rechazar H0")</f>
        <v>No rechazar H0</v>
      </c>
      <c r="F2903" s="0" t="str">
        <f aca="false">IF(AND(B2903="H0 verdadera",E2903="Rechazar H0"),"Error tipo I",IF(AND(B2903="Ha verdadera",E2903="No rechazar H0"),"Error tipo II","Decisión correcta"))</f>
        <v>Error tipo II</v>
      </c>
    </row>
    <row r="2904" customFormat="false" ht="15" hidden="false" customHeight="false" outlineLevel="0" collapsed="false">
      <c r="A2904" s="0" t="n">
        <v>2883</v>
      </c>
      <c r="B2904" s="0" t="s">
        <v>85</v>
      </c>
      <c r="C2904" s="17" t="n">
        <v>-0.195417149149696</v>
      </c>
      <c r="D2904" s="17" t="n">
        <f aca="false">(C2904-$B$4)/($B$6/SQRT($B$7))</f>
        <v>-0.97708574574848</v>
      </c>
      <c r="E2904" s="0" t="str">
        <f aca="false">IF(OR(AND($B$9="superior",D2904&gt;$B$10),AND($B$9="inferior",D2904&lt;-$B$10)),"Rechazar H0","No rechazar H0")</f>
        <v>No rechazar H0</v>
      </c>
      <c r="F2904" s="0" t="str">
        <f aca="false">IF(AND(B2904="H0 verdadera",E2904="Rechazar H0"),"Error tipo I",IF(AND(B2904="Ha verdadera",E2904="No rechazar H0"),"Error tipo II","Decisión correcta"))</f>
        <v>Decisión correcta</v>
      </c>
    </row>
    <row r="2905" customFormat="false" ht="15" hidden="false" customHeight="false" outlineLevel="0" collapsed="false">
      <c r="A2905" s="0" t="n">
        <v>2884</v>
      </c>
      <c r="B2905" s="0" t="s">
        <v>86</v>
      </c>
      <c r="C2905" s="17" t="n">
        <v>-0.630121590912695</v>
      </c>
      <c r="D2905" s="17" t="n">
        <f aca="false">(C2905-$B$4)/($B$6/SQRT($B$7))</f>
        <v>-3.15060795456347</v>
      </c>
      <c r="E2905" s="0" t="str">
        <f aca="false">IF(OR(AND($B$9="superior",D2905&gt;$B$10),AND($B$9="inferior",D2905&lt;-$B$10)),"Rechazar H0","No rechazar H0")</f>
        <v>Rechazar H0</v>
      </c>
      <c r="F2905" s="0" t="str">
        <f aca="false">IF(AND(B2905="H0 verdadera",E2905="Rechazar H0"),"Error tipo I",IF(AND(B2905="Ha verdadera",E2905="No rechazar H0"),"Error tipo II","Decisión correcta"))</f>
        <v>Decisión correcta</v>
      </c>
    </row>
    <row r="2906" customFormat="false" ht="15" hidden="false" customHeight="false" outlineLevel="0" collapsed="false">
      <c r="A2906" s="0" t="n">
        <v>2885</v>
      </c>
      <c r="B2906" s="0" t="s">
        <v>86</v>
      </c>
      <c r="C2906" s="17" t="n">
        <v>-0.158171151405796</v>
      </c>
      <c r="D2906" s="17" t="n">
        <f aca="false">(C2906-$B$4)/($B$6/SQRT($B$7))</f>
        <v>-0.790855757028978</v>
      </c>
      <c r="E2906" s="0" t="str">
        <f aca="false">IF(OR(AND($B$9="superior",D2906&gt;$B$10),AND($B$9="inferior",D2906&lt;-$B$10)),"Rechazar H0","No rechazar H0")</f>
        <v>No rechazar H0</v>
      </c>
      <c r="F2906" s="0" t="str">
        <f aca="false">IF(AND(B2906="H0 verdadera",E2906="Rechazar H0"),"Error tipo I",IF(AND(B2906="Ha verdadera",E2906="No rechazar H0"),"Error tipo II","Decisión correcta"))</f>
        <v>Error tipo II</v>
      </c>
    </row>
    <row r="2907" customFormat="false" ht="15" hidden="false" customHeight="false" outlineLevel="0" collapsed="false">
      <c r="A2907" s="0" t="n">
        <v>2886</v>
      </c>
      <c r="B2907" s="0" t="s">
        <v>85</v>
      </c>
      <c r="C2907" s="17" t="n">
        <v>-0.257311115853439</v>
      </c>
      <c r="D2907" s="17" t="n">
        <f aca="false">(C2907-$B$4)/($B$6/SQRT($B$7))</f>
        <v>-1.28655557926719</v>
      </c>
      <c r="E2907" s="0" t="str">
        <f aca="false">IF(OR(AND($B$9="superior",D2907&gt;$B$10),AND($B$9="inferior",D2907&lt;-$B$10)),"Rechazar H0","No rechazar H0")</f>
        <v>No rechazar H0</v>
      </c>
      <c r="F2907" s="0" t="str">
        <f aca="false">IF(AND(B2907="H0 verdadera",E2907="Rechazar H0"),"Error tipo I",IF(AND(B2907="Ha verdadera",E2907="No rechazar H0"),"Error tipo II","Decisión correcta"))</f>
        <v>Decisión correcta</v>
      </c>
    </row>
    <row r="2908" customFormat="false" ht="15" hidden="false" customHeight="false" outlineLevel="0" collapsed="false">
      <c r="A2908" s="0" t="n">
        <v>2887</v>
      </c>
      <c r="B2908" s="0" t="s">
        <v>86</v>
      </c>
      <c r="C2908" s="17" t="n">
        <v>-0.279284258283302</v>
      </c>
      <c r="D2908" s="17" t="n">
        <f aca="false">(C2908-$B$4)/($B$6/SQRT($B$7))</f>
        <v>-1.39642129141651</v>
      </c>
      <c r="E2908" s="0" t="str">
        <f aca="false">IF(OR(AND($B$9="superior",D2908&gt;$B$10),AND($B$9="inferior",D2908&lt;-$B$10)),"Rechazar H0","No rechazar H0")</f>
        <v>No rechazar H0</v>
      </c>
      <c r="F2908" s="0" t="str">
        <f aca="false">IF(AND(B2908="H0 verdadera",E2908="Rechazar H0"),"Error tipo I",IF(AND(B2908="Ha verdadera",E2908="No rechazar H0"),"Error tipo II","Decisión correcta"))</f>
        <v>Error tipo II</v>
      </c>
    </row>
    <row r="2909" customFormat="false" ht="15" hidden="false" customHeight="false" outlineLevel="0" collapsed="false">
      <c r="A2909" s="0" t="n">
        <v>2888</v>
      </c>
      <c r="B2909" s="0" t="s">
        <v>86</v>
      </c>
      <c r="C2909" s="17" t="n">
        <v>-0.620731522722764</v>
      </c>
      <c r="D2909" s="17" t="n">
        <f aca="false">(C2909-$B$4)/($B$6/SQRT($B$7))</f>
        <v>-3.10365761361382</v>
      </c>
      <c r="E2909" s="0" t="str">
        <f aca="false">IF(OR(AND($B$9="superior",D2909&gt;$B$10),AND($B$9="inferior",D2909&lt;-$B$10)),"Rechazar H0","No rechazar H0")</f>
        <v>Rechazar H0</v>
      </c>
      <c r="F2909" s="0" t="str">
        <f aca="false">IF(AND(B2909="H0 verdadera",E2909="Rechazar H0"),"Error tipo I",IF(AND(B2909="Ha verdadera",E2909="No rechazar H0"),"Error tipo II","Decisión correcta"))</f>
        <v>Decisión correcta</v>
      </c>
    </row>
    <row r="2910" customFormat="false" ht="15" hidden="false" customHeight="false" outlineLevel="0" collapsed="false">
      <c r="A2910" s="0" t="n">
        <v>2889</v>
      </c>
      <c r="B2910" s="0" t="s">
        <v>85</v>
      </c>
      <c r="C2910" s="17" t="n">
        <v>0.212886428052671</v>
      </c>
      <c r="D2910" s="17" t="n">
        <f aca="false">(C2910-$B$4)/($B$6/SQRT($B$7))</f>
        <v>1.06443214026335</v>
      </c>
      <c r="E2910" s="0" t="str">
        <f aca="false">IF(OR(AND($B$9="superior",D2910&gt;$B$10),AND($B$9="inferior",D2910&lt;-$B$10)),"Rechazar H0","No rechazar H0")</f>
        <v>No rechazar H0</v>
      </c>
      <c r="F2910" s="0" t="str">
        <f aca="false">IF(AND(B2910="H0 verdadera",E2910="Rechazar H0"),"Error tipo I",IF(AND(B2910="Ha verdadera",E2910="No rechazar H0"),"Error tipo II","Decisión correcta"))</f>
        <v>Decisión correcta</v>
      </c>
    </row>
    <row r="2911" customFormat="false" ht="15" hidden="false" customHeight="false" outlineLevel="0" collapsed="false">
      <c r="A2911" s="0" t="n">
        <v>2890</v>
      </c>
      <c r="B2911" s="0" t="s">
        <v>85</v>
      </c>
      <c r="C2911" s="17" t="n">
        <v>-0.0826610576386408</v>
      </c>
      <c r="D2911" s="17" t="n">
        <f aca="false">(C2911-$B$4)/($B$6/SQRT($B$7))</f>
        <v>-0.413305288193204</v>
      </c>
      <c r="E2911" s="0" t="str">
        <f aca="false">IF(OR(AND($B$9="superior",D2911&gt;$B$10),AND($B$9="inferior",D2911&lt;-$B$10)),"Rechazar H0","No rechazar H0")</f>
        <v>No rechazar H0</v>
      </c>
      <c r="F2911" s="0" t="str">
        <f aca="false">IF(AND(B2911="H0 verdadera",E2911="Rechazar H0"),"Error tipo I",IF(AND(B2911="Ha verdadera",E2911="No rechazar H0"),"Error tipo II","Decisión correcta"))</f>
        <v>Decisión correcta</v>
      </c>
    </row>
    <row r="2912" customFormat="false" ht="15" hidden="false" customHeight="false" outlineLevel="0" collapsed="false">
      <c r="A2912" s="0" t="n">
        <v>2891</v>
      </c>
      <c r="B2912" s="0" t="s">
        <v>86</v>
      </c>
      <c r="C2912" s="17" t="n">
        <v>-0.373443572477686</v>
      </c>
      <c r="D2912" s="17" t="n">
        <f aca="false">(C2912-$B$4)/($B$6/SQRT($B$7))</f>
        <v>-1.86721786238843</v>
      </c>
      <c r="E2912" s="0" t="str">
        <f aca="false">IF(OR(AND($B$9="superior",D2912&gt;$B$10),AND($B$9="inferior",D2912&lt;-$B$10)),"Rechazar H0","No rechazar H0")</f>
        <v>Rechazar H0</v>
      </c>
      <c r="F2912" s="0" t="str">
        <f aca="false">IF(AND(B2912="H0 verdadera",E2912="Rechazar H0"),"Error tipo I",IF(AND(B2912="Ha verdadera",E2912="No rechazar H0"),"Error tipo II","Decisión correcta"))</f>
        <v>Decisión correcta</v>
      </c>
    </row>
    <row r="2913" customFormat="false" ht="15" hidden="false" customHeight="false" outlineLevel="0" collapsed="false">
      <c r="A2913" s="0" t="n">
        <v>2892</v>
      </c>
      <c r="B2913" s="0" t="s">
        <v>85</v>
      </c>
      <c r="C2913" s="17" t="n">
        <v>0.00629308498067606</v>
      </c>
      <c r="D2913" s="17" t="n">
        <f aca="false">(C2913-$B$4)/($B$6/SQRT($B$7))</f>
        <v>0.0314654249033803</v>
      </c>
      <c r="E2913" s="0" t="str">
        <f aca="false">IF(OR(AND($B$9="superior",D2913&gt;$B$10),AND($B$9="inferior",D2913&lt;-$B$10)),"Rechazar H0","No rechazar H0")</f>
        <v>No rechazar H0</v>
      </c>
      <c r="F2913" s="0" t="str">
        <f aca="false">IF(AND(B2913="H0 verdadera",E2913="Rechazar H0"),"Error tipo I",IF(AND(B2913="Ha verdadera",E2913="No rechazar H0"),"Error tipo II","Decisión correcta"))</f>
        <v>Decisión correcta</v>
      </c>
    </row>
    <row r="2914" customFormat="false" ht="15" hidden="false" customHeight="false" outlineLevel="0" collapsed="false">
      <c r="A2914" s="0" t="n">
        <v>2893</v>
      </c>
      <c r="B2914" s="0" t="s">
        <v>86</v>
      </c>
      <c r="C2914" s="17" t="n">
        <v>-0.633845544957847</v>
      </c>
      <c r="D2914" s="17" t="n">
        <f aca="false">(C2914-$B$4)/($B$6/SQRT($B$7))</f>
        <v>-3.16922772478924</v>
      </c>
      <c r="E2914" s="0" t="str">
        <f aca="false">IF(OR(AND($B$9="superior",D2914&gt;$B$10),AND($B$9="inferior",D2914&lt;-$B$10)),"Rechazar H0","No rechazar H0")</f>
        <v>Rechazar H0</v>
      </c>
      <c r="F2914" s="0" t="str">
        <f aca="false">IF(AND(B2914="H0 verdadera",E2914="Rechazar H0"),"Error tipo I",IF(AND(B2914="Ha verdadera",E2914="No rechazar H0"),"Error tipo II","Decisión correcta"))</f>
        <v>Decisión correcta</v>
      </c>
    </row>
    <row r="2915" customFormat="false" ht="15" hidden="false" customHeight="false" outlineLevel="0" collapsed="false">
      <c r="A2915" s="0" t="n">
        <v>2894</v>
      </c>
      <c r="B2915" s="0" t="s">
        <v>86</v>
      </c>
      <c r="C2915" s="17" t="n">
        <v>-0.201511099757324</v>
      </c>
      <c r="D2915" s="17" t="n">
        <f aca="false">(C2915-$B$4)/($B$6/SQRT($B$7))</f>
        <v>-1.00755549878662</v>
      </c>
      <c r="E2915" s="0" t="str">
        <f aca="false">IF(OR(AND($B$9="superior",D2915&gt;$B$10),AND($B$9="inferior",D2915&lt;-$B$10)),"Rechazar H0","No rechazar H0")</f>
        <v>No rechazar H0</v>
      </c>
      <c r="F2915" s="0" t="str">
        <f aca="false">IF(AND(B2915="H0 verdadera",E2915="Rechazar H0"),"Error tipo I",IF(AND(B2915="Ha verdadera",E2915="No rechazar H0"),"Error tipo II","Decisión correcta"))</f>
        <v>Error tipo II</v>
      </c>
    </row>
    <row r="2916" customFormat="false" ht="15" hidden="false" customHeight="false" outlineLevel="0" collapsed="false">
      <c r="A2916" s="0" t="n">
        <v>2895</v>
      </c>
      <c r="B2916" s="0" t="s">
        <v>85</v>
      </c>
      <c r="C2916" s="17" t="n">
        <v>-0.420293314958494</v>
      </c>
      <c r="D2916" s="17" t="n">
        <f aca="false">(C2916-$B$4)/($B$6/SQRT($B$7))</f>
        <v>-2.10146657479247</v>
      </c>
      <c r="E2916" s="0" t="str">
        <f aca="false">IF(OR(AND($B$9="superior",D2916&gt;$B$10),AND($B$9="inferior",D2916&lt;-$B$10)),"Rechazar H0","No rechazar H0")</f>
        <v>Rechazar H0</v>
      </c>
      <c r="F2916" s="0" t="str">
        <f aca="false">IF(AND(B2916="H0 verdadera",E2916="Rechazar H0"),"Error tipo I",IF(AND(B2916="Ha verdadera",E2916="No rechazar H0"),"Error tipo II","Decisión correcta"))</f>
        <v>Error tipo I</v>
      </c>
    </row>
    <row r="2917" customFormat="false" ht="15" hidden="false" customHeight="false" outlineLevel="0" collapsed="false">
      <c r="A2917" s="0" t="n">
        <v>2896</v>
      </c>
      <c r="B2917" s="0" t="s">
        <v>86</v>
      </c>
      <c r="C2917" s="17" t="n">
        <v>-0.677212850042005</v>
      </c>
      <c r="D2917" s="17" t="n">
        <f aca="false">(C2917-$B$4)/($B$6/SQRT($B$7))</f>
        <v>-3.38606425021003</v>
      </c>
      <c r="E2917" s="0" t="str">
        <f aca="false">IF(OR(AND($B$9="superior",D2917&gt;$B$10),AND($B$9="inferior",D2917&lt;-$B$10)),"Rechazar H0","No rechazar H0")</f>
        <v>Rechazar H0</v>
      </c>
      <c r="F2917" s="0" t="str">
        <f aca="false">IF(AND(B2917="H0 verdadera",E2917="Rechazar H0"),"Error tipo I",IF(AND(B2917="Ha verdadera",E2917="No rechazar H0"),"Error tipo II","Decisión correcta"))</f>
        <v>Decisión correcta</v>
      </c>
    </row>
    <row r="2918" customFormat="false" ht="15" hidden="false" customHeight="false" outlineLevel="0" collapsed="false">
      <c r="A2918" s="0" t="n">
        <v>2897</v>
      </c>
      <c r="B2918" s="0" t="s">
        <v>85</v>
      </c>
      <c r="C2918" s="17" t="n">
        <v>-0.126238037168122</v>
      </c>
      <c r="D2918" s="17" t="n">
        <f aca="false">(C2918-$B$4)/($B$6/SQRT($B$7))</f>
        <v>-0.631190185840611</v>
      </c>
      <c r="E2918" s="0" t="str">
        <f aca="false">IF(OR(AND($B$9="superior",D2918&gt;$B$10),AND($B$9="inferior",D2918&lt;-$B$10)),"Rechazar H0","No rechazar H0")</f>
        <v>No rechazar H0</v>
      </c>
      <c r="F2918" s="0" t="str">
        <f aca="false">IF(AND(B2918="H0 verdadera",E2918="Rechazar H0"),"Error tipo I",IF(AND(B2918="Ha verdadera",E2918="No rechazar H0"),"Error tipo II","Decisión correcta"))</f>
        <v>Decisión correcta</v>
      </c>
    </row>
    <row r="2919" customFormat="false" ht="15" hidden="false" customHeight="false" outlineLevel="0" collapsed="false">
      <c r="A2919" s="0" t="n">
        <v>2898</v>
      </c>
      <c r="B2919" s="0" t="s">
        <v>86</v>
      </c>
      <c r="C2919" s="17" t="n">
        <v>-0.669440513761693</v>
      </c>
      <c r="D2919" s="17" t="n">
        <f aca="false">(C2919-$B$4)/($B$6/SQRT($B$7))</f>
        <v>-3.34720256880847</v>
      </c>
      <c r="E2919" s="0" t="str">
        <f aca="false">IF(OR(AND($B$9="superior",D2919&gt;$B$10),AND($B$9="inferior",D2919&lt;-$B$10)),"Rechazar H0","No rechazar H0")</f>
        <v>Rechazar H0</v>
      </c>
      <c r="F2919" s="0" t="str">
        <f aca="false">IF(AND(B2919="H0 verdadera",E2919="Rechazar H0"),"Error tipo I",IF(AND(B2919="Ha verdadera",E2919="No rechazar H0"),"Error tipo II","Decisión correcta"))</f>
        <v>Decisión correcta</v>
      </c>
    </row>
    <row r="2920" customFormat="false" ht="15" hidden="false" customHeight="false" outlineLevel="0" collapsed="false">
      <c r="A2920" s="0" t="n">
        <v>2899</v>
      </c>
      <c r="B2920" s="0" t="s">
        <v>85</v>
      </c>
      <c r="C2920" s="17" t="n">
        <v>-0.021027342184692</v>
      </c>
      <c r="D2920" s="17" t="n">
        <f aca="false">(C2920-$B$4)/($B$6/SQRT($B$7))</f>
        <v>-0.10513671092346</v>
      </c>
      <c r="E2920" s="0" t="str">
        <f aca="false">IF(OR(AND($B$9="superior",D2920&gt;$B$10),AND($B$9="inferior",D2920&lt;-$B$10)),"Rechazar H0","No rechazar H0")</f>
        <v>No rechazar H0</v>
      </c>
      <c r="F2920" s="0" t="str">
        <f aca="false">IF(AND(B2920="H0 verdadera",E2920="Rechazar H0"),"Error tipo I",IF(AND(B2920="Ha verdadera",E2920="No rechazar H0"),"Error tipo II","Decisión correcta"))</f>
        <v>Decisión correcta</v>
      </c>
    </row>
    <row r="2921" customFormat="false" ht="15" hidden="false" customHeight="false" outlineLevel="0" collapsed="false">
      <c r="A2921" s="0" t="n">
        <v>2900</v>
      </c>
      <c r="B2921" s="0" t="s">
        <v>85</v>
      </c>
      <c r="C2921" s="17" t="n">
        <v>0.134919158878938</v>
      </c>
      <c r="D2921" s="17" t="n">
        <f aca="false">(C2921-$B$4)/($B$6/SQRT($B$7))</f>
        <v>0.674595794394691</v>
      </c>
      <c r="E2921" s="0" t="str">
        <f aca="false">IF(OR(AND($B$9="superior",D2921&gt;$B$10),AND($B$9="inferior",D2921&lt;-$B$10)),"Rechazar H0","No rechazar H0")</f>
        <v>No rechazar H0</v>
      </c>
      <c r="F2921" s="0" t="str">
        <f aca="false">IF(AND(B2921="H0 verdadera",E2921="Rechazar H0"),"Error tipo I",IF(AND(B2921="Ha verdadera",E2921="No rechazar H0"),"Error tipo II","Decisión correcta"))</f>
        <v>Decisión correcta</v>
      </c>
    </row>
    <row r="2922" customFormat="false" ht="15" hidden="false" customHeight="false" outlineLevel="0" collapsed="false">
      <c r="A2922" s="0" t="n">
        <v>2901</v>
      </c>
      <c r="B2922" s="0" t="s">
        <v>86</v>
      </c>
      <c r="C2922" s="17" t="n">
        <v>-0.00151128079910418</v>
      </c>
      <c r="D2922" s="17" t="n">
        <f aca="false">(C2922-$B$4)/($B$6/SQRT($B$7))</f>
        <v>-0.00755640399552089</v>
      </c>
      <c r="E2922" s="0" t="str">
        <f aca="false">IF(OR(AND($B$9="superior",D2922&gt;$B$10),AND($B$9="inferior",D2922&lt;-$B$10)),"Rechazar H0","No rechazar H0")</f>
        <v>No rechazar H0</v>
      </c>
      <c r="F2922" s="0" t="str">
        <f aca="false">IF(AND(B2922="H0 verdadera",E2922="Rechazar H0"),"Error tipo I",IF(AND(B2922="Ha verdadera",E2922="No rechazar H0"),"Error tipo II","Decisión correcta"))</f>
        <v>Error tipo II</v>
      </c>
    </row>
    <row r="2923" customFormat="false" ht="15" hidden="false" customHeight="false" outlineLevel="0" collapsed="false">
      <c r="A2923" s="0" t="n">
        <v>2902</v>
      </c>
      <c r="B2923" s="0" t="s">
        <v>85</v>
      </c>
      <c r="C2923" s="17" t="n">
        <v>-0.0122874739515547</v>
      </c>
      <c r="D2923" s="17" t="n">
        <f aca="false">(C2923-$B$4)/($B$6/SQRT($B$7))</f>
        <v>-0.0614373697577732</v>
      </c>
      <c r="E2923" s="0" t="str">
        <f aca="false">IF(OR(AND($B$9="superior",D2923&gt;$B$10),AND($B$9="inferior",D2923&lt;-$B$10)),"Rechazar H0","No rechazar H0")</f>
        <v>No rechazar H0</v>
      </c>
      <c r="F2923" s="0" t="str">
        <f aca="false">IF(AND(B2923="H0 verdadera",E2923="Rechazar H0"),"Error tipo I",IF(AND(B2923="Ha verdadera",E2923="No rechazar H0"),"Error tipo II","Decisión correcta"))</f>
        <v>Decisión correcta</v>
      </c>
    </row>
    <row r="2924" customFormat="false" ht="15" hidden="false" customHeight="false" outlineLevel="0" collapsed="false">
      <c r="A2924" s="0" t="n">
        <v>2903</v>
      </c>
      <c r="B2924" s="0" t="s">
        <v>86</v>
      </c>
      <c r="C2924" s="17" t="n">
        <v>-0.438512641659233</v>
      </c>
      <c r="D2924" s="17" t="n">
        <f aca="false">(C2924-$B$4)/($B$6/SQRT($B$7))</f>
        <v>-2.19256320829617</v>
      </c>
      <c r="E2924" s="0" t="str">
        <f aca="false">IF(OR(AND($B$9="superior",D2924&gt;$B$10),AND($B$9="inferior",D2924&lt;-$B$10)),"Rechazar H0","No rechazar H0")</f>
        <v>Rechazar H0</v>
      </c>
      <c r="F2924" s="0" t="str">
        <f aca="false">IF(AND(B2924="H0 verdadera",E2924="Rechazar H0"),"Error tipo I",IF(AND(B2924="Ha verdadera",E2924="No rechazar H0"),"Error tipo II","Decisión correcta"))</f>
        <v>Decisión correcta</v>
      </c>
    </row>
    <row r="2925" customFormat="false" ht="15" hidden="false" customHeight="false" outlineLevel="0" collapsed="false">
      <c r="A2925" s="0" t="n">
        <v>2904</v>
      </c>
      <c r="B2925" s="0" t="s">
        <v>85</v>
      </c>
      <c r="C2925" s="17" t="n">
        <v>-0.0160081288394474</v>
      </c>
      <c r="D2925" s="17" t="n">
        <f aca="false">(C2925-$B$4)/($B$6/SQRT($B$7))</f>
        <v>-0.0800406441972372</v>
      </c>
      <c r="E2925" s="0" t="str">
        <f aca="false">IF(OR(AND($B$9="superior",D2925&gt;$B$10),AND($B$9="inferior",D2925&lt;-$B$10)),"Rechazar H0","No rechazar H0")</f>
        <v>No rechazar H0</v>
      </c>
      <c r="F2925" s="0" t="str">
        <f aca="false">IF(AND(B2925="H0 verdadera",E2925="Rechazar H0"),"Error tipo I",IF(AND(B2925="Ha verdadera",E2925="No rechazar H0"),"Error tipo II","Decisión correcta"))</f>
        <v>Decisión correcta</v>
      </c>
    </row>
    <row r="2926" customFormat="false" ht="15" hidden="false" customHeight="false" outlineLevel="0" collapsed="false">
      <c r="A2926" s="0" t="n">
        <v>2905</v>
      </c>
      <c r="B2926" s="0" t="s">
        <v>86</v>
      </c>
      <c r="C2926" s="17" t="n">
        <v>-0.307876766690534</v>
      </c>
      <c r="D2926" s="17" t="n">
        <f aca="false">(C2926-$B$4)/($B$6/SQRT($B$7))</f>
        <v>-1.53938383345267</v>
      </c>
      <c r="E2926" s="0" t="str">
        <f aca="false">IF(OR(AND($B$9="superior",D2926&gt;$B$10),AND($B$9="inferior",D2926&lt;-$B$10)),"Rechazar H0","No rechazar H0")</f>
        <v>No rechazar H0</v>
      </c>
      <c r="F2926" s="0" t="str">
        <f aca="false">IF(AND(B2926="H0 verdadera",E2926="Rechazar H0"),"Error tipo I",IF(AND(B2926="Ha verdadera",E2926="No rechazar H0"),"Error tipo II","Decisión correcta"))</f>
        <v>Error tipo II</v>
      </c>
    </row>
    <row r="2927" customFormat="false" ht="15" hidden="false" customHeight="false" outlineLevel="0" collapsed="false">
      <c r="A2927" s="0" t="n">
        <v>2906</v>
      </c>
      <c r="B2927" s="0" t="s">
        <v>85</v>
      </c>
      <c r="C2927" s="17" t="n">
        <v>0.0543955099969527</v>
      </c>
      <c r="D2927" s="17" t="n">
        <f aca="false">(C2927-$B$4)/($B$6/SQRT($B$7))</f>
        <v>0.271977549984764</v>
      </c>
      <c r="E2927" s="0" t="str">
        <f aca="false">IF(OR(AND($B$9="superior",D2927&gt;$B$10),AND($B$9="inferior",D2927&lt;-$B$10)),"Rechazar H0","No rechazar H0")</f>
        <v>No rechazar H0</v>
      </c>
      <c r="F2927" s="0" t="str">
        <f aca="false">IF(AND(B2927="H0 verdadera",E2927="Rechazar H0"),"Error tipo I",IF(AND(B2927="Ha verdadera",E2927="No rechazar H0"),"Error tipo II","Decisión correcta"))</f>
        <v>Decisión correcta</v>
      </c>
    </row>
    <row r="2928" customFormat="false" ht="15" hidden="false" customHeight="false" outlineLevel="0" collapsed="false">
      <c r="A2928" s="0" t="n">
        <v>2907</v>
      </c>
      <c r="B2928" s="0" t="s">
        <v>85</v>
      </c>
      <c r="C2928" s="17" t="n">
        <v>-0.102351530545043</v>
      </c>
      <c r="D2928" s="17" t="n">
        <f aca="false">(C2928-$B$4)/($B$6/SQRT($B$7))</f>
        <v>-0.511757652725214</v>
      </c>
      <c r="E2928" s="0" t="str">
        <f aca="false">IF(OR(AND($B$9="superior",D2928&gt;$B$10),AND($B$9="inferior",D2928&lt;-$B$10)),"Rechazar H0","No rechazar H0")</f>
        <v>No rechazar H0</v>
      </c>
      <c r="F2928" s="0" t="str">
        <f aca="false">IF(AND(B2928="H0 verdadera",E2928="Rechazar H0"),"Error tipo I",IF(AND(B2928="Ha verdadera",E2928="No rechazar H0"),"Error tipo II","Decisión correcta"))</f>
        <v>Decisión correcta</v>
      </c>
    </row>
    <row r="2929" customFormat="false" ht="15" hidden="false" customHeight="false" outlineLevel="0" collapsed="false">
      <c r="A2929" s="0" t="n">
        <v>2908</v>
      </c>
      <c r="B2929" s="0" t="s">
        <v>85</v>
      </c>
      <c r="C2929" s="17" t="n">
        <v>0.0954494105256091</v>
      </c>
      <c r="D2929" s="17" t="n">
        <f aca="false">(C2929-$B$4)/($B$6/SQRT($B$7))</f>
        <v>0.477247052628045</v>
      </c>
      <c r="E2929" s="0" t="str">
        <f aca="false">IF(OR(AND($B$9="superior",D2929&gt;$B$10),AND($B$9="inferior",D2929&lt;-$B$10)),"Rechazar H0","No rechazar H0")</f>
        <v>No rechazar H0</v>
      </c>
      <c r="F2929" s="0" t="str">
        <f aca="false">IF(AND(B2929="H0 verdadera",E2929="Rechazar H0"),"Error tipo I",IF(AND(B2929="Ha verdadera",E2929="No rechazar H0"),"Error tipo II","Decisión correcta"))</f>
        <v>Decisión correcta</v>
      </c>
    </row>
    <row r="2930" customFormat="false" ht="15" hidden="false" customHeight="false" outlineLevel="0" collapsed="false">
      <c r="A2930" s="0" t="n">
        <v>2909</v>
      </c>
      <c r="B2930" s="0" t="s">
        <v>86</v>
      </c>
      <c r="C2930" s="17" t="n">
        <v>-0.215291198575234</v>
      </c>
      <c r="D2930" s="17" t="n">
        <f aca="false">(C2930-$B$4)/($B$6/SQRT($B$7))</f>
        <v>-1.07645599287617</v>
      </c>
      <c r="E2930" s="0" t="str">
        <f aca="false">IF(OR(AND($B$9="superior",D2930&gt;$B$10),AND($B$9="inferior",D2930&lt;-$B$10)),"Rechazar H0","No rechazar H0")</f>
        <v>No rechazar H0</v>
      </c>
      <c r="F2930" s="0" t="str">
        <f aca="false">IF(AND(B2930="H0 verdadera",E2930="Rechazar H0"),"Error tipo I",IF(AND(B2930="Ha verdadera",E2930="No rechazar H0"),"Error tipo II","Decisión correcta"))</f>
        <v>Error tipo II</v>
      </c>
    </row>
    <row r="2931" customFormat="false" ht="15" hidden="false" customHeight="false" outlineLevel="0" collapsed="false">
      <c r="A2931" s="0" t="n">
        <v>2910</v>
      </c>
      <c r="B2931" s="0" t="s">
        <v>85</v>
      </c>
      <c r="C2931" s="17" t="n">
        <v>-0.156071525282782</v>
      </c>
      <c r="D2931" s="17" t="n">
        <f aca="false">(C2931-$B$4)/($B$6/SQRT($B$7))</f>
        <v>-0.780357626413911</v>
      </c>
      <c r="E2931" s="0" t="str">
        <f aca="false">IF(OR(AND($B$9="superior",D2931&gt;$B$10),AND($B$9="inferior",D2931&lt;-$B$10)),"Rechazar H0","No rechazar H0")</f>
        <v>No rechazar H0</v>
      </c>
      <c r="F2931" s="0" t="str">
        <f aca="false">IF(AND(B2931="H0 verdadera",E2931="Rechazar H0"),"Error tipo I",IF(AND(B2931="Ha verdadera",E2931="No rechazar H0"),"Error tipo II","Decisión correcta"))</f>
        <v>Decisión correcta</v>
      </c>
    </row>
    <row r="2932" customFormat="false" ht="15" hidden="false" customHeight="false" outlineLevel="0" collapsed="false">
      <c r="A2932" s="0" t="n">
        <v>2911</v>
      </c>
      <c r="B2932" s="0" t="s">
        <v>85</v>
      </c>
      <c r="C2932" s="17" t="n">
        <v>-0.0957277148848423</v>
      </c>
      <c r="D2932" s="17" t="n">
        <f aca="false">(C2932-$B$4)/($B$6/SQRT($B$7))</f>
        <v>-0.478638574424212</v>
      </c>
      <c r="E2932" s="0" t="str">
        <f aca="false">IF(OR(AND($B$9="superior",D2932&gt;$B$10),AND($B$9="inferior",D2932&lt;-$B$10)),"Rechazar H0","No rechazar H0")</f>
        <v>No rechazar H0</v>
      </c>
      <c r="F2932" s="0" t="str">
        <f aca="false">IF(AND(B2932="H0 verdadera",E2932="Rechazar H0"),"Error tipo I",IF(AND(B2932="Ha verdadera",E2932="No rechazar H0"),"Error tipo II","Decisión correcta"))</f>
        <v>Decisión correcta</v>
      </c>
    </row>
    <row r="2933" customFormat="false" ht="15" hidden="false" customHeight="false" outlineLevel="0" collapsed="false">
      <c r="A2933" s="0" t="n">
        <v>2912</v>
      </c>
      <c r="B2933" s="0" t="s">
        <v>86</v>
      </c>
      <c r="C2933" s="17" t="n">
        <v>-0.427235374631676</v>
      </c>
      <c r="D2933" s="17" t="n">
        <f aca="false">(C2933-$B$4)/($B$6/SQRT($B$7))</f>
        <v>-2.13617687315838</v>
      </c>
      <c r="E2933" s="0" t="str">
        <f aca="false">IF(OR(AND($B$9="superior",D2933&gt;$B$10),AND($B$9="inferior",D2933&lt;-$B$10)),"Rechazar H0","No rechazar H0")</f>
        <v>Rechazar H0</v>
      </c>
      <c r="F2933" s="0" t="str">
        <f aca="false">IF(AND(B2933="H0 verdadera",E2933="Rechazar H0"),"Error tipo I",IF(AND(B2933="Ha verdadera",E2933="No rechazar H0"),"Error tipo II","Decisión correcta"))</f>
        <v>Decisión correcta</v>
      </c>
    </row>
    <row r="2934" customFormat="false" ht="15" hidden="false" customHeight="false" outlineLevel="0" collapsed="false">
      <c r="A2934" s="0" t="n">
        <v>2913</v>
      </c>
      <c r="B2934" s="0" t="s">
        <v>86</v>
      </c>
      <c r="C2934" s="17" t="n">
        <v>-0.131128903311555</v>
      </c>
      <c r="D2934" s="17" t="n">
        <f aca="false">(C2934-$B$4)/($B$6/SQRT($B$7))</f>
        <v>-0.655644516557773</v>
      </c>
      <c r="E2934" s="0" t="str">
        <f aca="false">IF(OR(AND($B$9="superior",D2934&gt;$B$10),AND($B$9="inferior",D2934&lt;-$B$10)),"Rechazar H0","No rechazar H0")</f>
        <v>No rechazar H0</v>
      </c>
      <c r="F2934" s="0" t="str">
        <f aca="false">IF(AND(B2934="H0 verdadera",E2934="Rechazar H0"),"Error tipo I",IF(AND(B2934="Ha verdadera",E2934="No rechazar H0"),"Error tipo II","Decisión correcta"))</f>
        <v>Error tipo II</v>
      </c>
    </row>
    <row r="2935" customFormat="false" ht="15" hidden="false" customHeight="false" outlineLevel="0" collapsed="false">
      <c r="A2935" s="0" t="n">
        <v>2914</v>
      </c>
      <c r="B2935" s="0" t="s">
        <v>85</v>
      </c>
      <c r="C2935" s="17" t="n">
        <v>0.24572723918459</v>
      </c>
      <c r="D2935" s="17" t="n">
        <f aca="false">(C2935-$B$4)/($B$6/SQRT($B$7))</f>
        <v>1.22863619592295</v>
      </c>
      <c r="E2935" s="0" t="str">
        <f aca="false">IF(OR(AND($B$9="superior",D2935&gt;$B$10),AND($B$9="inferior",D2935&lt;-$B$10)),"Rechazar H0","No rechazar H0")</f>
        <v>No rechazar H0</v>
      </c>
      <c r="F2935" s="0" t="str">
        <f aca="false">IF(AND(B2935="H0 verdadera",E2935="Rechazar H0"),"Error tipo I",IF(AND(B2935="Ha verdadera",E2935="No rechazar H0"),"Error tipo II","Decisión correcta"))</f>
        <v>Decisión correcta</v>
      </c>
    </row>
    <row r="2936" customFormat="false" ht="15" hidden="false" customHeight="false" outlineLevel="0" collapsed="false">
      <c r="A2936" s="0" t="n">
        <v>2915</v>
      </c>
      <c r="B2936" s="0" t="s">
        <v>86</v>
      </c>
      <c r="C2936" s="17" t="n">
        <v>-0.00600304547330658</v>
      </c>
      <c r="D2936" s="17" t="n">
        <f aca="false">(C2936-$B$4)/($B$6/SQRT($B$7))</f>
        <v>-0.0300152273665329</v>
      </c>
      <c r="E2936" s="0" t="str">
        <f aca="false">IF(OR(AND($B$9="superior",D2936&gt;$B$10),AND($B$9="inferior",D2936&lt;-$B$10)),"Rechazar H0","No rechazar H0")</f>
        <v>No rechazar H0</v>
      </c>
      <c r="F2936" s="0" t="str">
        <f aca="false">IF(AND(B2936="H0 verdadera",E2936="Rechazar H0"),"Error tipo I",IF(AND(B2936="Ha verdadera",E2936="No rechazar H0"),"Error tipo II","Decisión correcta"))</f>
        <v>Error tipo II</v>
      </c>
    </row>
    <row r="2937" customFormat="false" ht="15" hidden="false" customHeight="false" outlineLevel="0" collapsed="false">
      <c r="A2937" s="0" t="n">
        <v>2916</v>
      </c>
      <c r="B2937" s="0" t="s">
        <v>85</v>
      </c>
      <c r="C2937" s="17" t="n">
        <v>-0.341103777220307</v>
      </c>
      <c r="D2937" s="17" t="n">
        <f aca="false">(C2937-$B$4)/($B$6/SQRT($B$7))</f>
        <v>-1.70551888610154</v>
      </c>
      <c r="E2937" s="0" t="str">
        <f aca="false">IF(OR(AND($B$9="superior",D2937&gt;$B$10),AND($B$9="inferior",D2937&lt;-$B$10)),"Rechazar H0","No rechazar H0")</f>
        <v>Rechazar H0</v>
      </c>
      <c r="F2937" s="0" t="str">
        <f aca="false">IF(AND(B2937="H0 verdadera",E2937="Rechazar H0"),"Error tipo I",IF(AND(B2937="Ha verdadera",E2937="No rechazar H0"),"Error tipo II","Decisión correcta"))</f>
        <v>Error tipo I</v>
      </c>
    </row>
    <row r="2938" customFormat="false" ht="15" hidden="false" customHeight="false" outlineLevel="0" collapsed="false">
      <c r="A2938" s="0" t="n">
        <v>2917</v>
      </c>
      <c r="B2938" s="0" t="s">
        <v>86</v>
      </c>
      <c r="C2938" s="17" t="n">
        <v>-0.474721064829316</v>
      </c>
      <c r="D2938" s="17" t="n">
        <f aca="false">(C2938-$B$4)/($B$6/SQRT($B$7))</f>
        <v>-2.37360532414658</v>
      </c>
      <c r="E2938" s="0" t="str">
        <f aca="false">IF(OR(AND($B$9="superior",D2938&gt;$B$10),AND($B$9="inferior",D2938&lt;-$B$10)),"Rechazar H0","No rechazar H0")</f>
        <v>Rechazar H0</v>
      </c>
      <c r="F2938" s="0" t="str">
        <f aca="false">IF(AND(B2938="H0 verdadera",E2938="Rechazar H0"),"Error tipo I",IF(AND(B2938="Ha verdadera",E2938="No rechazar H0"),"Error tipo II","Decisión correcta"))</f>
        <v>Decisión correcta</v>
      </c>
    </row>
    <row r="2939" customFormat="false" ht="15" hidden="false" customHeight="false" outlineLevel="0" collapsed="false">
      <c r="A2939" s="0" t="n">
        <v>2918</v>
      </c>
      <c r="B2939" s="0" t="s">
        <v>86</v>
      </c>
      <c r="C2939" s="17" t="n">
        <v>-0.337015629579034</v>
      </c>
      <c r="D2939" s="17" t="n">
        <f aca="false">(C2939-$B$4)/($B$6/SQRT($B$7))</f>
        <v>-1.68507814789517</v>
      </c>
      <c r="E2939" s="0" t="str">
        <f aca="false">IF(OR(AND($B$9="superior",D2939&gt;$B$10),AND($B$9="inferior",D2939&lt;-$B$10)),"Rechazar H0","No rechazar H0")</f>
        <v>Rechazar H0</v>
      </c>
      <c r="F2939" s="0" t="str">
        <f aca="false">IF(AND(B2939="H0 verdadera",E2939="Rechazar H0"),"Error tipo I",IF(AND(B2939="Ha verdadera",E2939="No rechazar H0"),"Error tipo II","Decisión correcta"))</f>
        <v>Decisión correcta</v>
      </c>
    </row>
    <row r="2940" customFormat="false" ht="15" hidden="false" customHeight="false" outlineLevel="0" collapsed="false">
      <c r="A2940" s="0" t="n">
        <v>2919</v>
      </c>
      <c r="B2940" s="0" t="s">
        <v>85</v>
      </c>
      <c r="C2940" s="17" t="n">
        <v>-0.0187214867414243</v>
      </c>
      <c r="D2940" s="17" t="n">
        <f aca="false">(C2940-$B$4)/($B$6/SQRT($B$7))</f>
        <v>-0.0936074337071217</v>
      </c>
      <c r="E2940" s="0" t="str">
        <f aca="false">IF(OR(AND($B$9="superior",D2940&gt;$B$10),AND($B$9="inferior",D2940&lt;-$B$10)),"Rechazar H0","No rechazar H0")</f>
        <v>No rechazar H0</v>
      </c>
      <c r="F2940" s="0" t="str">
        <f aca="false">IF(AND(B2940="H0 verdadera",E2940="Rechazar H0"),"Error tipo I",IF(AND(B2940="Ha verdadera",E2940="No rechazar H0"),"Error tipo II","Decisión correcta"))</f>
        <v>Decisión correcta</v>
      </c>
    </row>
    <row r="2941" customFormat="false" ht="15" hidden="false" customHeight="false" outlineLevel="0" collapsed="false">
      <c r="A2941" s="0" t="n">
        <v>2920</v>
      </c>
      <c r="B2941" s="0" t="s">
        <v>86</v>
      </c>
      <c r="C2941" s="17" t="n">
        <v>-0.549790312974652</v>
      </c>
      <c r="D2941" s="17" t="n">
        <f aca="false">(C2941-$B$4)/($B$6/SQRT($B$7))</f>
        <v>-2.74895156487326</v>
      </c>
      <c r="E2941" s="0" t="str">
        <f aca="false">IF(OR(AND($B$9="superior",D2941&gt;$B$10),AND($B$9="inferior",D2941&lt;-$B$10)),"Rechazar H0","No rechazar H0")</f>
        <v>Rechazar H0</v>
      </c>
      <c r="F2941" s="0" t="str">
        <f aca="false">IF(AND(B2941="H0 verdadera",E2941="Rechazar H0"),"Error tipo I",IF(AND(B2941="Ha verdadera",E2941="No rechazar H0"),"Error tipo II","Decisión correcta"))</f>
        <v>Decisión correcta</v>
      </c>
    </row>
    <row r="2942" customFormat="false" ht="15" hidden="false" customHeight="false" outlineLevel="0" collapsed="false">
      <c r="A2942" s="0" t="n">
        <v>2921</v>
      </c>
      <c r="B2942" s="0" t="s">
        <v>85</v>
      </c>
      <c r="C2942" s="17" t="n">
        <v>-0.413273156886382</v>
      </c>
      <c r="D2942" s="17" t="n">
        <f aca="false">(C2942-$B$4)/($B$6/SQRT($B$7))</f>
        <v>-2.06636578443191</v>
      </c>
      <c r="E2942" s="0" t="str">
        <f aca="false">IF(OR(AND($B$9="superior",D2942&gt;$B$10),AND($B$9="inferior",D2942&lt;-$B$10)),"Rechazar H0","No rechazar H0")</f>
        <v>Rechazar H0</v>
      </c>
      <c r="F2942" s="0" t="str">
        <f aca="false">IF(AND(B2942="H0 verdadera",E2942="Rechazar H0"),"Error tipo I",IF(AND(B2942="Ha verdadera",E2942="No rechazar H0"),"Error tipo II","Decisión correcta"))</f>
        <v>Error tipo I</v>
      </c>
    </row>
    <row r="2943" customFormat="false" ht="15" hidden="false" customHeight="false" outlineLevel="0" collapsed="false">
      <c r="A2943" s="0" t="n">
        <v>2922</v>
      </c>
      <c r="B2943" s="0" t="s">
        <v>85</v>
      </c>
      <c r="C2943" s="17" t="n">
        <v>-0.186099128492449</v>
      </c>
      <c r="D2943" s="17" t="n">
        <f aca="false">(C2943-$B$4)/($B$6/SQRT($B$7))</f>
        <v>-0.930495642462246</v>
      </c>
      <c r="E2943" s="0" t="str">
        <f aca="false">IF(OR(AND($B$9="superior",D2943&gt;$B$10),AND($B$9="inferior",D2943&lt;-$B$10)),"Rechazar H0","No rechazar H0")</f>
        <v>No rechazar H0</v>
      </c>
      <c r="F2943" s="0" t="str">
        <f aca="false">IF(AND(B2943="H0 verdadera",E2943="Rechazar H0"),"Error tipo I",IF(AND(B2943="Ha verdadera",E2943="No rechazar H0"),"Error tipo II","Decisión correcta"))</f>
        <v>Decisión correcta</v>
      </c>
    </row>
    <row r="2944" customFormat="false" ht="15" hidden="false" customHeight="false" outlineLevel="0" collapsed="false">
      <c r="A2944" s="0" t="n">
        <v>2923</v>
      </c>
      <c r="B2944" s="0" t="s">
        <v>86</v>
      </c>
      <c r="C2944" s="17" t="n">
        <v>-0.541944645385842</v>
      </c>
      <c r="D2944" s="17" t="n">
        <f aca="false">(C2944-$B$4)/($B$6/SQRT($B$7))</f>
        <v>-2.70972322692921</v>
      </c>
      <c r="E2944" s="0" t="str">
        <f aca="false">IF(OR(AND($B$9="superior",D2944&gt;$B$10),AND($B$9="inferior",D2944&lt;-$B$10)),"Rechazar H0","No rechazar H0")</f>
        <v>Rechazar H0</v>
      </c>
      <c r="F2944" s="0" t="str">
        <f aca="false">IF(AND(B2944="H0 verdadera",E2944="Rechazar H0"),"Error tipo I",IF(AND(B2944="Ha verdadera",E2944="No rechazar H0"),"Error tipo II","Decisión correcta"))</f>
        <v>Decisión correcta</v>
      </c>
    </row>
    <row r="2945" customFormat="false" ht="15" hidden="false" customHeight="false" outlineLevel="0" collapsed="false">
      <c r="A2945" s="0" t="n">
        <v>2924</v>
      </c>
      <c r="B2945" s="0" t="s">
        <v>86</v>
      </c>
      <c r="C2945" s="17" t="n">
        <v>-0.480768996419158</v>
      </c>
      <c r="D2945" s="17" t="n">
        <f aca="false">(C2945-$B$4)/($B$6/SQRT($B$7))</f>
        <v>-2.40384498209579</v>
      </c>
      <c r="E2945" s="0" t="str">
        <f aca="false">IF(OR(AND($B$9="superior",D2945&gt;$B$10),AND($B$9="inferior",D2945&lt;-$B$10)),"Rechazar H0","No rechazar H0")</f>
        <v>Rechazar H0</v>
      </c>
      <c r="F2945" s="0" t="str">
        <f aca="false">IF(AND(B2945="H0 verdadera",E2945="Rechazar H0"),"Error tipo I",IF(AND(B2945="Ha verdadera",E2945="No rechazar H0"),"Error tipo II","Decisión correcta"))</f>
        <v>Decisión correcta</v>
      </c>
    </row>
    <row r="2946" customFormat="false" ht="15" hidden="false" customHeight="false" outlineLevel="0" collapsed="false">
      <c r="A2946" s="0" t="n">
        <v>2925</v>
      </c>
      <c r="B2946" s="0" t="s">
        <v>85</v>
      </c>
      <c r="C2946" s="17" t="n">
        <v>-0.243389072997084</v>
      </c>
      <c r="D2946" s="17" t="n">
        <f aca="false">(C2946-$B$4)/($B$6/SQRT($B$7))</f>
        <v>-1.21694536498542</v>
      </c>
      <c r="E2946" s="0" t="str">
        <f aca="false">IF(OR(AND($B$9="superior",D2946&gt;$B$10),AND($B$9="inferior",D2946&lt;-$B$10)),"Rechazar H0","No rechazar H0")</f>
        <v>No rechazar H0</v>
      </c>
      <c r="F2946" s="0" t="str">
        <f aca="false">IF(AND(B2946="H0 verdadera",E2946="Rechazar H0"),"Error tipo I",IF(AND(B2946="Ha verdadera",E2946="No rechazar H0"),"Error tipo II","Decisión correcta"))</f>
        <v>Decisión correcta</v>
      </c>
    </row>
    <row r="2947" customFormat="false" ht="15" hidden="false" customHeight="false" outlineLevel="0" collapsed="false">
      <c r="A2947" s="0" t="n">
        <v>2926</v>
      </c>
      <c r="B2947" s="0" t="s">
        <v>86</v>
      </c>
      <c r="C2947" s="17" t="n">
        <v>-0.574864933712742</v>
      </c>
      <c r="D2947" s="17" t="n">
        <f aca="false">(C2947-$B$4)/($B$6/SQRT($B$7))</f>
        <v>-2.87432466856371</v>
      </c>
      <c r="E2947" s="0" t="str">
        <f aca="false">IF(OR(AND($B$9="superior",D2947&gt;$B$10),AND($B$9="inferior",D2947&lt;-$B$10)),"Rechazar H0","No rechazar H0")</f>
        <v>Rechazar H0</v>
      </c>
      <c r="F2947" s="0" t="str">
        <f aca="false">IF(AND(B2947="H0 verdadera",E2947="Rechazar H0"),"Error tipo I",IF(AND(B2947="Ha verdadera",E2947="No rechazar H0"),"Error tipo II","Decisión correcta"))</f>
        <v>Decisión correcta</v>
      </c>
    </row>
    <row r="2948" customFormat="false" ht="15" hidden="false" customHeight="false" outlineLevel="0" collapsed="false">
      <c r="A2948" s="0" t="n">
        <v>2927</v>
      </c>
      <c r="B2948" s="0" t="s">
        <v>86</v>
      </c>
      <c r="C2948" s="17" t="n">
        <v>-0.284480556684286</v>
      </c>
      <c r="D2948" s="17" t="n">
        <f aca="false">(C2948-$B$4)/($B$6/SQRT($B$7))</f>
        <v>-1.42240278342143</v>
      </c>
      <c r="E2948" s="0" t="str">
        <f aca="false">IF(OR(AND($B$9="superior",D2948&gt;$B$10),AND($B$9="inferior",D2948&lt;-$B$10)),"Rechazar H0","No rechazar H0")</f>
        <v>No rechazar H0</v>
      </c>
      <c r="F2948" s="0" t="str">
        <f aca="false">IF(AND(B2948="H0 verdadera",E2948="Rechazar H0"),"Error tipo I",IF(AND(B2948="Ha verdadera",E2948="No rechazar H0"),"Error tipo II","Decisión correcta"))</f>
        <v>Error tipo II</v>
      </c>
    </row>
    <row r="2949" customFormat="false" ht="15" hidden="false" customHeight="false" outlineLevel="0" collapsed="false">
      <c r="A2949" s="0" t="n">
        <v>2928</v>
      </c>
      <c r="B2949" s="0" t="s">
        <v>85</v>
      </c>
      <c r="C2949" s="17" t="n">
        <v>0.256838359417236</v>
      </c>
      <c r="D2949" s="17" t="n">
        <f aca="false">(C2949-$B$4)/($B$6/SQRT($B$7))</f>
        <v>1.28419179708618</v>
      </c>
      <c r="E2949" s="0" t="str">
        <f aca="false">IF(OR(AND($B$9="superior",D2949&gt;$B$10),AND($B$9="inferior",D2949&lt;-$B$10)),"Rechazar H0","No rechazar H0")</f>
        <v>No rechazar H0</v>
      </c>
      <c r="F2949" s="0" t="str">
        <f aca="false">IF(AND(B2949="H0 verdadera",E2949="Rechazar H0"),"Error tipo I",IF(AND(B2949="Ha verdadera",E2949="No rechazar H0"),"Error tipo II","Decisión correcta"))</f>
        <v>Decisión correcta</v>
      </c>
    </row>
    <row r="2950" customFormat="false" ht="15" hidden="false" customHeight="false" outlineLevel="0" collapsed="false">
      <c r="A2950" s="0" t="n">
        <v>2929</v>
      </c>
      <c r="B2950" s="0" t="s">
        <v>85</v>
      </c>
      <c r="C2950" s="17" t="n">
        <v>0.261524675079304</v>
      </c>
      <c r="D2950" s="17" t="n">
        <f aca="false">(C2950-$B$4)/($B$6/SQRT($B$7))</f>
        <v>1.30762337539652</v>
      </c>
      <c r="E2950" s="0" t="str">
        <f aca="false">IF(OR(AND($B$9="superior",D2950&gt;$B$10),AND($B$9="inferior",D2950&lt;-$B$10)),"Rechazar H0","No rechazar H0")</f>
        <v>No rechazar H0</v>
      </c>
      <c r="F2950" s="0" t="str">
        <f aca="false">IF(AND(B2950="H0 verdadera",E2950="Rechazar H0"),"Error tipo I",IF(AND(B2950="Ha verdadera",E2950="No rechazar H0"),"Error tipo II","Decisión correcta"))</f>
        <v>Decisión correcta</v>
      </c>
    </row>
    <row r="2951" customFormat="false" ht="15" hidden="false" customHeight="false" outlineLevel="0" collapsed="false">
      <c r="A2951" s="0" t="n">
        <v>2930</v>
      </c>
      <c r="B2951" s="0" t="s">
        <v>85</v>
      </c>
      <c r="C2951" s="17" t="n">
        <v>0.0323525637129839</v>
      </c>
      <c r="D2951" s="17" t="n">
        <f aca="false">(C2951-$B$4)/($B$6/SQRT($B$7))</f>
        <v>0.161762818564919</v>
      </c>
      <c r="E2951" s="0" t="str">
        <f aca="false">IF(OR(AND($B$9="superior",D2951&gt;$B$10),AND($B$9="inferior",D2951&lt;-$B$10)),"Rechazar H0","No rechazar H0")</f>
        <v>No rechazar H0</v>
      </c>
      <c r="F2951" s="0" t="str">
        <f aca="false">IF(AND(B2951="H0 verdadera",E2951="Rechazar H0"),"Error tipo I",IF(AND(B2951="Ha verdadera",E2951="No rechazar H0"),"Error tipo II","Decisión correcta"))</f>
        <v>Decisión correcta</v>
      </c>
    </row>
    <row r="2952" customFormat="false" ht="15" hidden="false" customHeight="false" outlineLevel="0" collapsed="false">
      <c r="A2952" s="0" t="n">
        <v>2931</v>
      </c>
      <c r="B2952" s="0" t="s">
        <v>86</v>
      </c>
      <c r="C2952" s="17" t="n">
        <v>-0.439123733303393</v>
      </c>
      <c r="D2952" s="17" t="n">
        <f aca="false">(C2952-$B$4)/($B$6/SQRT($B$7))</f>
        <v>-2.19561866651696</v>
      </c>
      <c r="E2952" s="0" t="str">
        <f aca="false">IF(OR(AND($B$9="superior",D2952&gt;$B$10),AND($B$9="inferior",D2952&lt;-$B$10)),"Rechazar H0","No rechazar H0")</f>
        <v>Rechazar H0</v>
      </c>
      <c r="F2952" s="0" t="str">
        <f aca="false">IF(AND(B2952="H0 verdadera",E2952="Rechazar H0"),"Error tipo I",IF(AND(B2952="Ha verdadera",E2952="No rechazar H0"),"Error tipo II","Decisión correcta"))</f>
        <v>Decisión correcta</v>
      </c>
    </row>
    <row r="2953" customFormat="false" ht="15" hidden="false" customHeight="false" outlineLevel="0" collapsed="false">
      <c r="A2953" s="0" t="n">
        <v>2932</v>
      </c>
      <c r="B2953" s="0" t="s">
        <v>85</v>
      </c>
      <c r="C2953" s="17" t="n">
        <v>0.423906878431531</v>
      </c>
      <c r="D2953" s="17" t="n">
        <f aca="false">(C2953-$B$4)/($B$6/SQRT($B$7))</f>
        <v>2.11953439215766</v>
      </c>
      <c r="E2953" s="0" t="str">
        <f aca="false">IF(OR(AND($B$9="superior",D2953&gt;$B$10),AND($B$9="inferior",D2953&lt;-$B$10)),"Rechazar H0","No rechazar H0")</f>
        <v>No rechazar H0</v>
      </c>
      <c r="F2953" s="0" t="str">
        <f aca="false">IF(AND(B2953="H0 verdadera",E2953="Rechazar H0"),"Error tipo I",IF(AND(B2953="Ha verdadera",E2953="No rechazar H0"),"Error tipo II","Decisión correcta"))</f>
        <v>Decisión correcta</v>
      </c>
    </row>
    <row r="2954" customFormat="false" ht="15" hidden="false" customHeight="false" outlineLevel="0" collapsed="false">
      <c r="A2954" s="0" t="n">
        <v>2933</v>
      </c>
      <c r="B2954" s="0" t="s">
        <v>86</v>
      </c>
      <c r="C2954" s="17" t="n">
        <v>-0.374025998620817</v>
      </c>
      <c r="D2954" s="17" t="n">
        <f aca="false">(C2954-$B$4)/($B$6/SQRT($B$7))</f>
        <v>-1.87012999310409</v>
      </c>
      <c r="E2954" s="0" t="str">
        <f aca="false">IF(OR(AND($B$9="superior",D2954&gt;$B$10),AND($B$9="inferior",D2954&lt;-$B$10)),"Rechazar H0","No rechazar H0")</f>
        <v>Rechazar H0</v>
      </c>
      <c r="F2954" s="0" t="str">
        <f aca="false">IF(AND(B2954="H0 verdadera",E2954="Rechazar H0"),"Error tipo I",IF(AND(B2954="Ha verdadera",E2954="No rechazar H0"),"Error tipo II","Decisión correcta"))</f>
        <v>Decisión correcta</v>
      </c>
    </row>
    <row r="2955" customFormat="false" ht="15" hidden="false" customHeight="false" outlineLevel="0" collapsed="false">
      <c r="A2955" s="0" t="n">
        <v>2934</v>
      </c>
      <c r="B2955" s="0" t="s">
        <v>85</v>
      </c>
      <c r="C2955" s="17" t="n">
        <v>0.0527633733748835</v>
      </c>
      <c r="D2955" s="17" t="n">
        <f aca="false">(C2955-$B$4)/($B$6/SQRT($B$7))</f>
        <v>0.263816866874417</v>
      </c>
      <c r="E2955" s="0" t="str">
        <f aca="false">IF(OR(AND($B$9="superior",D2955&gt;$B$10),AND($B$9="inferior",D2955&lt;-$B$10)),"Rechazar H0","No rechazar H0")</f>
        <v>No rechazar H0</v>
      </c>
      <c r="F2955" s="0" t="str">
        <f aca="false">IF(AND(B2955="H0 verdadera",E2955="Rechazar H0"),"Error tipo I",IF(AND(B2955="Ha verdadera",E2955="No rechazar H0"),"Error tipo II","Decisión correcta"))</f>
        <v>Decisión correcta</v>
      </c>
    </row>
    <row r="2956" customFormat="false" ht="15" hidden="false" customHeight="false" outlineLevel="0" collapsed="false">
      <c r="A2956" s="0" t="n">
        <v>2935</v>
      </c>
      <c r="B2956" s="0" t="s">
        <v>85</v>
      </c>
      <c r="C2956" s="17" t="n">
        <v>0.0132268891727464</v>
      </c>
      <c r="D2956" s="17" t="n">
        <f aca="false">(C2956-$B$4)/($B$6/SQRT($B$7))</f>
        <v>0.0661344458637318</v>
      </c>
      <c r="E2956" s="0" t="str">
        <f aca="false">IF(OR(AND($B$9="superior",D2956&gt;$B$10),AND($B$9="inferior",D2956&lt;-$B$10)),"Rechazar H0","No rechazar H0")</f>
        <v>No rechazar H0</v>
      </c>
      <c r="F2956" s="0" t="str">
        <f aca="false">IF(AND(B2956="H0 verdadera",E2956="Rechazar H0"),"Error tipo I",IF(AND(B2956="Ha verdadera",E2956="No rechazar H0"),"Error tipo II","Decisión correcta"))</f>
        <v>Decisión correcta</v>
      </c>
    </row>
    <row r="2957" customFormat="false" ht="15" hidden="false" customHeight="false" outlineLevel="0" collapsed="false">
      <c r="A2957" s="0" t="n">
        <v>2936</v>
      </c>
      <c r="B2957" s="0" t="s">
        <v>86</v>
      </c>
      <c r="C2957" s="17" t="n">
        <v>-0.251549544162237</v>
      </c>
      <c r="D2957" s="17" t="n">
        <f aca="false">(C2957-$B$4)/($B$6/SQRT($B$7))</f>
        <v>-1.25774772081119</v>
      </c>
      <c r="E2957" s="0" t="str">
        <f aca="false">IF(OR(AND($B$9="superior",D2957&gt;$B$10),AND($B$9="inferior",D2957&lt;-$B$10)),"Rechazar H0","No rechazar H0")</f>
        <v>No rechazar H0</v>
      </c>
      <c r="F2957" s="0" t="str">
        <f aca="false">IF(AND(B2957="H0 verdadera",E2957="Rechazar H0"),"Error tipo I",IF(AND(B2957="Ha verdadera",E2957="No rechazar H0"),"Error tipo II","Decisión correcta"))</f>
        <v>Error tipo II</v>
      </c>
    </row>
    <row r="2958" customFormat="false" ht="15" hidden="false" customHeight="false" outlineLevel="0" collapsed="false">
      <c r="A2958" s="0" t="n">
        <v>2937</v>
      </c>
      <c r="B2958" s="0" t="s">
        <v>86</v>
      </c>
      <c r="C2958" s="17" t="n">
        <v>-0.501120158557662</v>
      </c>
      <c r="D2958" s="17" t="n">
        <f aca="false">(C2958-$B$4)/($B$6/SQRT($B$7))</f>
        <v>-2.50560079278831</v>
      </c>
      <c r="E2958" s="0" t="str">
        <f aca="false">IF(OR(AND($B$9="superior",D2958&gt;$B$10),AND($B$9="inferior",D2958&lt;-$B$10)),"Rechazar H0","No rechazar H0")</f>
        <v>Rechazar H0</v>
      </c>
      <c r="F2958" s="0" t="str">
        <f aca="false">IF(AND(B2958="H0 verdadera",E2958="Rechazar H0"),"Error tipo I",IF(AND(B2958="Ha verdadera",E2958="No rechazar H0"),"Error tipo II","Decisión correcta"))</f>
        <v>Decisión correcta</v>
      </c>
    </row>
    <row r="2959" customFormat="false" ht="15" hidden="false" customHeight="false" outlineLevel="0" collapsed="false">
      <c r="A2959" s="0" t="n">
        <v>2938</v>
      </c>
      <c r="B2959" s="0" t="s">
        <v>85</v>
      </c>
      <c r="C2959" s="17" t="n">
        <v>0.477891993524038</v>
      </c>
      <c r="D2959" s="17" t="n">
        <f aca="false">(C2959-$B$4)/($B$6/SQRT($B$7))</f>
        <v>2.38945996762019</v>
      </c>
      <c r="E2959" s="0" t="str">
        <f aca="false">IF(OR(AND($B$9="superior",D2959&gt;$B$10),AND($B$9="inferior",D2959&lt;-$B$10)),"Rechazar H0","No rechazar H0")</f>
        <v>No rechazar H0</v>
      </c>
      <c r="F2959" s="0" t="str">
        <f aca="false">IF(AND(B2959="H0 verdadera",E2959="Rechazar H0"),"Error tipo I",IF(AND(B2959="Ha verdadera",E2959="No rechazar H0"),"Error tipo II","Decisión correcta"))</f>
        <v>Decisión correcta</v>
      </c>
    </row>
    <row r="2960" customFormat="false" ht="15" hidden="false" customHeight="false" outlineLevel="0" collapsed="false">
      <c r="A2960" s="0" t="n">
        <v>2939</v>
      </c>
      <c r="B2960" s="0" t="s">
        <v>85</v>
      </c>
      <c r="C2960" s="17" t="n">
        <v>-0.00605539402342759</v>
      </c>
      <c r="D2960" s="17" t="n">
        <f aca="false">(C2960-$B$4)/($B$6/SQRT($B$7))</f>
        <v>-0.0302769701171379</v>
      </c>
      <c r="E2960" s="0" t="str">
        <f aca="false">IF(OR(AND($B$9="superior",D2960&gt;$B$10),AND($B$9="inferior",D2960&lt;-$B$10)),"Rechazar H0","No rechazar H0")</f>
        <v>No rechazar H0</v>
      </c>
      <c r="F2960" s="0" t="str">
        <f aca="false">IF(AND(B2960="H0 verdadera",E2960="Rechazar H0"),"Error tipo I",IF(AND(B2960="Ha verdadera",E2960="No rechazar H0"),"Error tipo II","Decisión correcta"))</f>
        <v>Decisión correcta</v>
      </c>
    </row>
    <row r="2961" customFormat="false" ht="15" hidden="false" customHeight="false" outlineLevel="0" collapsed="false">
      <c r="A2961" s="0" t="n">
        <v>2940</v>
      </c>
      <c r="B2961" s="0" t="s">
        <v>86</v>
      </c>
      <c r="C2961" s="17" t="n">
        <v>-0.465645343365567</v>
      </c>
      <c r="D2961" s="17" t="n">
        <f aca="false">(C2961-$B$4)/($B$6/SQRT($B$7))</f>
        <v>-2.32822671682783</v>
      </c>
      <c r="E2961" s="0" t="str">
        <f aca="false">IF(OR(AND($B$9="superior",D2961&gt;$B$10),AND($B$9="inferior",D2961&lt;-$B$10)),"Rechazar H0","No rechazar H0")</f>
        <v>Rechazar H0</v>
      </c>
      <c r="F2961" s="0" t="str">
        <f aca="false">IF(AND(B2961="H0 verdadera",E2961="Rechazar H0"),"Error tipo I",IF(AND(B2961="Ha verdadera",E2961="No rechazar H0"),"Error tipo II","Decisión correcta"))</f>
        <v>Decisión correcta</v>
      </c>
    </row>
    <row r="2962" customFormat="false" ht="15" hidden="false" customHeight="false" outlineLevel="0" collapsed="false">
      <c r="A2962" s="0" t="n">
        <v>2941</v>
      </c>
      <c r="B2962" s="0" t="s">
        <v>86</v>
      </c>
      <c r="C2962" s="17" t="n">
        <v>-0.103392055778517</v>
      </c>
      <c r="D2962" s="17" t="n">
        <f aca="false">(C2962-$B$4)/($B$6/SQRT($B$7))</f>
        <v>-0.516960278892583</v>
      </c>
      <c r="E2962" s="0" t="str">
        <f aca="false">IF(OR(AND($B$9="superior",D2962&gt;$B$10),AND($B$9="inferior",D2962&lt;-$B$10)),"Rechazar H0","No rechazar H0")</f>
        <v>No rechazar H0</v>
      </c>
      <c r="F2962" s="0" t="str">
        <f aca="false">IF(AND(B2962="H0 verdadera",E2962="Rechazar H0"),"Error tipo I",IF(AND(B2962="Ha verdadera",E2962="No rechazar H0"),"Error tipo II","Decisión correcta"))</f>
        <v>Error tipo II</v>
      </c>
    </row>
    <row r="2963" customFormat="false" ht="15" hidden="false" customHeight="false" outlineLevel="0" collapsed="false">
      <c r="A2963" s="0" t="n">
        <v>2942</v>
      </c>
      <c r="B2963" s="0" t="s">
        <v>86</v>
      </c>
      <c r="C2963" s="17" t="n">
        <v>-0.559243730126426</v>
      </c>
      <c r="D2963" s="17" t="n">
        <f aca="false">(C2963-$B$4)/($B$6/SQRT($B$7))</f>
        <v>-2.79621865063213</v>
      </c>
      <c r="E2963" s="0" t="str">
        <f aca="false">IF(OR(AND($B$9="superior",D2963&gt;$B$10),AND($B$9="inferior",D2963&lt;-$B$10)),"Rechazar H0","No rechazar H0")</f>
        <v>Rechazar H0</v>
      </c>
      <c r="F2963" s="0" t="str">
        <f aca="false">IF(AND(B2963="H0 verdadera",E2963="Rechazar H0"),"Error tipo I",IF(AND(B2963="Ha verdadera",E2963="No rechazar H0"),"Error tipo II","Decisión correcta"))</f>
        <v>Decisión correcta</v>
      </c>
    </row>
    <row r="2964" customFormat="false" ht="15" hidden="false" customHeight="false" outlineLevel="0" collapsed="false">
      <c r="A2964" s="0" t="n">
        <v>2943</v>
      </c>
      <c r="B2964" s="0" t="s">
        <v>86</v>
      </c>
      <c r="C2964" s="17" t="n">
        <v>-0.337683962908472</v>
      </c>
      <c r="D2964" s="17" t="n">
        <f aca="false">(C2964-$B$4)/($B$6/SQRT($B$7))</f>
        <v>-1.68841981454236</v>
      </c>
      <c r="E2964" s="0" t="str">
        <f aca="false">IF(OR(AND($B$9="superior",D2964&gt;$B$10),AND($B$9="inferior",D2964&lt;-$B$10)),"Rechazar H0","No rechazar H0")</f>
        <v>Rechazar H0</v>
      </c>
      <c r="F2964" s="0" t="str">
        <f aca="false">IF(AND(B2964="H0 verdadera",E2964="Rechazar H0"),"Error tipo I",IF(AND(B2964="Ha verdadera",E2964="No rechazar H0"),"Error tipo II","Decisión correcta"))</f>
        <v>Decisión correcta</v>
      </c>
    </row>
    <row r="2965" customFormat="false" ht="15" hidden="false" customHeight="false" outlineLevel="0" collapsed="false">
      <c r="A2965" s="0" t="n">
        <v>2944</v>
      </c>
      <c r="B2965" s="0" t="s">
        <v>85</v>
      </c>
      <c r="C2965" s="17" t="n">
        <v>0.190094285117538</v>
      </c>
      <c r="D2965" s="17" t="n">
        <f aca="false">(C2965-$B$4)/($B$6/SQRT($B$7))</f>
        <v>0.95047142558769</v>
      </c>
      <c r="E2965" s="0" t="str">
        <f aca="false">IF(OR(AND($B$9="superior",D2965&gt;$B$10),AND($B$9="inferior",D2965&lt;-$B$10)),"Rechazar H0","No rechazar H0")</f>
        <v>No rechazar H0</v>
      </c>
      <c r="F2965" s="0" t="str">
        <f aca="false">IF(AND(B2965="H0 verdadera",E2965="Rechazar H0"),"Error tipo I",IF(AND(B2965="Ha verdadera",E2965="No rechazar H0"),"Error tipo II","Decisión correcta"))</f>
        <v>Decisión correcta</v>
      </c>
    </row>
    <row r="2966" customFormat="false" ht="15" hidden="false" customHeight="false" outlineLevel="0" collapsed="false">
      <c r="A2966" s="0" t="n">
        <v>2945</v>
      </c>
      <c r="B2966" s="0" t="s">
        <v>85</v>
      </c>
      <c r="C2966" s="17" t="n">
        <v>-0.0440875469345114</v>
      </c>
      <c r="D2966" s="17" t="n">
        <f aca="false">(C2966-$B$4)/($B$6/SQRT($B$7))</f>
        <v>-0.220437734672557</v>
      </c>
      <c r="E2966" s="0" t="str">
        <f aca="false">IF(OR(AND($B$9="superior",D2966&gt;$B$10),AND($B$9="inferior",D2966&lt;-$B$10)),"Rechazar H0","No rechazar H0")</f>
        <v>No rechazar H0</v>
      </c>
      <c r="F2966" s="0" t="str">
        <f aca="false">IF(AND(B2966="H0 verdadera",E2966="Rechazar H0"),"Error tipo I",IF(AND(B2966="Ha verdadera",E2966="No rechazar H0"),"Error tipo II","Decisión correcta"))</f>
        <v>Decisión correcta</v>
      </c>
    </row>
    <row r="2967" customFormat="false" ht="15" hidden="false" customHeight="false" outlineLevel="0" collapsed="false">
      <c r="A2967" s="0" t="n">
        <v>2946</v>
      </c>
      <c r="B2967" s="0" t="s">
        <v>85</v>
      </c>
      <c r="C2967" s="17" t="n">
        <v>0.0822364195165357</v>
      </c>
      <c r="D2967" s="17" t="n">
        <f aca="false">(C2967-$B$4)/($B$6/SQRT($B$7))</f>
        <v>0.411182097582678</v>
      </c>
      <c r="E2967" s="0" t="str">
        <f aca="false">IF(OR(AND($B$9="superior",D2967&gt;$B$10),AND($B$9="inferior",D2967&lt;-$B$10)),"Rechazar H0","No rechazar H0")</f>
        <v>No rechazar H0</v>
      </c>
      <c r="F2967" s="0" t="str">
        <f aca="false">IF(AND(B2967="H0 verdadera",E2967="Rechazar H0"),"Error tipo I",IF(AND(B2967="Ha verdadera",E2967="No rechazar H0"),"Error tipo II","Decisión correcta"))</f>
        <v>Decisión correcta</v>
      </c>
    </row>
    <row r="2968" customFormat="false" ht="15" hidden="false" customHeight="false" outlineLevel="0" collapsed="false">
      <c r="A2968" s="0" t="n">
        <v>2947</v>
      </c>
      <c r="B2968" s="0" t="s">
        <v>85</v>
      </c>
      <c r="C2968" s="17" t="n">
        <v>0.200705854095254</v>
      </c>
      <c r="D2968" s="17" t="n">
        <f aca="false">(C2968-$B$4)/($B$6/SQRT($B$7))</f>
        <v>1.00352927047627</v>
      </c>
      <c r="E2968" s="0" t="str">
        <f aca="false">IF(OR(AND($B$9="superior",D2968&gt;$B$10),AND($B$9="inferior",D2968&lt;-$B$10)),"Rechazar H0","No rechazar H0")</f>
        <v>No rechazar H0</v>
      </c>
      <c r="F2968" s="0" t="str">
        <f aca="false">IF(AND(B2968="H0 verdadera",E2968="Rechazar H0"),"Error tipo I",IF(AND(B2968="Ha verdadera",E2968="No rechazar H0"),"Error tipo II","Decisión correcta"))</f>
        <v>Decisión correcta</v>
      </c>
    </row>
    <row r="2969" customFormat="false" ht="15" hidden="false" customHeight="false" outlineLevel="0" collapsed="false">
      <c r="A2969" s="0" t="n">
        <v>2948</v>
      </c>
      <c r="B2969" s="0" t="s">
        <v>85</v>
      </c>
      <c r="C2969" s="17" t="n">
        <v>0.121898385654024</v>
      </c>
      <c r="D2969" s="17" t="n">
        <f aca="false">(C2969-$B$4)/($B$6/SQRT($B$7))</f>
        <v>0.609491928270121</v>
      </c>
      <c r="E2969" s="0" t="str">
        <f aca="false">IF(OR(AND($B$9="superior",D2969&gt;$B$10),AND($B$9="inferior",D2969&lt;-$B$10)),"Rechazar H0","No rechazar H0")</f>
        <v>No rechazar H0</v>
      </c>
      <c r="F2969" s="0" t="str">
        <f aca="false">IF(AND(B2969="H0 verdadera",E2969="Rechazar H0"),"Error tipo I",IF(AND(B2969="Ha verdadera",E2969="No rechazar H0"),"Error tipo II","Decisión correcta"))</f>
        <v>Decisión correcta</v>
      </c>
    </row>
    <row r="2970" customFormat="false" ht="15" hidden="false" customHeight="false" outlineLevel="0" collapsed="false">
      <c r="A2970" s="0" t="n">
        <v>2949</v>
      </c>
      <c r="B2970" s="0" t="s">
        <v>86</v>
      </c>
      <c r="C2970" s="17" t="n">
        <v>-0.0719699923213928</v>
      </c>
      <c r="D2970" s="17" t="n">
        <f aca="false">(C2970-$B$4)/($B$6/SQRT($B$7))</f>
        <v>-0.359849961606964</v>
      </c>
      <c r="E2970" s="0" t="str">
        <f aca="false">IF(OR(AND($B$9="superior",D2970&gt;$B$10),AND($B$9="inferior",D2970&lt;-$B$10)),"Rechazar H0","No rechazar H0")</f>
        <v>No rechazar H0</v>
      </c>
      <c r="F2970" s="0" t="str">
        <f aca="false">IF(AND(B2970="H0 verdadera",E2970="Rechazar H0"),"Error tipo I",IF(AND(B2970="Ha verdadera",E2970="No rechazar H0"),"Error tipo II","Decisión correcta"))</f>
        <v>Error tipo II</v>
      </c>
    </row>
    <row r="2971" customFormat="false" ht="15" hidden="false" customHeight="false" outlineLevel="0" collapsed="false">
      <c r="A2971" s="0" t="n">
        <v>2950</v>
      </c>
      <c r="B2971" s="0" t="s">
        <v>86</v>
      </c>
      <c r="C2971" s="17" t="n">
        <v>-0.693374998779968</v>
      </c>
      <c r="D2971" s="17" t="n">
        <f aca="false">(C2971-$B$4)/($B$6/SQRT($B$7))</f>
        <v>-3.46687499389984</v>
      </c>
      <c r="E2971" s="0" t="str">
        <f aca="false">IF(OR(AND($B$9="superior",D2971&gt;$B$10),AND($B$9="inferior",D2971&lt;-$B$10)),"Rechazar H0","No rechazar H0")</f>
        <v>Rechazar H0</v>
      </c>
      <c r="F2971" s="0" t="str">
        <f aca="false">IF(AND(B2971="H0 verdadera",E2971="Rechazar H0"),"Error tipo I",IF(AND(B2971="Ha verdadera",E2971="No rechazar H0"),"Error tipo II","Decisión correcta"))</f>
        <v>Decisión correcta</v>
      </c>
    </row>
    <row r="2972" customFormat="false" ht="15" hidden="false" customHeight="false" outlineLevel="0" collapsed="false">
      <c r="A2972" s="0" t="n">
        <v>2951</v>
      </c>
      <c r="B2972" s="0" t="s">
        <v>86</v>
      </c>
      <c r="C2972" s="17" t="n">
        <v>-0.403054995293443</v>
      </c>
      <c r="D2972" s="17" t="n">
        <f aca="false">(C2972-$B$4)/($B$6/SQRT($B$7))</f>
        <v>-2.01527497646721</v>
      </c>
      <c r="E2972" s="0" t="str">
        <f aca="false">IF(OR(AND($B$9="superior",D2972&gt;$B$10),AND($B$9="inferior",D2972&lt;-$B$10)),"Rechazar H0","No rechazar H0")</f>
        <v>Rechazar H0</v>
      </c>
      <c r="F2972" s="0" t="str">
        <f aca="false">IF(AND(B2972="H0 verdadera",E2972="Rechazar H0"),"Error tipo I",IF(AND(B2972="Ha verdadera",E2972="No rechazar H0"),"Error tipo II","Decisión correcta"))</f>
        <v>Decisión correcta</v>
      </c>
    </row>
    <row r="2973" customFormat="false" ht="15" hidden="false" customHeight="false" outlineLevel="0" collapsed="false">
      <c r="A2973" s="0" t="n">
        <v>2952</v>
      </c>
      <c r="B2973" s="0" t="s">
        <v>85</v>
      </c>
      <c r="C2973" s="17" t="n">
        <v>-0.261164993367017</v>
      </c>
      <c r="D2973" s="17" t="n">
        <f aca="false">(C2973-$B$4)/($B$6/SQRT($B$7))</f>
        <v>-1.30582496683509</v>
      </c>
      <c r="E2973" s="0" t="str">
        <f aca="false">IF(OR(AND($B$9="superior",D2973&gt;$B$10),AND($B$9="inferior",D2973&lt;-$B$10)),"Rechazar H0","No rechazar H0")</f>
        <v>No rechazar H0</v>
      </c>
      <c r="F2973" s="0" t="str">
        <f aca="false">IF(AND(B2973="H0 verdadera",E2973="Rechazar H0"),"Error tipo I",IF(AND(B2973="Ha verdadera",E2973="No rechazar H0"),"Error tipo II","Decisión correcta"))</f>
        <v>Decisión correcta</v>
      </c>
    </row>
    <row r="2974" customFormat="false" ht="15" hidden="false" customHeight="false" outlineLevel="0" collapsed="false">
      <c r="A2974" s="0" t="n">
        <v>2953</v>
      </c>
      <c r="B2974" s="0" t="s">
        <v>86</v>
      </c>
      <c r="C2974" s="17" t="n">
        <v>-0.595293272695243</v>
      </c>
      <c r="D2974" s="17" t="n">
        <f aca="false">(C2974-$B$4)/($B$6/SQRT($B$7))</f>
        <v>-2.97646636347621</v>
      </c>
      <c r="E2974" s="0" t="str">
        <f aca="false">IF(OR(AND($B$9="superior",D2974&gt;$B$10),AND($B$9="inferior",D2974&lt;-$B$10)),"Rechazar H0","No rechazar H0")</f>
        <v>Rechazar H0</v>
      </c>
      <c r="F2974" s="0" t="str">
        <f aca="false">IF(AND(B2974="H0 verdadera",E2974="Rechazar H0"),"Error tipo I",IF(AND(B2974="Ha verdadera",E2974="No rechazar H0"),"Error tipo II","Decisión correcta"))</f>
        <v>Decisión correcta</v>
      </c>
    </row>
    <row r="2975" customFormat="false" ht="15" hidden="false" customHeight="false" outlineLevel="0" collapsed="false">
      <c r="A2975" s="0" t="n">
        <v>2954</v>
      </c>
      <c r="B2975" s="0" t="s">
        <v>85</v>
      </c>
      <c r="C2975" s="17" t="n">
        <v>-0.0429556909762015</v>
      </c>
      <c r="D2975" s="17" t="n">
        <f aca="false">(C2975-$B$4)/($B$6/SQRT($B$7))</f>
        <v>-0.214778454881008</v>
      </c>
      <c r="E2975" s="0" t="str">
        <f aca="false">IF(OR(AND($B$9="superior",D2975&gt;$B$10),AND($B$9="inferior",D2975&lt;-$B$10)),"Rechazar H0","No rechazar H0")</f>
        <v>No rechazar H0</v>
      </c>
      <c r="F2975" s="0" t="str">
        <f aca="false">IF(AND(B2975="H0 verdadera",E2975="Rechazar H0"),"Error tipo I",IF(AND(B2975="Ha verdadera",E2975="No rechazar H0"),"Error tipo II","Decisión correcta"))</f>
        <v>Decisión correcta</v>
      </c>
    </row>
    <row r="2976" customFormat="false" ht="15" hidden="false" customHeight="false" outlineLevel="0" collapsed="false">
      <c r="A2976" s="0" t="n">
        <v>2955</v>
      </c>
      <c r="B2976" s="0" t="s">
        <v>86</v>
      </c>
      <c r="C2976" s="17" t="n">
        <v>-0.568785119774682</v>
      </c>
      <c r="D2976" s="17" t="n">
        <f aca="false">(C2976-$B$4)/($B$6/SQRT($B$7))</f>
        <v>-2.84392559887341</v>
      </c>
      <c r="E2976" s="0" t="str">
        <f aca="false">IF(OR(AND($B$9="superior",D2976&gt;$B$10),AND($B$9="inferior",D2976&lt;-$B$10)),"Rechazar H0","No rechazar H0")</f>
        <v>Rechazar H0</v>
      </c>
      <c r="F2976" s="0" t="str">
        <f aca="false">IF(AND(B2976="H0 verdadera",E2976="Rechazar H0"),"Error tipo I",IF(AND(B2976="Ha verdadera",E2976="No rechazar H0"),"Error tipo II","Decisión correcta"))</f>
        <v>Decisión correcta</v>
      </c>
    </row>
    <row r="2977" customFormat="false" ht="15" hidden="false" customHeight="false" outlineLevel="0" collapsed="false">
      <c r="A2977" s="0" t="n">
        <v>2956</v>
      </c>
      <c r="B2977" s="0" t="s">
        <v>85</v>
      </c>
      <c r="C2977" s="17" t="n">
        <v>-0.115027997888757</v>
      </c>
      <c r="D2977" s="17" t="n">
        <f aca="false">(C2977-$B$4)/($B$6/SQRT($B$7))</f>
        <v>-0.575139989443787</v>
      </c>
      <c r="E2977" s="0" t="str">
        <f aca="false">IF(OR(AND($B$9="superior",D2977&gt;$B$10),AND($B$9="inferior",D2977&lt;-$B$10)),"Rechazar H0","No rechazar H0")</f>
        <v>No rechazar H0</v>
      </c>
      <c r="F2977" s="0" t="str">
        <f aca="false">IF(AND(B2977="H0 verdadera",E2977="Rechazar H0"),"Error tipo I",IF(AND(B2977="Ha verdadera",E2977="No rechazar H0"),"Error tipo II","Decisión correcta"))</f>
        <v>Decisión correcta</v>
      </c>
    </row>
    <row r="2978" customFormat="false" ht="15" hidden="false" customHeight="false" outlineLevel="0" collapsed="false">
      <c r="A2978" s="0" t="n">
        <v>2957</v>
      </c>
      <c r="B2978" s="0" t="s">
        <v>85</v>
      </c>
      <c r="C2978" s="17" t="n">
        <v>0.145000760645888</v>
      </c>
      <c r="D2978" s="17" t="n">
        <f aca="false">(C2978-$B$4)/($B$6/SQRT($B$7))</f>
        <v>0.725003803229437</v>
      </c>
      <c r="E2978" s="0" t="str">
        <f aca="false">IF(OR(AND($B$9="superior",D2978&gt;$B$10),AND($B$9="inferior",D2978&lt;-$B$10)),"Rechazar H0","No rechazar H0")</f>
        <v>No rechazar H0</v>
      </c>
      <c r="F2978" s="0" t="str">
        <f aca="false">IF(AND(B2978="H0 verdadera",E2978="Rechazar H0"),"Error tipo I",IF(AND(B2978="Ha verdadera",E2978="No rechazar H0"),"Error tipo II","Decisión correcta"))</f>
        <v>Decisión correcta</v>
      </c>
    </row>
    <row r="2979" customFormat="false" ht="15" hidden="false" customHeight="false" outlineLevel="0" collapsed="false">
      <c r="A2979" s="0" t="n">
        <v>2958</v>
      </c>
      <c r="B2979" s="0" t="s">
        <v>85</v>
      </c>
      <c r="C2979" s="17" t="n">
        <v>0.289745863366256</v>
      </c>
      <c r="D2979" s="17" t="n">
        <f aca="false">(C2979-$B$4)/($B$6/SQRT($B$7))</f>
        <v>1.44872931683128</v>
      </c>
      <c r="E2979" s="0" t="str">
        <f aca="false">IF(OR(AND($B$9="superior",D2979&gt;$B$10),AND($B$9="inferior",D2979&lt;-$B$10)),"Rechazar H0","No rechazar H0")</f>
        <v>No rechazar H0</v>
      </c>
      <c r="F2979" s="0" t="str">
        <f aca="false">IF(AND(B2979="H0 verdadera",E2979="Rechazar H0"),"Error tipo I",IF(AND(B2979="Ha verdadera",E2979="No rechazar H0"),"Error tipo II","Decisión correcta"))</f>
        <v>Decisión correcta</v>
      </c>
    </row>
    <row r="2980" customFormat="false" ht="15" hidden="false" customHeight="false" outlineLevel="0" collapsed="false">
      <c r="A2980" s="0" t="n">
        <v>2959</v>
      </c>
      <c r="B2980" s="0" t="s">
        <v>86</v>
      </c>
      <c r="C2980" s="17" t="n">
        <v>-0.0580921661236891</v>
      </c>
      <c r="D2980" s="17" t="n">
        <f aca="false">(C2980-$B$4)/($B$6/SQRT($B$7))</f>
        <v>-0.290460830618445</v>
      </c>
      <c r="E2980" s="0" t="str">
        <f aca="false">IF(OR(AND($B$9="superior",D2980&gt;$B$10),AND($B$9="inferior",D2980&lt;-$B$10)),"Rechazar H0","No rechazar H0")</f>
        <v>No rechazar H0</v>
      </c>
      <c r="F2980" s="0" t="str">
        <f aca="false">IF(AND(B2980="H0 verdadera",E2980="Rechazar H0"),"Error tipo I",IF(AND(B2980="Ha verdadera",E2980="No rechazar H0"),"Error tipo II","Decisión correcta"))</f>
        <v>Error tipo II</v>
      </c>
    </row>
    <row r="2981" customFormat="false" ht="15" hidden="false" customHeight="false" outlineLevel="0" collapsed="false">
      <c r="A2981" s="0" t="n">
        <v>2960</v>
      </c>
      <c r="B2981" s="0" t="s">
        <v>86</v>
      </c>
      <c r="C2981" s="17" t="n">
        <v>-0.444598933848598</v>
      </c>
      <c r="D2981" s="17" t="n">
        <f aca="false">(C2981-$B$4)/($B$6/SQRT($B$7))</f>
        <v>-2.22299466924299</v>
      </c>
      <c r="E2981" s="0" t="str">
        <f aca="false">IF(OR(AND($B$9="superior",D2981&gt;$B$10),AND($B$9="inferior",D2981&lt;-$B$10)),"Rechazar H0","No rechazar H0")</f>
        <v>Rechazar H0</v>
      </c>
      <c r="F2981" s="0" t="str">
        <f aca="false">IF(AND(B2981="H0 verdadera",E2981="Rechazar H0"),"Error tipo I",IF(AND(B2981="Ha verdadera",E2981="No rechazar H0"),"Error tipo II","Decisión correcta"))</f>
        <v>Decisión correcta</v>
      </c>
    </row>
    <row r="2982" customFormat="false" ht="15" hidden="false" customHeight="false" outlineLevel="0" collapsed="false">
      <c r="A2982" s="0" t="n">
        <v>2961</v>
      </c>
      <c r="B2982" s="0" t="s">
        <v>86</v>
      </c>
      <c r="C2982" s="17" t="n">
        <v>-0.59330852097125</v>
      </c>
      <c r="D2982" s="17" t="n">
        <f aca="false">(C2982-$B$4)/($B$6/SQRT($B$7))</f>
        <v>-2.96654260485625</v>
      </c>
      <c r="E2982" s="0" t="str">
        <f aca="false">IF(OR(AND($B$9="superior",D2982&gt;$B$10),AND($B$9="inferior",D2982&lt;-$B$10)),"Rechazar H0","No rechazar H0")</f>
        <v>Rechazar H0</v>
      </c>
      <c r="F2982" s="0" t="str">
        <f aca="false">IF(AND(B2982="H0 verdadera",E2982="Rechazar H0"),"Error tipo I",IF(AND(B2982="Ha verdadera",E2982="No rechazar H0"),"Error tipo II","Decisión correcta"))</f>
        <v>Decisión correcta</v>
      </c>
    </row>
    <row r="2983" customFormat="false" ht="15" hidden="false" customHeight="false" outlineLevel="0" collapsed="false">
      <c r="A2983" s="0" t="n">
        <v>2962</v>
      </c>
      <c r="B2983" s="0" t="s">
        <v>85</v>
      </c>
      <c r="C2983" s="17" t="n">
        <v>-0.23716973660924</v>
      </c>
      <c r="D2983" s="17" t="n">
        <f aca="false">(C2983-$B$4)/($B$6/SQRT($B$7))</f>
        <v>-1.1858486830462</v>
      </c>
      <c r="E2983" s="0" t="str">
        <f aca="false">IF(OR(AND($B$9="superior",D2983&gt;$B$10),AND($B$9="inferior",D2983&lt;-$B$10)),"Rechazar H0","No rechazar H0")</f>
        <v>No rechazar H0</v>
      </c>
      <c r="F2983" s="0" t="str">
        <f aca="false">IF(AND(B2983="H0 verdadera",E2983="Rechazar H0"),"Error tipo I",IF(AND(B2983="Ha verdadera",E2983="No rechazar H0"),"Error tipo II","Decisión correcta"))</f>
        <v>Decisión correcta</v>
      </c>
    </row>
    <row r="2984" customFormat="false" ht="15" hidden="false" customHeight="false" outlineLevel="0" collapsed="false">
      <c r="A2984" s="0" t="n">
        <v>2963</v>
      </c>
      <c r="B2984" s="0" t="s">
        <v>85</v>
      </c>
      <c r="C2984" s="17" t="n">
        <v>-0.00575652873472417</v>
      </c>
      <c r="D2984" s="17" t="n">
        <f aca="false">(C2984-$B$4)/($B$6/SQRT($B$7))</f>
        <v>-0.0287826436736208</v>
      </c>
      <c r="E2984" s="0" t="str">
        <f aca="false">IF(OR(AND($B$9="superior",D2984&gt;$B$10),AND($B$9="inferior",D2984&lt;-$B$10)),"Rechazar H0","No rechazar H0")</f>
        <v>No rechazar H0</v>
      </c>
      <c r="F2984" s="0" t="str">
        <f aca="false">IF(AND(B2984="H0 verdadera",E2984="Rechazar H0"),"Error tipo I",IF(AND(B2984="Ha verdadera",E2984="No rechazar H0"),"Error tipo II","Decisión correcta"))</f>
        <v>Decisión correcta</v>
      </c>
    </row>
    <row r="2985" customFormat="false" ht="15" hidden="false" customHeight="false" outlineLevel="0" collapsed="false">
      <c r="A2985" s="0" t="n">
        <v>2964</v>
      </c>
      <c r="B2985" s="0" t="s">
        <v>86</v>
      </c>
      <c r="C2985" s="17" t="n">
        <v>-0.65226465475454</v>
      </c>
      <c r="D2985" s="17" t="n">
        <f aca="false">(C2985-$B$4)/($B$6/SQRT($B$7))</f>
        <v>-3.2613232737727</v>
      </c>
      <c r="E2985" s="0" t="str">
        <f aca="false">IF(OR(AND($B$9="superior",D2985&gt;$B$10),AND($B$9="inferior",D2985&lt;-$B$10)),"Rechazar H0","No rechazar H0")</f>
        <v>Rechazar H0</v>
      </c>
      <c r="F2985" s="0" t="str">
        <f aca="false">IF(AND(B2985="H0 verdadera",E2985="Rechazar H0"),"Error tipo I",IF(AND(B2985="Ha verdadera",E2985="No rechazar H0"),"Error tipo II","Decisión correcta"))</f>
        <v>Decisión correcta</v>
      </c>
    </row>
    <row r="2986" customFormat="false" ht="15" hidden="false" customHeight="false" outlineLevel="0" collapsed="false">
      <c r="A2986" s="0" t="n">
        <v>2965</v>
      </c>
      <c r="B2986" s="0" t="s">
        <v>86</v>
      </c>
      <c r="C2986" s="17" t="n">
        <v>-0.318953303384856</v>
      </c>
      <c r="D2986" s="17" t="n">
        <f aca="false">(C2986-$B$4)/($B$6/SQRT($B$7))</f>
        <v>-1.59476651692428</v>
      </c>
      <c r="E2986" s="0" t="str">
        <f aca="false">IF(OR(AND($B$9="superior",D2986&gt;$B$10),AND($B$9="inferior",D2986&lt;-$B$10)),"Rechazar H0","No rechazar H0")</f>
        <v>No rechazar H0</v>
      </c>
      <c r="F2986" s="0" t="str">
        <f aca="false">IF(AND(B2986="H0 verdadera",E2986="Rechazar H0"),"Error tipo I",IF(AND(B2986="Ha verdadera",E2986="No rechazar H0"),"Error tipo II","Decisión correcta"))</f>
        <v>Error tipo II</v>
      </c>
    </row>
    <row r="2987" customFormat="false" ht="15" hidden="false" customHeight="false" outlineLevel="0" collapsed="false">
      <c r="A2987" s="0" t="n">
        <v>2966</v>
      </c>
      <c r="B2987" s="0" t="s">
        <v>86</v>
      </c>
      <c r="C2987" s="17" t="n">
        <v>-0.341575562022962</v>
      </c>
      <c r="D2987" s="17" t="n">
        <f aca="false">(C2987-$B$4)/($B$6/SQRT($B$7))</f>
        <v>-1.70787781011481</v>
      </c>
      <c r="E2987" s="0" t="str">
        <f aca="false">IF(OR(AND($B$9="superior",D2987&gt;$B$10),AND($B$9="inferior",D2987&lt;-$B$10)),"Rechazar H0","No rechazar H0")</f>
        <v>Rechazar H0</v>
      </c>
      <c r="F2987" s="0" t="str">
        <f aca="false">IF(AND(B2987="H0 verdadera",E2987="Rechazar H0"),"Error tipo I",IF(AND(B2987="Ha verdadera",E2987="No rechazar H0"),"Error tipo II","Decisión correcta"))</f>
        <v>Decisión correcta</v>
      </c>
    </row>
    <row r="2988" customFormat="false" ht="15" hidden="false" customHeight="false" outlineLevel="0" collapsed="false">
      <c r="A2988" s="0" t="n">
        <v>2967</v>
      </c>
      <c r="B2988" s="0" t="s">
        <v>86</v>
      </c>
      <c r="C2988" s="17" t="n">
        <v>-0.53058002086976</v>
      </c>
      <c r="D2988" s="17" t="n">
        <f aca="false">(C2988-$B$4)/($B$6/SQRT($B$7))</f>
        <v>-2.6529001043488</v>
      </c>
      <c r="E2988" s="0" t="str">
        <f aca="false">IF(OR(AND($B$9="superior",D2988&gt;$B$10),AND($B$9="inferior",D2988&lt;-$B$10)),"Rechazar H0","No rechazar H0")</f>
        <v>Rechazar H0</v>
      </c>
      <c r="F2988" s="0" t="str">
        <f aca="false">IF(AND(B2988="H0 verdadera",E2988="Rechazar H0"),"Error tipo I",IF(AND(B2988="Ha verdadera",E2988="No rechazar H0"),"Error tipo II","Decisión correcta"))</f>
        <v>Decisión correcta</v>
      </c>
    </row>
    <row r="2989" customFormat="false" ht="15" hidden="false" customHeight="false" outlineLevel="0" collapsed="false">
      <c r="A2989" s="0" t="n">
        <v>2968</v>
      </c>
      <c r="B2989" s="0" t="s">
        <v>86</v>
      </c>
      <c r="C2989" s="17" t="n">
        <v>-0.714081780998938</v>
      </c>
      <c r="D2989" s="17" t="n">
        <f aca="false">(C2989-$B$4)/($B$6/SQRT($B$7))</f>
        <v>-3.57040890499469</v>
      </c>
      <c r="E2989" s="0" t="str">
        <f aca="false">IF(OR(AND($B$9="superior",D2989&gt;$B$10),AND($B$9="inferior",D2989&lt;-$B$10)),"Rechazar H0","No rechazar H0")</f>
        <v>Rechazar H0</v>
      </c>
      <c r="F2989" s="0" t="str">
        <f aca="false">IF(AND(B2989="H0 verdadera",E2989="Rechazar H0"),"Error tipo I",IF(AND(B2989="Ha verdadera",E2989="No rechazar H0"),"Error tipo II","Decisión correcta"))</f>
        <v>Decisión correcta</v>
      </c>
    </row>
    <row r="2990" customFormat="false" ht="15" hidden="false" customHeight="false" outlineLevel="0" collapsed="false">
      <c r="A2990" s="0" t="n">
        <v>2969</v>
      </c>
      <c r="B2990" s="0" t="s">
        <v>86</v>
      </c>
      <c r="C2990" s="17" t="n">
        <v>-0.227038569136912</v>
      </c>
      <c r="D2990" s="17" t="n">
        <f aca="false">(C2990-$B$4)/($B$6/SQRT($B$7))</f>
        <v>-1.13519284568456</v>
      </c>
      <c r="E2990" s="0" t="str">
        <f aca="false">IF(OR(AND($B$9="superior",D2990&gt;$B$10),AND($B$9="inferior",D2990&lt;-$B$10)),"Rechazar H0","No rechazar H0")</f>
        <v>No rechazar H0</v>
      </c>
      <c r="F2990" s="0" t="str">
        <f aca="false">IF(AND(B2990="H0 verdadera",E2990="Rechazar H0"),"Error tipo I",IF(AND(B2990="Ha verdadera",E2990="No rechazar H0"),"Error tipo II","Decisión correcta"))</f>
        <v>Error tipo II</v>
      </c>
    </row>
    <row r="2991" customFormat="false" ht="15" hidden="false" customHeight="false" outlineLevel="0" collapsed="false">
      <c r="A2991" s="0" t="n">
        <v>2970</v>
      </c>
      <c r="B2991" s="0" t="s">
        <v>85</v>
      </c>
      <c r="C2991" s="17" t="n">
        <v>0.248790260723887</v>
      </c>
      <c r="D2991" s="17" t="n">
        <f aca="false">(C2991-$B$4)/($B$6/SQRT($B$7))</f>
        <v>1.24395130361943</v>
      </c>
      <c r="E2991" s="0" t="str">
        <f aca="false">IF(OR(AND($B$9="superior",D2991&gt;$B$10),AND($B$9="inferior",D2991&lt;-$B$10)),"Rechazar H0","No rechazar H0")</f>
        <v>No rechazar H0</v>
      </c>
      <c r="F2991" s="0" t="str">
        <f aca="false">IF(AND(B2991="H0 verdadera",E2991="Rechazar H0"),"Error tipo I",IF(AND(B2991="Ha verdadera",E2991="No rechazar H0"),"Error tipo II","Decisión correcta"))</f>
        <v>Decisión correcta</v>
      </c>
    </row>
    <row r="2992" customFormat="false" ht="15" hidden="false" customHeight="false" outlineLevel="0" collapsed="false">
      <c r="A2992" s="0" t="n">
        <v>2971</v>
      </c>
      <c r="B2992" s="0" t="s">
        <v>86</v>
      </c>
      <c r="C2992" s="17" t="n">
        <v>-0.286638338481206</v>
      </c>
      <c r="D2992" s="17" t="n">
        <f aca="false">(C2992-$B$4)/($B$6/SQRT($B$7))</f>
        <v>-1.43319169240603</v>
      </c>
      <c r="E2992" s="0" t="str">
        <f aca="false">IF(OR(AND($B$9="superior",D2992&gt;$B$10),AND($B$9="inferior",D2992&lt;-$B$10)),"Rechazar H0","No rechazar H0")</f>
        <v>No rechazar H0</v>
      </c>
      <c r="F2992" s="0" t="str">
        <f aca="false">IF(AND(B2992="H0 verdadera",E2992="Rechazar H0"),"Error tipo I",IF(AND(B2992="Ha verdadera",E2992="No rechazar H0"),"Error tipo II","Decisión correcta"))</f>
        <v>Error tipo II</v>
      </c>
    </row>
    <row r="2993" customFormat="false" ht="15" hidden="false" customHeight="false" outlineLevel="0" collapsed="false">
      <c r="A2993" s="0" t="n">
        <v>2972</v>
      </c>
      <c r="B2993" s="0" t="s">
        <v>85</v>
      </c>
      <c r="C2993" s="17" t="n">
        <v>-0.235105611955832</v>
      </c>
      <c r="D2993" s="17" t="n">
        <f aca="false">(C2993-$B$4)/($B$6/SQRT($B$7))</f>
        <v>-1.17552805977916</v>
      </c>
      <c r="E2993" s="0" t="str">
        <f aca="false">IF(OR(AND($B$9="superior",D2993&gt;$B$10),AND($B$9="inferior",D2993&lt;-$B$10)),"Rechazar H0","No rechazar H0")</f>
        <v>No rechazar H0</v>
      </c>
      <c r="F2993" s="0" t="str">
        <f aca="false">IF(AND(B2993="H0 verdadera",E2993="Rechazar H0"),"Error tipo I",IF(AND(B2993="Ha verdadera",E2993="No rechazar H0"),"Error tipo II","Decisión correcta"))</f>
        <v>Decisión correcta</v>
      </c>
    </row>
    <row r="2994" customFormat="false" ht="15" hidden="false" customHeight="false" outlineLevel="0" collapsed="false">
      <c r="A2994" s="0" t="n">
        <v>2973</v>
      </c>
      <c r="B2994" s="0" t="s">
        <v>85</v>
      </c>
      <c r="C2994" s="17" t="n">
        <v>0.181495569546816</v>
      </c>
      <c r="D2994" s="17" t="n">
        <f aca="false">(C2994-$B$4)/($B$6/SQRT($B$7))</f>
        <v>0.90747784773408</v>
      </c>
      <c r="E2994" s="0" t="str">
        <f aca="false">IF(OR(AND($B$9="superior",D2994&gt;$B$10),AND($B$9="inferior",D2994&lt;-$B$10)),"Rechazar H0","No rechazar H0")</f>
        <v>No rechazar H0</v>
      </c>
      <c r="F2994" s="0" t="str">
        <f aca="false">IF(AND(B2994="H0 verdadera",E2994="Rechazar H0"),"Error tipo I",IF(AND(B2994="Ha verdadera",E2994="No rechazar H0"),"Error tipo II","Decisión correcta"))</f>
        <v>Decisión correcta</v>
      </c>
    </row>
    <row r="2995" customFormat="false" ht="15" hidden="false" customHeight="false" outlineLevel="0" collapsed="false">
      <c r="A2995" s="0" t="n">
        <v>2974</v>
      </c>
      <c r="B2995" s="0" t="s">
        <v>86</v>
      </c>
      <c r="C2995" s="17" t="n">
        <v>-0.481191218978709</v>
      </c>
      <c r="D2995" s="17" t="n">
        <f aca="false">(C2995-$B$4)/($B$6/SQRT($B$7))</f>
        <v>-2.40595609489354</v>
      </c>
      <c r="E2995" s="0" t="str">
        <f aca="false">IF(OR(AND($B$9="superior",D2995&gt;$B$10),AND($B$9="inferior",D2995&lt;-$B$10)),"Rechazar H0","No rechazar H0")</f>
        <v>Rechazar H0</v>
      </c>
      <c r="F2995" s="0" t="str">
        <f aca="false">IF(AND(B2995="H0 verdadera",E2995="Rechazar H0"),"Error tipo I",IF(AND(B2995="Ha verdadera",E2995="No rechazar H0"),"Error tipo II","Decisión correcta"))</f>
        <v>Decisión correcta</v>
      </c>
    </row>
    <row r="2996" customFormat="false" ht="15" hidden="false" customHeight="false" outlineLevel="0" collapsed="false">
      <c r="A2996" s="0" t="n">
        <v>2975</v>
      </c>
      <c r="B2996" s="0" t="s">
        <v>86</v>
      </c>
      <c r="C2996" s="17" t="n">
        <v>-0.318850249171006</v>
      </c>
      <c r="D2996" s="17" t="n">
        <f aca="false">(C2996-$B$4)/($B$6/SQRT($B$7))</f>
        <v>-1.59425124585503</v>
      </c>
      <c r="E2996" s="0" t="str">
        <f aca="false">IF(OR(AND($B$9="superior",D2996&gt;$B$10),AND($B$9="inferior",D2996&lt;-$B$10)),"Rechazar H0","No rechazar H0")</f>
        <v>No rechazar H0</v>
      </c>
      <c r="F2996" s="0" t="str">
        <f aca="false">IF(AND(B2996="H0 verdadera",E2996="Rechazar H0"),"Error tipo I",IF(AND(B2996="Ha verdadera",E2996="No rechazar H0"),"Error tipo II","Decisión correcta"))</f>
        <v>Error tipo II</v>
      </c>
    </row>
    <row r="2997" customFormat="false" ht="15" hidden="false" customHeight="false" outlineLevel="0" collapsed="false">
      <c r="A2997" s="0" t="n">
        <v>2976</v>
      </c>
      <c r="B2997" s="0" t="s">
        <v>86</v>
      </c>
      <c r="C2997" s="17" t="n">
        <v>-0.449135317219732</v>
      </c>
      <c r="D2997" s="17" t="n">
        <f aca="false">(C2997-$B$4)/($B$6/SQRT($B$7))</f>
        <v>-2.24567658609866</v>
      </c>
      <c r="E2997" s="0" t="str">
        <f aca="false">IF(OR(AND($B$9="superior",D2997&gt;$B$10),AND($B$9="inferior",D2997&lt;-$B$10)),"Rechazar H0","No rechazar H0")</f>
        <v>Rechazar H0</v>
      </c>
      <c r="F2997" s="0" t="str">
        <f aca="false">IF(AND(B2997="H0 verdadera",E2997="Rechazar H0"),"Error tipo I",IF(AND(B2997="Ha verdadera",E2997="No rechazar H0"),"Error tipo II","Decisión correcta"))</f>
        <v>Decisión correcta</v>
      </c>
    </row>
    <row r="2998" customFormat="false" ht="15" hidden="false" customHeight="false" outlineLevel="0" collapsed="false">
      <c r="A2998" s="0" t="n">
        <v>2977</v>
      </c>
      <c r="B2998" s="0" t="s">
        <v>86</v>
      </c>
      <c r="C2998" s="17" t="n">
        <v>-0.400905993326718</v>
      </c>
      <c r="D2998" s="17" t="n">
        <f aca="false">(C2998-$B$4)/($B$6/SQRT($B$7))</f>
        <v>-2.00452996663359</v>
      </c>
      <c r="E2998" s="0" t="str">
        <f aca="false">IF(OR(AND($B$9="superior",D2998&gt;$B$10),AND($B$9="inferior",D2998&lt;-$B$10)),"Rechazar H0","No rechazar H0")</f>
        <v>Rechazar H0</v>
      </c>
      <c r="F2998" s="0" t="str">
        <f aca="false">IF(AND(B2998="H0 verdadera",E2998="Rechazar H0"),"Error tipo I",IF(AND(B2998="Ha verdadera",E2998="No rechazar H0"),"Error tipo II","Decisión correcta"))</f>
        <v>Decisión correcta</v>
      </c>
    </row>
    <row r="2999" customFormat="false" ht="15" hidden="false" customHeight="false" outlineLevel="0" collapsed="false">
      <c r="A2999" s="0" t="n">
        <v>2978</v>
      </c>
      <c r="B2999" s="0" t="s">
        <v>85</v>
      </c>
      <c r="C2999" s="17" t="n">
        <v>0.312018997749496</v>
      </c>
      <c r="D2999" s="17" t="n">
        <f aca="false">(C2999-$B$4)/($B$6/SQRT($B$7))</f>
        <v>1.56009498874748</v>
      </c>
      <c r="E2999" s="0" t="str">
        <f aca="false">IF(OR(AND($B$9="superior",D2999&gt;$B$10),AND($B$9="inferior",D2999&lt;-$B$10)),"Rechazar H0","No rechazar H0")</f>
        <v>No rechazar H0</v>
      </c>
      <c r="F2999" s="0" t="str">
        <f aca="false">IF(AND(B2999="H0 verdadera",E2999="Rechazar H0"),"Error tipo I",IF(AND(B2999="Ha verdadera",E2999="No rechazar H0"),"Error tipo II","Decisión correcta"))</f>
        <v>Decisión correcta</v>
      </c>
    </row>
    <row r="3000" customFormat="false" ht="15" hidden="false" customHeight="false" outlineLevel="0" collapsed="false">
      <c r="A3000" s="0" t="n">
        <v>2979</v>
      </c>
      <c r="B3000" s="0" t="s">
        <v>86</v>
      </c>
      <c r="C3000" s="17" t="n">
        <v>-0.370281343481732</v>
      </c>
      <c r="D3000" s="17" t="n">
        <f aca="false">(C3000-$B$4)/($B$6/SQRT($B$7))</f>
        <v>-1.85140671740866</v>
      </c>
      <c r="E3000" s="0" t="str">
        <f aca="false">IF(OR(AND($B$9="superior",D3000&gt;$B$10),AND($B$9="inferior",D3000&lt;-$B$10)),"Rechazar H0","No rechazar H0")</f>
        <v>Rechazar H0</v>
      </c>
      <c r="F3000" s="0" t="str">
        <f aca="false">IF(AND(B3000="H0 verdadera",E3000="Rechazar H0"),"Error tipo I",IF(AND(B3000="Ha verdadera",E3000="No rechazar H0"),"Error tipo II","Decisión correcta"))</f>
        <v>Decisión correcta</v>
      </c>
    </row>
    <row r="3001" customFormat="false" ht="15" hidden="false" customHeight="false" outlineLevel="0" collapsed="false">
      <c r="A3001" s="0" t="n">
        <v>2980</v>
      </c>
      <c r="B3001" s="0" t="s">
        <v>86</v>
      </c>
      <c r="C3001" s="17" t="n">
        <v>-0.41311745035308</v>
      </c>
      <c r="D3001" s="17" t="n">
        <f aca="false">(C3001-$B$4)/($B$6/SQRT($B$7))</f>
        <v>-2.0655872517654</v>
      </c>
      <c r="E3001" s="0" t="str">
        <f aca="false">IF(OR(AND($B$9="superior",D3001&gt;$B$10),AND($B$9="inferior",D3001&lt;-$B$10)),"Rechazar H0","No rechazar H0")</f>
        <v>Rechazar H0</v>
      </c>
      <c r="F3001" s="0" t="str">
        <f aca="false">IF(AND(B3001="H0 verdadera",E3001="Rechazar H0"),"Error tipo I",IF(AND(B3001="Ha verdadera",E3001="No rechazar H0"),"Error tipo II","Decisión correcta"))</f>
        <v>Decisión correcta</v>
      </c>
    </row>
    <row r="3002" customFormat="false" ht="15" hidden="false" customHeight="false" outlineLevel="0" collapsed="false">
      <c r="A3002" s="0" t="n">
        <v>2981</v>
      </c>
      <c r="B3002" s="0" t="s">
        <v>85</v>
      </c>
      <c r="C3002" s="17" t="n">
        <v>-0.102827357699964</v>
      </c>
      <c r="D3002" s="17" t="n">
        <f aca="false">(C3002-$B$4)/($B$6/SQRT($B$7))</f>
        <v>-0.51413678849982</v>
      </c>
      <c r="E3002" s="0" t="str">
        <f aca="false">IF(OR(AND($B$9="superior",D3002&gt;$B$10),AND($B$9="inferior",D3002&lt;-$B$10)),"Rechazar H0","No rechazar H0")</f>
        <v>No rechazar H0</v>
      </c>
      <c r="F3002" s="0" t="str">
        <f aca="false">IF(AND(B3002="H0 verdadera",E3002="Rechazar H0"),"Error tipo I",IF(AND(B3002="Ha verdadera",E3002="No rechazar H0"),"Error tipo II","Decisión correcta"))</f>
        <v>Decisión correcta</v>
      </c>
    </row>
    <row r="3003" customFormat="false" ht="15" hidden="false" customHeight="false" outlineLevel="0" collapsed="false">
      <c r="A3003" s="0" t="n">
        <v>2982</v>
      </c>
      <c r="B3003" s="0" t="s">
        <v>86</v>
      </c>
      <c r="C3003" s="17" t="n">
        <v>-0.633929370039787</v>
      </c>
      <c r="D3003" s="17" t="n">
        <f aca="false">(C3003-$B$4)/($B$6/SQRT($B$7))</f>
        <v>-3.16964685019893</v>
      </c>
      <c r="E3003" s="0" t="str">
        <f aca="false">IF(OR(AND($B$9="superior",D3003&gt;$B$10),AND($B$9="inferior",D3003&lt;-$B$10)),"Rechazar H0","No rechazar H0")</f>
        <v>Rechazar H0</v>
      </c>
      <c r="F3003" s="0" t="str">
        <f aca="false">IF(AND(B3003="H0 verdadera",E3003="Rechazar H0"),"Error tipo I",IF(AND(B3003="Ha verdadera",E3003="No rechazar H0"),"Error tipo II","Decisión correcta"))</f>
        <v>Decisión correcta</v>
      </c>
    </row>
    <row r="3004" customFormat="false" ht="15" hidden="false" customHeight="false" outlineLevel="0" collapsed="false">
      <c r="A3004" s="0" t="n">
        <v>2983</v>
      </c>
      <c r="B3004" s="0" t="s">
        <v>85</v>
      </c>
      <c r="C3004" s="17" t="n">
        <v>0.157160984947028</v>
      </c>
      <c r="D3004" s="17" t="n">
        <f aca="false">(C3004-$B$4)/($B$6/SQRT($B$7))</f>
        <v>0.785804924735141</v>
      </c>
      <c r="E3004" s="0" t="str">
        <f aca="false">IF(OR(AND($B$9="superior",D3004&gt;$B$10),AND($B$9="inferior",D3004&lt;-$B$10)),"Rechazar H0","No rechazar H0")</f>
        <v>No rechazar H0</v>
      </c>
      <c r="F3004" s="0" t="str">
        <f aca="false">IF(AND(B3004="H0 verdadera",E3004="Rechazar H0"),"Error tipo I",IF(AND(B3004="Ha verdadera",E3004="No rechazar H0"),"Error tipo II","Decisión correcta"))</f>
        <v>Decisión correcta</v>
      </c>
    </row>
    <row r="3005" customFormat="false" ht="15" hidden="false" customHeight="false" outlineLevel="0" collapsed="false">
      <c r="A3005" s="0" t="n">
        <v>2984</v>
      </c>
      <c r="B3005" s="0" t="s">
        <v>86</v>
      </c>
      <c r="C3005" s="17" t="n">
        <v>-0.576459264254119</v>
      </c>
      <c r="D3005" s="17" t="n">
        <f aca="false">(C3005-$B$4)/($B$6/SQRT($B$7))</f>
        <v>-2.8822963212706</v>
      </c>
      <c r="E3005" s="0" t="str">
        <f aca="false">IF(OR(AND($B$9="superior",D3005&gt;$B$10),AND($B$9="inferior",D3005&lt;-$B$10)),"Rechazar H0","No rechazar H0")</f>
        <v>Rechazar H0</v>
      </c>
      <c r="F3005" s="0" t="str">
        <f aca="false">IF(AND(B3005="H0 verdadera",E3005="Rechazar H0"),"Error tipo I",IF(AND(B3005="Ha verdadera",E3005="No rechazar H0"),"Error tipo II","Decisión correcta"))</f>
        <v>Decisión correcta</v>
      </c>
    </row>
    <row r="3006" customFormat="false" ht="15" hidden="false" customHeight="false" outlineLevel="0" collapsed="false">
      <c r="A3006" s="0" t="n">
        <v>2985</v>
      </c>
      <c r="B3006" s="0" t="s">
        <v>85</v>
      </c>
      <c r="C3006" s="17" t="n">
        <v>-0.142616809237751</v>
      </c>
      <c r="D3006" s="17" t="n">
        <f aca="false">(C3006-$B$4)/($B$6/SQRT($B$7))</f>
        <v>-0.713084046188753</v>
      </c>
      <c r="E3006" s="0" t="str">
        <f aca="false">IF(OR(AND($B$9="superior",D3006&gt;$B$10),AND($B$9="inferior",D3006&lt;-$B$10)),"Rechazar H0","No rechazar H0")</f>
        <v>No rechazar H0</v>
      </c>
      <c r="F3006" s="0" t="str">
        <f aca="false">IF(AND(B3006="H0 verdadera",E3006="Rechazar H0"),"Error tipo I",IF(AND(B3006="Ha verdadera",E3006="No rechazar H0"),"Error tipo II","Decisión correcta"))</f>
        <v>Decisión correcta</v>
      </c>
    </row>
    <row r="3007" customFormat="false" ht="15" hidden="false" customHeight="false" outlineLevel="0" collapsed="false">
      <c r="A3007" s="0" t="n">
        <v>2986</v>
      </c>
      <c r="B3007" s="0" t="s">
        <v>85</v>
      </c>
      <c r="C3007" s="17" t="n">
        <v>-0.180908938643752</v>
      </c>
      <c r="D3007" s="17" t="n">
        <f aca="false">(C3007-$B$4)/($B$6/SQRT($B$7))</f>
        <v>-0.904544693218762</v>
      </c>
      <c r="E3007" s="0" t="str">
        <f aca="false">IF(OR(AND($B$9="superior",D3007&gt;$B$10),AND($B$9="inferior",D3007&lt;-$B$10)),"Rechazar H0","No rechazar H0")</f>
        <v>No rechazar H0</v>
      </c>
      <c r="F3007" s="0" t="str">
        <f aca="false">IF(AND(B3007="H0 verdadera",E3007="Rechazar H0"),"Error tipo I",IF(AND(B3007="Ha verdadera",E3007="No rechazar H0"),"Error tipo II","Decisión correcta"))</f>
        <v>Decisión correcta</v>
      </c>
    </row>
    <row r="3008" customFormat="false" ht="15" hidden="false" customHeight="false" outlineLevel="0" collapsed="false">
      <c r="A3008" s="0" t="n">
        <v>2987</v>
      </c>
      <c r="B3008" s="0" t="s">
        <v>85</v>
      </c>
      <c r="C3008" s="17" t="n">
        <v>0.0608773572818979</v>
      </c>
      <c r="D3008" s="17" t="n">
        <f aca="false">(C3008-$B$4)/($B$6/SQRT($B$7))</f>
        <v>0.30438678640949</v>
      </c>
      <c r="E3008" s="0" t="str">
        <f aca="false">IF(OR(AND($B$9="superior",D3008&gt;$B$10),AND($B$9="inferior",D3008&lt;-$B$10)),"Rechazar H0","No rechazar H0")</f>
        <v>No rechazar H0</v>
      </c>
      <c r="F3008" s="0" t="str">
        <f aca="false">IF(AND(B3008="H0 verdadera",E3008="Rechazar H0"),"Error tipo I",IF(AND(B3008="Ha verdadera",E3008="No rechazar H0"),"Error tipo II","Decisión correcta"))</f>
        <v>Decisión correcta</v>
      </c>
    </row>
    <row r="3009" customFormat="false" ht="15" hidden="false" customHeight="false" outlineLevel="0" collapsed="false">
      <c r="A3009" s="0" t="n">
        <v>2988</v>
      </c>
      <c r="B3009" s="0" t="s">
        <v>85</v>
      </c>
      <c r="C3009" s="17" t="n">
        <v>-0.212772653439638</v>
      </c>
      <c r="D3009" s="17" t="n">
        <f aca="false">(C3009-$B$4)/($B$6/SQRT($B$7))</f>
        <v>-1.06386326719819</v>
      </c>
      <c r="E3009" s="0" t="str">
        <f aca="false">IF(OR(AND($B$9="superior",D3009&gt;$B$10),AND($B$9="inferior",D3009&lt;-$B$10)),"Rechazar H0","No rechazar H0")</f>
        <v>No rechazar H0</v>
      </c>
      <c r="F3009" s="0" t="str">
        <f aca="false">IF(AND(B3009="H0 verdadera",E3009="Rechazar H0"),"Error tipo I",IF(AND(B3009="Ha verdadera",E3009="No rechazar H0"),"Error tipo II","Decisión correcta"))</f>
        <v>Decisión correcta</v>
      </c>
    </row>
    <row r="3010" customFormat="false" ht="15" hidden="false" customHeight="false" outlineLevel="0" collapsed="false">
      <c r="A3010" s="0" t="n">
        <v>2989</v>
      </c>
      <c r="B3010" s="0" t="s">
        <v>86</v>
      </c>
      <c r="C3010" s="17" t="n">
        <v>-0.440790002775772</v>
      </c>
      <c r="D3010" s="17" t="n">
        <f aca="false">(C3010-$B$4)/($B$6/SQRT($B$7))</f>
        <v>-2.20395001387886</v>
      </c>
      <c r="E3010" s="0" t="str">
        <f aca="false">IF(OR(AND($B$9="superior",D3010&gt;$B$10),AND($B$9="inferior",D3010&lt;-$B$10)),"Rechazar H0","No rechazar H0")</f>
        <v>Rechazar H0</v>
      </c>
      <c r="F3010" s="0" t="str">
        <f aca="false">IF(AND(B3010="H0 verdadera",E3010="Rechazar H0"),"Error tipo I",IF(AND(B3010="Ha verdadera",E3010="No rechazar H0"),"Error tipo II","Decisión correcta"))</f>
        <v>Decisión correcta</v>
      </c>
    </row>
    <row r="3011" customFormat="false" ht="15" hidden="false" customHeight="false" outlineLevel="0" collapsed="false">
      <c r="A3011" s="0" t="n">
        <v>2990</v>
      </c>
      <c r="B3011" s="0" t="s">
        <v>85</v>
      </c>
      <c r="C3011" s="17" t="n">
        <v>-0.147559465724195</v>
      </c>
      <c r="D3011" s="17" t="n">
        <f aca="false">(C3011-$B$4)/($B$6/SQRT($B$7))</f>
        <v>-0.737797328620973</v>
      </c>
      <c r="E3011" s="0" t="str">
        <f aca="false">IF(OR(AND($B$9="superior",D3011&gt;$B$10),AND($B$9="inferior",D3011&lt;-$B$10)),"Rechazar H0","No rechazar H0")</f>
        <v>No rechazar H0</v>
      </c>
      <c r="F3011" s="0" t="str">
        <f aca="false">IF(AND(B3011="H0 verdadera",E3011="Rechazar H0"),"Error tipo I",IF(AND(B3011="Ha verdadera",E3011="No rechazar H0"),"Error tipo II","Decisión correcta"))</f>
        <v>Decisión correcta</v>
      </c>
    </row>
    <row r="3012" customFormat="false" ht="15" hidden="false" customHeight="false" outlineLevel="0" collapsed="false">
      <c r="A3012" s="0" t="n">
        <v>2991</v>
      </c>
      <c r="B3012" s="0" t="s">
        <v>85</v>
      </c>
      <c r="C3012" s="17" t="n">
        <v>0.190098103101654</v>
      </c>
      <c r="D3012" s="17" t="n">
        <f aca="false">(C3012-$B$4)/($B$6/SQRT($B$7))</f>
        <v>0.950490515508271</v>
      </c>
      <c r="E3012" s="0" t="str">
        <f aca="false">IF(OR(AND($B$9="superior",D3012&gt;$B$10),AND($B$9="inferior",D3012&lt;-$B$10)),"Rechazar H0","No rechazar H0")</f>
        <v>No rechazar H0</v>
      </c>
      <c r="F3012" s="0" t="str">
        <f aca="false">IF(AND(B3012="H0 verdadera",E3012="Rechazar H0"),"Error tipo I",IF(AND(B3012="Ha verdadera",E3012="No rechazar H0"),"Error tipo II","Decisión correcta"))</f>
        <v>Decisión correcta</v>
      </c>
    </row>
    <row r="3013" customFormat="false" ht="15" hidden="false" customHeight="false" outlineLevel="0" collapsed="false">
      <c r="A3013" s="0" t="n">
        <v>2992</v>
      </c>
      <c r="B3013" s="0" t="s">
        <v>85</v>
      </c>
      <c r="C3013" s="17" t="n">
        <v>-0.348037937013177</v>
      </c>
      <c r="D3013" s="17" t="n">
        <f aca="false">(C3013-$B$4)/($B$6/SQRT($B$7))</f>
        <v>-1.74018968506588</v>
      </c>
      <c r="E3013" s="0" t="str">
        <f aca="false">IF(OR(AND($B$9="superior",D3013&gt;$B$10),AND($B$9="inferior",D3013&lt;-$B$10)),"Rechazar H0","No rechazar H0")</f>
        <v>Rechazar H0</v>
      </c>
      <c r="F3013" s="0" t="str">
        <f aca="false">IF(AND(B3013="H0 verdadera",E3013="Rechazar H0"),"Error tipo I",IF(AND(B3013="Ha verdadera",E3013="No rechazar H0"),"Error tipo II","Decisión correcta"))</f>
        <v>Error tipo I</v>
      </c>
    </row>
    <row r="3014" customFormat="false" ht="15" hidden="false" customHeight="false" outlineLevel="0" collapsed="false">
      <c r="A3014" s="0" t="n">
        <v>2993</v>
      </c>
      <c r="B3014" s="0" t="s">
        <v>86</v>
      </c>
      <c r="C3014" s="17" t="n">
        <v>-0.211702396158439</v>
      </c>
      <c r="D3014" s="17" t="n">
        <f aca="false">(C3014-$B$4)/($B$6/SQRT($B$7))</f>
        <v>-1.05851198079219</v>
      </c>
      <c r="E3014" s="0" t="str">
        <f aca="false">IF(OR(AND($B$9="superior",D3014&gt;$B$10),AND($B$9="inferior",D3014&lt;-$B$10)),"Rechazar H0","No rechazar H0")</f>
        <v>No rechazar H0</v>
      </c>
      <c r="F3014" s="0" t="str">
        <f aca="false">IF(AND(B3014="H0 verdadera",E3014="Rechazar H0"),"Error tipo I",IF(AND(B3014="Ha verdadera",E3014="No rechazar H0"),"Error tipo II","Decisión correcta"))</f>
        <v>Error tipo II</v>
      </c>
    </row>
    <row r="3015" customFormat="false" ht="15" hidden="false" customHeight="false" outlineLevel="0" collapsed="false">
      <c r="A3015" s="0" t="n">
        <v>2994</v>
      </c>
      <c r="B3015" s="0" t="s">
        <v>86</v>
      </c>
      <c r="C3015" s="17" t="n">
        <v>-0.193265670111596</v>
      </c>
      <c r="D3015" s="17" t="n">
        <f aca="false">(C3015-$B$4)/($B$6/SQRT($B$7))</f>
        <v>-0.96632835055798</v>
      </c>
      <c r="E3015" s="0" t="str">
        <f aca="false">IF(OR(AND($B$9="superior",D3015&gt;$B$10),AND($B$9="inferior",D3015&lt;-$B$10)),"Rechazar H0","No rechazar H0")</f>
        <v>No rechazar H0</v>
      </c>
      <c r="F3015" s="0" t="str">
        <f aca="false">IF(AND(B3015="H0 verdadera",E3015="Rechazar H0"),"Error tipo I",IF(AND(B3015="Ha verdadera",E3015="No rechazar H0"),"Error tipo II","Decisión correcta"))</f>
        <v>Error tipo II</v>
      </c>
    </row>
    <row r="3016" customFormat="false" ht="15" hidden="false" customHeight="false" outlineLevel="0" collapsed="false">
      <c r="A3016" s="0" t="n">
        <v>2995</v>
      </c>
      <c r="B3016" s="0" t="s">
        <v>86</v>
      </c>
      <c r="C3016" s="17" t="n">
        <v>-0.449642863293812</v>
      </c>
      <c r="D3016" s="17" t="n">
        <f aca="false">(C3016-$B$4)/($B$6/SQRT($B$7))</f>
        <v>-2.24821431646906</v>
      </c>
      <c r="E3016" s="0" t="str">
        <f aca="false">IF(OR(AND($B$9="superior",D3016&gt;$B$10),AND($B$9="inferior",D3016&lt;-$B$10)),"Rechazar H0","No rechazar H0")</f>
        <v>Rechazar H0</v>
      </c>
      <c r="F3016" s="0" t="str">
        <f aca="false">IF(AND(B3016="H0 verdadera",E3016="Rechazar H0"),"Error tipo I",IF(AND(B3016="Ha verdadera",E3016="No rechazar H0"),"Error tipo II","Decisión correcta"))</f>
        <v>Decisión correcta</v>
      </c>
    </row>
    <row r="3017" customFormat="false" ht="15" hidden="false" customHeight="false" outlineLevel="0" collapsed="false">
      <c r="A3017" s="0" t="n">
        <v>2996</v>
      </c>
      <c r="B3017" s="0" t="s">
        <v>86</v>
      </c>
      <c r="C3017" s="17" t="n">
        <v>-0.485793510719883</v>
      </c>
      <c r="D3017" s="17" t="n">
        <f aca="false">(C3017-$B$4)/($B$6/SQRT($B$7))</f>
        <v>-2.42896755359942</v>
      </c>
      <c r="E3017" s="0" t="str">
        <f aca="false">IF(OR(AND($B$9="superior",D3017&gt;$B$10),AND($B$9="inferior",D3017&lt;-$B$10)),"Rechazar H0","No rechazar H0")</f>
        <v>Rechazar H0</v>
      </c>
      <c r="F3017" s="0" t="str">
        <f aca="false">IF(AND(B3017="H0 verdadera",E3017="Rechazar H0"),"Error tipo I",IF(AND(B3017="Ha verdadera",E3017="No rechazar H0"),"Error tipo II","Decisión correcta"))</f>
        <v>Decisión correcta</v>
      </c>
    </row>
    <row r="3018" customFormat="false" ht="15" hidden="false" customHeight="false" outlineLevel="0" collapsed="false">
      <c r="A3018" s="0" t="n">
        <v>2997</v>
      </c>
      <c r="B3018" s="0" t="s">
        <v>86</v>
      </c>
      <c r="C3018" s="17" t="n">
        <v>-0.587351485658199</v>
      </c>
      <c r="D3018" s="17" t="n">
        <f aca="false">(C3018-$B$4)/($B$6/SQRT($B$7))</f>
        <v>-2.936757428291</v>
      </c>
      <c r="E3018" s="0" t="str">
        <f aca="false">IF(OR(AND($B$9="superior",D3018&gt;$B$10),AND($B$9="inferior",D3018&lt;-$B$10)),"Rechazar H0","No rechazar H0")</f>
        <v>Rechazar H0</v>
      </c>
      <c r="F3018" s="0" t="str">
        <f aca="false">IF(AND(B3018="H0 verdadera",E3018="Rechazar H0"),"Error tipo I",IF(AND(B3018="Ha verdadera",E3018="No rechazar H0"),"Error tipo II","Decisión correcta"))</f>
        <v>Decisión correcta</v>
      </c>
    </row>
    <row r="3019" customFormat="false" ht="15" hidden="false" customHeight="false" outlineLevel="0" collapsed="false">
      <c r="A3019" s="0" t="n">
        <v>2998</v>
      </c>
      <c r="B3019" s="0" t="s">
        <v>86</v>
      </c>
      <c r="C3019" s="17" t="n">
        <v>-0.248949236571256</v>
      </c>
      <c r="D3019" s="17" t="n">
        <f aca="false">(C3019-$B$4)/($B$6/SQRT($B$7))</f>
        <v>-1.24474618285628</v>
      </c>
      <c r="E3019" s="0" t="str">
        <f aca="false">IF(OR(AND($B$9="superior",D3019&gt;$B$10),AND($B$9="inferior",D3019&lt;-$B$10)),"Rechazar H0","No rechazar H0")</f>
        <v>No rechazar H0</v>
      </c>
      <c r="F3019" s="0" t="str">
        <f aca="false">IF(AND(B3019="H0 verdadera",E3019="Rechazar H0"),"Error tipo I",IF(AND(B3019="Ha verdadera",E3019="No rechazar H0"),"Error tipo II","Decisión correcta"))</f>
        <v>Error tipo II</v>
      </c>
    </row>
    <row r="3020" customFormat="false" ht="15" hidden="false" customHeight="false" outlineLevel="0" collapsed="false">
      <c r="A3020" s="0" t="n">
        <v>2999</v>
      </c>
      <c r="B3020" s="0" t="s">
        <v>86</v>
      </c>
      <c r="C3020" s="17" t="n">
        <v>-0.617704548104889</v>
      </c>
      <c r="D3020" s="17" t="n">
        <f aca="false">(C3020-$B$4)/($B$6/SQRT($B$7))</f>
        <v>-3.08852274052444</v>
      </c>
      <c r="E3020" s="0" t="str">
        <f aca="false">IF(OR(AND($B$9="superior",D3020&gt;$B$10),AND($B$9="inferior",D3020&lt;-$B$10)),"Rechazar H0","No rechazar H0")</f>
        <v>Rechazar H0</v>
      </c>
      <c r="F3020" s="0" t="str">
        <f aca="false">IF(AND(B3020="H0 verdadera",E3020="Rechazar H0"),"Error tipo I",IF(AND(B3020="Ha verdadera",E3020="No rechazar H0"),"Error tipo II","Decisión correcta"))</f>
        <v>Decisión correcta</v>
      </c>
    </row>
    <row r="3021" customFormat="false" ht="15" hidden="false" customHeight="false" outlineLevel="0" collapsed="false">
      <c r="A3021" s="0" t="n">
        <v>3000</v>
      </c>
      <c r="B3021" s="0" t="s">
        <v>86</v>
      </c>
      <c r="C3021" s="17" t="n">
        <v>-0.605468785389766</v>
      </c>
      <c r="D3021" s="17" t="n">
        <f aca="false">(C3021-$B$4)/($B$6/SQRT($B$7))</f>
        <v>-3.02734392694883</v>
      </c>
      <c r="E3021" s="0" t="str">
        <f aca="false">IF(OR(AND($B$9="superior",D3021&gt;$B$10),AND($B$9="inferior",D3021&lt;-$B$10)),"Rechazar H0","No rechazar H0")</f>
        <v>Rechazar H0</v>
      </c>
      <c r="F3021" s="0" t="str">
        <f aca="false">IF(AND(B3021="H0 verdadera",E3021="Rechazar H0"),"Error tipo I",IF(AND(B3021="Ha verdadera",E3021="No rechazar H0"),"Error tipo II","Decisión correcta"))</f>
        <v>Decisión correcta</v>
      </c>
    </row>
    <row r="3022" customFormat="false" ht="15" hidden="false" customHeight="false" outlineLevel="0" collapsed="false">
      <c r="A3022" s="0" t="n">
        <v>3001</v>
      </c>
      <c r="B3022" s="0" t="s">
        <v>85</v>
      </c>
      <c r="C3022" s="17" t="n">
        <v>0.18636439851292</v>
      </c>
      <c r="D3022" s="17" t="n">
        <f aca="false">(C3022-$B$4)/($B$6/SQRT($B$7))</f>
        <v>0.931821992564602</v>
      </c>
      <c r="E3022" s="0" t="str">
        <f aca="false">IF(OR(AND($B$9="superior",D3022&gt;$B$10),AND($B$9="inferior",D3022&lt;-$B$10)),"Rechazar H0","No rechazar H0")</f>
        <v>No rechazar H0</v>
      </c>
      <c r="F3022" s="0" t="str">
        <f aca="false">IF(AND(B3022="H0 verdadera",E3022="Rechazar H0"),"Error tipo I",IF(AND(B3022="Ha verdadera",E3022="No rechazar H0"),"Error tipo II","Decisión correcta"))</f>
        <v>Decisión correcta</v>
      </c>
    </row>
    <row r="3023" customFormat="false" ht="15" hidden="false" customHeight="false" outlineLevel="0" collapsed="false">
      <c r="A3023" s="0" t="n">
        <v>3002</v>
      </c>
      <c r="B3023" s="0" t="s">
        <v>85</v>
      </c>
      <c r="C3023" s="17" t="n">
        <v>0.0389663805621488</v>
      </c>
      <c r="D3023" s="17" t="n">
        <f aca="false">(C3023-$B$4)/($B$6/SQRT($B$7))</f>
        <v>0.194831902810744</v>
      </c>
      <c r="E3023" s="0" t="str">
        <f aca="false">IF(OR(AND($B$9="superior",D3023&gt;$B$10),AND($B$9="inferior",D3023&lt;-$B$10)),"Rechazar H0","No rechazar H0")</f>
        <v>No rechazar H0</v>
      </c>
      <c r="F3023" s="0" t="str">
        <f aca="false">IF(AND(B3023="H0 verdadera",E3023="Rechazar H0"),"Error tipo I",IF(AND(B3023="Ha verdadera",E3023="No rechazar H0"),"Error tipo II","Decisión correcta"))</f>
        <v>Decisión correcta</v>
      </c>
    </row>
    <row r="3024" customFormat="false" ht="15" hidden="false" customHeight="false" outlineLevel="0" collapsed="false">
      <c r="A3024" s="0" t="n">
        <v>3003</v>
      </c>
      <c r="B3024" s="0" t="s">
        <v>85</v>
      </c>
      <c r="C3024" s="17" t="n">
        <v>0.467093707332865</v>
      </c>
      <c r="D3024" s="17" t="n">
        <f aca="false">(C3024-$B$4)/($B$6/SQRT($B$7))</f>
        <v>2.33546853666433</v>
      </c>
      <c r="E3024" s="0" t="str">
        <f aca="false">IF(OR(AND($B$9="superior",D3024&gt;$B$10),AND($B$9="inferior",D3024&lt;-$B$10)),"Rechazar H0","No rechazar H0")</f>
        <v>No rechazar H0</v>
      </c>
      <c r="F3024" s="0" t="str">
        <f aca="false">IF(AND(B3024="H0 verdadera",E3024="Rechazar H0"),"Error tipo I",IF(AND(B3024="Ha verdadera",E3024="No rechazar H0"),"Error tipo II","Decisión correcta"))</f>
        <v>Decisión correcta</v>
      </c>
    </row>
    <row r="3025" customFormat="false" ht="15" hidden="false" customHeight="false" outlineLevel="0" collapsed="false">
      <c r="A3025" s="0" t="n">
        <v>3004</v>
      </c>
      <c r="B3025" s="0" t="s">
        <v>85</v>
      </c>
      <c r="C3025" s="17" t="n">
        <v>-0.0410829561494703</v>
      </c>
      <c r="D3025" s="17" t="n">
        <f aca="false">(C3025-$B$4)/($B$6/SQRT($B$7))</f>
        <v>-0.205414780747351</v>
      </c>
      <c r="E3025" s="0" t="str">
        <f aca="false">IF(OR(AND($B$9="superior",D3025&gt;$B$10),AND($B$9="inferior",D3025&lt;-$B$10)),"Rechazar H0","No rechazar H0")</f>
        <v>No rechazar H0</v>
      </c>
      <c r="F3025" s="0" t="str">
        <f aca="false">IF(AND(B3025="H0 verdadera",E3025="Rechazar H0"),"Error tipo I",IF(AND(B3025="Ha verdadera",E3025="No rechazar H0"),"Error tipo II","Decisión correcta"))</f>
        <v>Decisión correcta</v>
      </c>
    </row>
    <row r="3026" customFormat="false" ht="15" hidden="false" customHeight="false" outlineLevel="0" collapsed="false">
      <c r="A3026" s="0" t="n">
        <v>3005</v>
      </c>
      <c r="B3026" s="0" t="s">
        <v>86</v>
      </c>
      <c r="C3026" s="17" t="n">
        <v>-0.071825201212797</v>
      </c>
      <c r="D3026" s="17" t="n">
        <f aca="false">(C3026-$B$4)/($B$6/SQRT($B$7))</f>
        <v>-0.359126006063985</v>
      </c>
      <c r="E3026" s="0" t="str">
        <f aca="false">IF(OR(AND($B$9="superior",D3026&gt;$B$10),AND($B$9="inferior",D3026&lt;-$B$10)),"Rechazar H0","No rechazar H0")</f>
        <v>No rechazar H0</v>
      </c>
      <c r="F3026" s="0" t="str">
        <f aca="false">IF(AND(B3026="H0 verdadera",E3026="Rechazar H0"),"Error tipo I",IF(AND(B3026="Ha verdadera",E3026="No rechazar H0"),"Error tipo II","Decisión correcta"))</f>
        <v>Error tipo II</v>
      </c>
    </row>
    <row r="3027" customFormat="false" ht="15" hidden="false" customHeight="false" outlineLevel="0" collapsed="false">
      <c r="A3027" s="0" t="n">
        <v>3006</v>
      </c>
      <c r="B3027" s="0" t="s">
        <v>85</v>
      </c>
      <c r="C3027" s="17" t="n">
        <v>-0.213977296180336</v>
      </c>
      <c r="D3027" s="17" t="n">
        <f aca="false">(C3027-$B$4)/($B$6/SQRT($B$7))</f>
        <v>-1.06988648090168</v>
      </c>
      <c r="E3027" s="0" t="str">
        <f aca="false">IF(OR(AND($B$9="superior",D3027&gt;$B$10),AND($B$9="inferior",D3027&lt;-$B$10)),"Rechazar H0","No rechazar H0")</f>
        <v>No rechazar H0</v>
      </c>
      <c r="F3027" s="0" t="str">
        <f aca="false">IF(AND(B3027="H0 verdadera",E3027="Rechazar H0"),"Error tipo I",IF(AND(B3027="Ha verdadera",E3027="No rechazar H0"),"Error tipo II","Decisión correcta"))</f>
        <v>Decisión correcta</v>
      </c>
    </row>
    <row r="3028" customFormat="false" ht="15" hidden="false" customHeight="false" outlineLevel="0" collapsed="false">
      <c r="A3028" s="0" t="n">
        <v>3007</v>
      </c>
      <c r="B3028" s="0" t="s">
        <v>86</v>
      </c>
      <c r="C3028" s="17" t="n">
        <v>-0.56365715583315</v>
      </c>
      <c r="D3028" s="17" t="n">
        <f aca="false">(C3028-$B$4)/($B$6/SQRT($B$7))</f>
        <v>-2.81828577916575</v>
      </c>
      <c r="E3028" s="0" t="str">
        <f aca="false">IF(OR(AND($B$9="superior",D3028&gt;$B$10),AND($B$9="inferior",D3028&lt;-$B$10)),"Rechazar H0","No rechazar H0")</f>
        <v>Rechazar H0</v>
      </c>
      <c r="F3028" s="0" t="str">
        <f aca="false">IF(AND(B3028="H0 verdadera",E3028="Rechazar H0"),"Error tipo I",IF(AND(B3028="Ha verdadera",E3028="No rechazar H0"),"Error tipo II","Decisión correcta"))</f>
        <v>Decisión correcta</v>
      </c>
    </row>
    <row r="3029" customFormat="false" ht="15" hidden="false" customHeight="false" outlineLevel="0" collapsed="false">
      <c r="A3029" s="0" t="n">
        <v>3008</v>
      </c>
      <c r="B3029" s="0" t="s">
        <v>85</v>
      </c>
      <c r="C3029" s="17" t="n">
        <v>0.0367286525745106</v>
      </c>
      <c r="D3029" s="17" t="n">
        <f aca="false">(C3029-$B$4)/($B$6/SQRT($B$7))</f>
        <v>0.183643262872553</v>
      </c>
      <c r="E3029" s="0" t="str">
        <f aca="false">IF(OR(AND($B$9="superior",D3029&gt;$B$10),AND($B$9="inferior",D3029&lt;-$B$10)),"Rechazar H0","No rechazar H0")</f>
        <v>No rechazar H0</v>
      </c>
      <c r="F3029" s="0" t="str">
        <f aca="false">IF(AND(B3029="H0 verdadera",E3029="Rechazar H0"),"Error tipo I",IF(AND(B3029="Ha verdadera",E3029="No rechazar H0"),"Error tipo II","Decisión correcta"))</f>
        <v>Decisión correcta</v>
      </c>
    </row>
    <row r="3030" customFormat="false" ht="15" hidden="false" customHeight="false" outlineLevel="0" collapsed="false">
      <c r="A3030" s="0" t="n">
        <v>3009</v>
      </c>
      <c r="B3030" s="0" t="s">
        <v>85</v>
      </c>
      <c r="C3030" s="17" t="n">
        <v>-0.042542931917244</v>
      </c>
      <c r="D3030" s="17" t="n">
        <f aca="false">(C3030-$B$4)/($B$6/SQRT($B$7))</f>
        <v>-0.21271465958622</v>
      </c>
      <c r="E3030" s="0" t="str">
        <f aca="false">IF(OR(AND($B$9="superior",D3030&gt;$B$10),AND($B$9="inferior",D3030&lt;-$B$10)),"Rechazar H0","No rechazar H0")</f>
        <v>No rechazar H0</v>
      </c>
      <c r="F3030" s="0" t="str">
        <f aca="false">IF(AND(B3030="H0 verdadera",E3030="Rechazar H0"),"Error tipo I",IF(AND(B3030="Ha verdadera",E3030="No rechazar H0"),"Error tipo II","Decisión correcta"))</f>
        <v>Decisión correcta</v>
      </c>
    </row>
    <row r="3031" customFormat="false" ht="15" hidden="false" customHeight="false" outlineLevel="0" collapsed="false">
      <c r="A3031" s="0" t="n">
        <v>3010</v>
      </c>
      <c r="B3031" s="0" t="s">
        <v>85</v>
      </c>
      <c r="C3031" s="17" t="n">
        <v>-0.291807082334793</v>
      </c>
      <c r="D3031" s="17" t="n">
        <f aca="false">(C3031-$B$4)/($B$6/SQRT($B$7))</f>
        <v>-1.45903541167397</v>
      </c>
      <c r="E3031" s="0" t="str">
        <f aca="false">IF(OR(AND($B$9="superior",D3031&gt;$B$10),AND($B$9="inferior",D3031&lt;-$B$10)),"Rechazar H0","No rechazar H0")</f>
        <v>No rechazar H0</v>
      </c>
      <c r="F3031" s="0" t="str">
        <f aca="false">IF(AND(B3031="H0 verdadera",E3031="Rechazar H0"),"Error tipo I",IF(AND(B3031="Ha verdadera",E3031="No rechazar H0"),"Error tipo II","Decisión correcta"))</f>
        <v>Decisión correcta</v>
      </c>
    </row>
    <row r="3032" customFormat="false" ht="15" hidden="false" customHeight="false" outlineLevel="0" collapsed="false">
      <c r="A3032" s="0" t="n">
        <v>3011</v>
      </c>
      <c r="B3032" s="0" t="s">
        <v>85</v>
      </c>
      <c r="C3032" s="17" t="n">
        <v>0.10648640462125</v>
      </c>
      <c r="D3032" s="17" t="n">
        <f aca="false">(C3032-$B$4)/($B$6/SQRT($B$7))</f>
        <v>0.532432023106251</v>
      </c>
      <c r="E3032" s="0" t="str">
        <f aca="false">IF(OR(AND($B$9="superior",D3032&gt;$B$10),AND($B$9="inferior",D3032&lt;-$B$10)),"Rechazar H0","No rechazar H0")</f>
        <v>No rechazar H0</v>
      </c>
      <c r="F3032" s="0" t="str">
        <f aca="false">IF(AND(B3032="H0 verdadera",E3032="Rechazar H0"),"Error tipo I",IF(AND(B3032="Ha verdadera",E3032="No rechazar H0"),"Error tipo II","Decisión correcta"))</f>
        <v>Decisión correcta</v>
      </c>
    </row>
    <row r="3033" customFormat="false" ht="15" hidden="false" customHeight="false" outlineLevel="0" collapsed="false">
      <c r="A3033" s="0" t="n">
        <v>3012</v>
      </c>
      <c r="B3033" s="0" t="s">
        <v>85</v>
      </c>
      <c r="C3033" s="17" t="n">
        <v>-0.0268630026713825</v>
      </c>
      <c r="D3033" s="17" t="n">
        <f aca="false">(C3033-$B$4)/($B$6/SQRT($B$7))</f>
        <v>-0.134315013356912</v>
      </c>
      <c r="E3033" s="0" t="str">
        <f aca="false">IF(OR(AND($B$9="superior",D3033&gt;$B$10),AND($B$9="inferior",D3033&lt;-$B$10)),"Rechazar H0","No rechazar H0")</f>
        <v>No rechazar H0</v>
      </c>
      <c r="F3033" s="0" t="str">
        <f aca="false">IF(AND(B3033="H0 verdadera",E3033="Rechazar H0"),"Error tipo I",IF(AND(B3033="Ha verdadera",E3033="No rechazar H0"),"Error tipo II","Decisión correcta"))</f>
        <v>Decisión correcta</v>
      </c>
    </row>
    <row r="3034" customFormat="false" ht="15" hidden="false" customHeight="false" outlineLevel="0" collapsed="false">
      <c r="A3034" s="0" t="n">
        <v>3013</v>
      </c>
      <c r="B3034" s="0" t="s">
        <v>85</v>
      </c>
      <c r="C3034" s="17" t="n">
        <v>0.152634262919575</v>
      </c>
      <c r="D3034" s="17" t="n">
        <f aca="false">(C3034-$B$4)/($B$6/SQRT($B$7))</f>
        <v>0.763171314597873</v>
      </c>
      <c r="E3034" s="0" t="str">
        <f aca="false">IF(OR(AND($B$9="superior",D3034&gt;$B$10),AND($B$9="inferior",D3034&lt;-$B$10)),"Rechazar H0","No rechazar H0")</f>
        <v>No rechazar H0</v>
      </c>
      <c r="F3034" s="0" t="str">
        <f aca="false">IF(AND(B3034="H0 verdadera",E3034="Rechazar H0"),"Error tipo I",IF(AND(B3034="Ha verdadera",E3034="No rechazar H0"),"Error tipo II","Decisión correcta"))</f>
        <v>Decisión correcta</v>
      </c>
    </row>
    <row r="3035" customFormat="false" ht="15" hidden="false" customHeight="false" outlineLevel="0" collapsed="false">
      <c r="A3035" s="0" t="n">
        <v>3014</v>
      </c>
      <c r="B3035" s="0" t="s">
        <v>85</v>
      </c>
      <c r="C3035" s="17" t="n">
        <v>-0.348254774151969</v>
      </c>
      <c r="D3035" s="17" t="n">
        <f aca="false">(C3035-$B$4)/($B$6/SQRT($B$7))</f>
        <v>-1.74127387075984</v>
      </c>
      <c r="E3035" s="0" t="str">
        <f aca="false">IF(OR(AND($B$9="superior",D3035&gt;$B$10),AND($B$9="inferior",D3035&lt;-$B$10)),"Rechazar H0","No rechazar H0")</f>
        <v>Rechazar H0</v>
      </c>
      <c r="F3035" s="0" t="str">
        <f aca="false">IF(AND(B3035="H0 verdadera",E3035="Rechazar H0"),"Error tipo I",IF(AND(B3035="Ha verdadera",E3035="No rechazar H0"),"Error tipo II","Decisión correcta"))</f>
        <v>Error tipo I</v>
      </c>
    </row>
    <row r="3036" customFormat="false" ht="15" hidden="false" customHeight="false" outlineLevel="0" collapsed="false">
      <c r="A3036" s="0" t="n">
        <v>3015</v>
      </c>
      <c r="B3036" s="0" t="s">
        <v>86</v>
      </c>
      <c r="C3036" s="17" t="n">
        <v>-0.14899071425966</v>
      </c>
      <c r="D3036" s="17" t="n">
        <f aca="false">(C3036-$B$4)/($B$6/SQRT($B$7))</f>
        <v>-0.744953571298302</v>
      </c>
      <c r="E3036" s="0" t="str">
        <f aca="false">IF(OR(AND($B$9="superior",D3036&gt;$B$10),AND($B$9="inferior",D3036&lt;-$B$10)),"Rechazar H0","No rechazar H0")</f>
        <v>No rechazar H0</v>
      </c>
      <c r="F3036" s="0" t="str">
        <f aca="false">IF(AND(B3036="H0 verdadera",E3036="Rechazar H0"),"Error tipo I",IF(AND(B3036="Ha verdadera",E3036="No rechazar H0"),"Error tipo II","Decisión correcta"))</f>
        <v>Error tipo II</v>
      </c>
    </row>
    <row r="3037" customFormat="false" ht="15" hidden="false" customHeight="false" outlineLevel="0" collapsed="false">
      <c r="A3037" s="0" t="n">
        <v>3016</v>
      </c>
      <c r="B3037" s="0" t="s">
        <v>85</v>
      </c>
      <c r="C3037" s="17" t="n">
        <v>0.0535670439557636</v>
      </c>
      <c r="D3037" s="17" t="n">
        <f aca="false">(C3037-$B$4)/($B$6/SQRT($B$7))</f>
        <v>0.267835219778818</v>
      </c>
      <c r="E3037" s="0" t="str">
        <f aca="false">IF(OR(AND($B$9="superior",D3037&gt;$B$10),AND($B$9="inferior",D3037&lt;-$B$10)),"Rechazar H0","No rechazar H0")</f>
        <v>No rechazar H0</v>
      </c>
      <c r="F3037" s="0" t="str">
        <f aca="false">IF(AND(B3037="H0 verdadera",E3037="Rechazar H0"),"Error tipo I",IF(AND(B3037="Ha verdadera",E3037="No rechazar H0"),"Error tipo II","Decisión correcta"))</f>
        <v>Decisión correcta</v>
      </c>
    </row>
    <row r="3038" customFormat="false" ht="15" hidden="false" customHeight="false" outlineLevel="0" collapsed="false">
      <c r="A3038" s="0" t="n">
        <v>3017</v>
      </c>
      <c r="B3038" s="0" t="s">
        <v>85</v>
      </c>
      <c r="C3038" s="17" t="n">
        <v>0.095622730590511</v>
      </c>
      <c r="D3038" s="17" t="n">
        <f aca="false">(C3038-$B$4)/($B$6/SQRT($B$7))</f>
        <v>0.478113652952555</v>
      </c>
      <c r="E3038" s="0" t="str">
        <f aca="false">IF(OR(AND($B$9="superior",D3038&gt;$B$10),AND($B$9="inferior",D3038&lt;-$B$10)),"Rechazar H0","No rechazar H0")</f>
        <v>No rechazar H0</v>
      </c>
      <c r="F3038" s="0" t="str">
        <f aca="false">IF(AND(B3038="H0 verdadera",E3038="Rechazar H0"),"Error tipo I",IF(AND(B3038="Ha verdadera",E3038="No rechazar H0"),"Error tipo II","Decisión correcta"))</f>
        <v>Decisión correcta</v>
      </c>
    </row>
    <row r="3039" customFormat="false" ht="15" hidden="false" customHeight="false" outlineLevel="0" collapsed="false">
      <c r="A3039" s="0" t="n">
        <v>3018</v>
      </c>
      <c r="B3039" s="0" t="s">
        <v>86</v>
      </c>
      <c r="C3039" s="17" t="n">
        <v>-0.0931582010250239</v>
      </c>
      <c r="D3039" s="17" t="n">
        <f aca="false">(C3039-$B$4)/($B$6/SQRT($B$7))</f>
        <v>-0.465791005125119</v>
      </c>
      <c r="E3039" s="0" t="str">
        <f aca="false">IF(OR(AND($B$9="superior",D3039&gt;$B$10),AND($B$9="inferior",D3039&lt;-$B$10)),"Rechazar H0","No rechazar H0")</f>
        <v>No rechazar H0</v>
      </c>
      <c r="F3039" s="0" t="str">
        <f aca="false">IF(AND(B3039="H0 verdadera",E3039="Rechazar H0"),"Error tipo I",IF(AND(B3039="Ha verdadera",E3039="No rechazar H0"),"Error tipo II","Decisión correcta"))</f>
        <v>Error tipo II</v>
      </c>
    </row>
    <row r="3040" customFormat="false" ht="15" hidden="false" customHeight="false" outlineLevel="0" collapsed="false">
      <c r="A3040" s="0" t="n">
        <v>3019</v>
      </c>
      <c r="B3040" s="0" t="s">
        <v>86</v>
      </c>
      <c r="C3040" s="17" t="n">
        <v>-0.465730805365244</v>
      </c>
      <c r="D3040" s="17" t="n">
        <f aca="false">(C3040-$B$4)/($B$6/SQRT($B$7))</f>
        <v>-2.32865402682622</v>
      </c>
      <c r="E3040" s="0" t="str">
        <f aca="false">IF(OR(AND($B$9="superior",D3040&gt;$B$10),AND($B$9="inferior",D3040&lt;-$B$10)),"Rechazar H0","No rechazar H0")</f>
        <v>Rechazar H0</v>
      </c>
      <c r="F3040" s="0" t="str">
        <f aca="false">IF(AND(B3040="H0 verdadera",E3040="Rechazar H0"),"Error tipo I",IF(AND(B3040="Ha verdadera",E3040="No rechazar H0"),"Error tipo II","Decisión correcta"))</f>
        <v>Decisión correcta</v>
      </c>
    </row>
    <row r="3041" customFormat="false" ht="15" hidden="false" customHeight="false" outlineLevel="0" collapsed="false">
      <c r="A3041" s="0" t="n">
        <v>3020</v>
      </c>
      <c r="B3041" s="0" t="s">
        <v>86</v>
      </c>
      <c r="C3041" s="17" t="n">
        <v>-0.551634962737012</v>
      </c>
      <c r="D3041" s="17" t="n">
        <f aca="false">(C3041-$B$4)/($B$6/SQRT($B$7))</f>
        <v>-2.75817481368506</v>
      </c>
      <c r="E3041" s="0" t="str">
        <f aca="false">IF(OR(AND($B$9="superior",D3041&gt;$B$10),AND($B$9="inferior",D3041&lt;-$B$10)),"Rechazar H0","No rechazar H0")</f>
        <v>Rechazar H0</v>
      </c>
      <c r="F3041" s="0" t="str">
        <f aca="false">IF(AND(B3041="H0 verdadera",E3041="Rechazar H0"),"Error tipo I",IF(AND(B3041="Ha verdadera",E3041="No rechazar H0"),"Error tipo II","Decisión correcta"))</f>
        <v>Decisión correcta</v>
      </c>
    </row>
    <row r="3042" customFormat="false" ht="15" hidden="false" customHeight="false" outlineLevel="0" collapsed="false">
      <c r="A3042" s="0" t="n">
        <v>3021</v>
      </c>
      <c r="B3042" s="0" t="s">
        <v>85</v>
      </c>
      <c r="C3042" s="17" t="n">
        <v>0.280436906435636</v>
      </c>
      <c r="D3042" s="17" t="n">
        <f aca="false">(C3042-$B$4)/($B$6/SQRT($B$7))</f>
        <v>1.40218453217818</v>
      </c>
      <c r="E3042" s="0" t="str">
        <f aca="false">IF(OR(AND($B$9="superior",D3042&gt;$B$10),AND($B$9="inferior",D3042&lt;-$B$10)),"Rechazar H0","No rechazar H0")</f>
        <v>No rechazar H0</v>
      </c>
      <c r="F3042" s="0" t="str">
        <f aca="false">IF(AND(B3042="H0 verdadera",E3042="Rechazar H0"),"Error tipo I",IF(AND(B3042="Ha verdadera",E3042="No rechazar H0"),"Error tipo II","Decisión correcta"))</f>
        <v>Decisión correcta</v>
      </c>
    </row>
    <row r="3043" customFormat="false" ht="15" hidden="false" customHeight="false" outlineLevel="0" collapsed="false">
      <c r="A3043" s="0" t="n">
        <v>3022</v>
      </c>
      <c r="B3043" s="0" t="s">
        <v>85</v>
      </c>
      <c r="C3043" s="17" t="n">
        <v>0.0766784846018945</v>
      </c>
      <c r="D3043" s="17" t="n">
        <f aca="false">(C3043-$B$4)/($B$6/SQRT($B$7))</f>
        <v>0.383392423009472</v>
      </c>
      <c r="E3043" s="0" t="str">
        <f aca="false">IF(OR(AND($B$9="superior",D3043&gt;$B$10),AND($B$9="inferior",D3043&lt;-$B$10)),"Rechazar H0","No rechazar H0")</f>
        <v>No rechazar H0</v>
      </c>
      <c r="F3043" s="0" t="str">
        <f aca="false">IF(AND(B3043="H0 verdadera",E3043="Rechazar H0"),"Error tipo I",IF(AND(B3043="Ha verdadera",E3043="No rechazar H0"),"Error tipo II","Decisión correcta"))</f>
        <v>Decisión correcta</v>
      </c>
    </row>
    <row r="3044" customFormat="false" ht="15" hidden="false" customHeight="false" outlineLevel="0" collapsed="false">
      <c r="A3044" s="0" t="n">
        <v>3023</v>
      </c>
      <c r="B3044" s="0" t="s">
        <v>85</v>
      </c>
      <c r="C3044" s="17" t="n">
        <v>-0.143829697560265</v>
      </c>
      <c r="D3044" s="17" t="n">
        <f aca="false">(C3044-$B$4)/($B$6/SQRT($B$7))</f>
        <v>-0.719148487801326</v>
      </c>
      <c r="E3044" s="0" t="str">
        <f aca="false">IF(OR(AND($B$9="superior",D3044&gt;$B$10),AND($B$9="inferior",D3044&lt;-$B$10)),"Rechazar H0","No rechazar H0")</f>
        <v>No rechazar H0</v>
      </c>
      <c r="F3044" s="0" t="str">
        <f aca="false">IF(AND(B3044="H0 verdadera",E3044="Rechazar H0"),"Error tipo I",IF(AND(B3044="Ha verdadera",E3044="No rechazar H0"),"Error tipo II","Decisión correcta"))</f>
        <v>Decisión correcta</v>
      </c>
    </row>
    <row r="3045" customFormat="false" ht="15" hidden="false" customHeight="false" outlineLevel="0" collapsed="false">
      <c r="A3045" s="0" t="n">
        <v>3024</v>
      </c>
      <c r="B3045" s="0" t="s">
        <v>86</v>
      </c>
      <c r="C3045" s="17" t="n">
        <v>-0.905677194343862</v>
      </c>
      <c r="D3045" s="17" t="n">
        <f aca="false">(C3045-$B$4)/($B$6/SQRT($B$7))</f>
        <v>-4.52838597171931</v>
      </c>
      <c r="E3045" s="0" t="str">
        <f aca="false">IF(OR(AND($B$9="superior",D3045&gt;$B$10),AND($B$9="inferior",D3045&lt;-$B$10)),"Rechazar H0","No rechazar H0")</f>
        <v>Rechazar H0</v>
      </c>
      <c r="F3045" s="0" t="str">
        <f aca="false">IF(AND(B3045="H0 verdadera",E3045="Rechazar H0"),"Error tipo I",IF(AND(B3045="Ha verdadera",E3045="No rechazar H0"),"Error tipo II","Decisión correcta"))</f>
        <v>Decisión correcta</v>
      </c>
    </row>
    <row r="3046" customFormat="false" ht="15" hidden="false" customHeight="false" outlineLevel="0" collapsed="false">
      <c r="A3046" s="0" t="n">
        <v>3025</v>
      </c>
      <c r="B3046" s="0" t="s">
        <v>85</v>
      </c>
      <c r="C3046" s="17" t="n">
        <v>-0.052581427925133</v>
      </c>
      <c r="D3046" s="17" t="n">
        <f aca="false">(C3046-$B$4)/($B$6/SQRT($B$7))</f>
        <v>-0.262907139625665</v>
      </c>
      <c r="E3046" s="0" t="str">
        <f aca="false">IF(OR(AND($B$9="superior",D3046&gt;$B$10),AND($B$9="inferior",D3046&lt;-$B$10)),"Rechazar H0","No rechazar H0")</f>
        <v>No rechazar H0</v>
      </c>
      <c r="F3046" s="0" t="str">
        <f aca="false">IF(AND(B3046="H0 verdadera",E3046="Rechazar H0"),"Error tipo I",IF(AND(B3046="Ha verdadera",E3046="No rechazar H0"),"Error tipo II","Decisión correcta"))</f>
        <v>Decisión correcta</v>
      </c>
    </row>
    <row r="3047" customFormat="false" ht="15" hidden="false" customHeight="false" outlineLevel="0" collapsed="false">
      <c r="A3047" s="0" t="n">
        <v>3026</v>
      </c>
      <c r="B3047" s="0" t="s">
        <v>86</v>
      </c>
      <c r="C3047" s="17" t="n">
        <v>-0.699443360950684</v>
      </c>
      <c r="D3047" s="17" t="n">
        <f aca="false">(C3047-$B$4)/($B$6/SQRT($B$7))</f>
        <v>-3.49721680475342</v>
      </c>
      <c r="E3047" s="0" t="str">
        <f aca="false">IF(OR(AND($B$9="superior",D3047&gt;$B$10),AND($B$9="inferior",D3047&lt;-$B$10)),"Rechazar H0","No rechazar H0")</f>
        <v>Rechazar H0</v>
      </c>
      <c r="F3047" s="0" t="str">
        <f aca="false">IF(AND(B3047="H0 verdadera",E3047="Rechazar H0"),"Error tipo I",IF(AND(B3047="Ha verdadera",E3047="No rechazar H0"),"Error tipo II","Decisión correcta"))</f>
        <v>Decisión correcta</v>
      </c>
    </row>
    <row r="3048" customFormat="false" ht="15" hidden="false" customHeight="false" outlineLevel="0" collapsed="false">
      <c r="A3048" s="0" t="n">
        <v>3027</v>
      </c>
      <c r="B3048" s="0" t="s">
        <v>85</v>
      </c>
      <c r="C3048" s="17" t="n">
        <v>-0.239173111218685</v>
      </c>
      <c r="D3048" s="17" t="n">
        <f aca="false">(C3048-$B$4)/($B$6/SQRT($B$7))</f>
        <v>-1.19586555609343</v>
      </c>
      <c r="E3048" s="0" t="str">
        <f aca="false">IF(OR(AND($B$9="superior",D3048&gt;$B$10),AND($B$9="inferior",D3048&lt;-$B$10)),"Rechazar H0","No rechazar H0")</f>
        <v>No rechazar H0</v>
      </c>
      <c r="F3048" s="0" t="str">
        <f aca="false">IF(AND(B3048="H0 verdadera",E3048="Rechazar H0"),"Error tipo I",IF(AND(B3048="Ha verdadera",E3048="No rechazar H0"),"Error tipo II","Decisión correcta"))</f>
        <v>Decisión correcta</v>
      </c>
    </row>
    <row r="3049" customFormat="false" ht="15" hidden="false" customHeight="false" outlineLevel="0" collapsed="false">
      <c r="A3049" s="0" t="n">
        <v>3028</v>
      </c>
      <c r="B3049" s="0" t="s">
        <v>86</v>
      </c>
      <c r="C3049" s="17" t="n">
        <v>-0.276087018893495</v>
      </c>
      <c r="D3049" s="17" t="n">
        <f aca="false">(C3049-$B$4)/($B$6/SQRT($B$7))</f>
        <v>-1.38043509446747</v>
      </c>
      <c r="E3049" s="0" t="str">
        <f aca="false">IF(OR(AND($B$9="superior",D3049&gt;$B$10),AND($B$9="inferior",D3049&lt;-$B$10)),"Rechazar H0","No rechazar H0")</f>
        <v>No rechazar H0</v>
      </c>
      <c r="F3049" s="0" t="str">
        <f aca="false">IF(AND(B3049="H0 verdadera",E3049="Rechazar H0"),"Error tipo I",IF(AND(B3049="Ha verdadera",E3049="No rechazar H0"),"Error tipo II","Decisión correcta"))</f>
        <v>Error tipo II</v>
      </c>
    </row>
    <row r="3050" customFormat="false" ht="15" hidden="false" customHeight="false" outlineLevel="0" collapsed="false">
      <c r="A3050" s="0" t="n">
        <v>3029</v>
      </c>
      <c r="B3050" s="0" t="s">
        <v>86</v>
      </c>
      <c r="C3050" s="17" t="n">
        <v>-0.271059629184075</v>
      </c>
      <c r="D3050" s="17" t="n">
        <f aca="false">(C3050-$B$4)/($B$6/SQRT($B$7))</f>
        <v>-1.35529814592037</v>
      </c>
      <c r="E3050" s="0" t="str">
        <f aca="false">IF(OR(AND($B$9="superior",D3050&gt;$B$10),AND($B$9="inferior",D3050&lt;-$B$10)),"Rechazar H0","No rechazar H0")</f>
        <v>No rechazar H0</v>
      </c>
      <c r="F3050" s="0" t="str">
        <f aca="false">IF(AND(B3050="H0 verdadera",E3050="Rechazar H0"),"Error tipo I",IF(AND(B3050="Ha verdadera",E3050="No rechazar H0"),"Error tipo II","Decisión correcta"))</f>
        <v>Error tipo II</v>
      </c>
    </row>
    <row r="3051" customFormat="false" ht="15" hidden="false" customHeight="false" outlineLevel="0" collapsed="false">
      <c r="A3051" s="0" t="n">
        <v>3030</v>
      </c>
      <c r="B3051" s="0" t="s">
        <v>86</v>
      </c>
      <c r="C3051" s="17" t="n">
        <v>-0.704780930657047</v>
      </c>
      <c r="D3051" s="17" t="n">
        <f aca="false">(C3051-$B$4)/($B$6/SQRT($B$7))</f>
        <v>-3.52390465328523</v>
      </c>
      <c r="E3051" s="0" t="str">
        <f aca="false">IF(OR(AND($B$9="superior",D3051&gt;$B$10),AND($B$9="inferior",D3051&lt;-$B$10)),"Rechazar H0","No rechazar H0")</f>
        <v>Rechazar H0</v>
      </c>
      <c r="F3051" s="0" t="str">
        <f aca="false">IF(AND(B3051="H0 verdadera",E3051="Rechazar H0"),"Error tipo I",IF(AND(B3051="Ha verdadera",E3051="No rechazar H0"),"Error tipo II","Decisión correcta"))</f>
        <v>Decisión correcta</v>
      </c>
    </row>
    <row r="3052" customFormat="false" ht="15" hidden="false" customHeight="false" outlineLevel="0" collapsed="false">
      <c r="A3052" s="0" t="n">
        <v>3031</v>
      </c>
      <c r="B3052" s="0" t="s">
        <v>86</v>
      </c>
      <c r="C3052" s="17" t="n">
        <v>-0.659051519144775</v>
      </c>
      <c r="D3052" s="17" t="n">
        <f aca="false">(C3052-$B$4)/($B$6/SQRT($B$7))</f>
        <v>-3.29525759572388</v>
      </c>
      <c r="E3052" s="0" t="str">
        <f aca="false">IF(OR(AND($B$9="superior",D3052&gt;$B$10),AND($B$9="inferior",D3052&lt;-$B$10)),"Rechazar H0","No rechazar H0")</f>
        <v>Rechazar H0</v>
      </c>
      <c r="F3052" s="0" t="str">
        <f aca="false">IF(AND(B3052="H0 verdadera",E3052="Rechazar H0"),"Error tipo I",IF(AND(B3052="Ha verdadera",E3052="No rechazar H0"),"Error tipo II","Decisión correcta"))</f>
        <v>Decisión correcta</v>
      </c>
    </row>
    <row r="3053" customFormat="false" ht="15" hidden="false" customHeight="false" outlineLevel="0" collapsed="false">
      <c r="A3053" s="0" t="n">
        <v>3032</v>
      </c>
      <c r="B3053" s="0" t="s">
        <v>86</v>
      </c>
      <c r="C3053" s="17" t="n">
        <v>-0.497300819334633</v>
      </c>
      <c r="D3053" s="17" t="n">
        <f aca="false">(C3053-$B$4)/($B$6/SQRT($B$7))</f>
        <v>-2.48650409667316</v>
      </c>
      <c r="E3053" s="0" t="str">
        <f aca="false">IF(OR(AND($B$9="superior",D3053&gt;$B$10),AND($B$9="inferior",D3053&lt;-$B$10)),"Rechazar H0","No rechazar H0")</f>
        <v>Rechazar H0</v>
      </c>
      <c r="F3053" s="0" t="str">
        <f aca="false">IF(AND(B3053="H0 verdadera",E3053="Rechazar H0"),"Error tipo I",IF(AND(B3053="Ha verdadera",E3053="No rechazar H0"),"Error tipo II","Decisión correcta"))</f>
        <v>Decisión correcta</v>
      </c>
    </row>
    <row r="3054" customFormat="false" ht="15" hidden="false" customHeight="false" outlineLevel="0" collapsed="false">
      <c r="A3054" s="0" t="n">
        <v>3033</v>
      </c>
      <c r="B3054" s="0" t="s">
        <v>85</v>
      </c>
      <c r="C3054" s="17" t="n">
        <v>0.246122268651813</v>
      </c>
      <c r="D3054" s="17" t="n">
        <f aca="false">(C3054-$B$4)/($B$6/SQRT($B$7))</f>
        <v>1.23061134325906</v>
      </c>
      <c r="E3054" s="0" t="str">
        <f aca="false">IF(OR(AND($B$9="superior",D3054&gt;$B$10),AND($B$9="inferior",D3054&lt;-$B$10)),"Rechazar H0","No rechazar H0")</f>
        <v>No rechazar H0</v>
      </c>
      <c r="F3054" s="0" t="str">
        <f aca="false">IF(AND(B3054="H0 verdadera",E3054="Rechazar H0"),"Error tipo I",IF(AND(B3054="Ha verdadera",E3054="No rechazar H0"),"Error tipo II","Decisión correcta"))</f>
        <v>Decisión correcta</v>
      </c>
    </row>
    <row r="3055" customFormat="false" ht="15" hidden="false" customHeight="false" outlineLevel="0" collapsed="false">
      <c r="A3055" s="0" t="n">
        <v>3034</v>
      </c>
      <c r="B3055" s="0" t="s">
        <v>85</v>
      </c>
      <c r="C3055" s="17" t="n">
        <v>-0.338674000938023</v>
      </c>
      <c r="D3055" s="17" t="n">
        <f aca="false">(C3055-$B$4)/($B$6/SQRT($B$7))</f>
        <v>-1.69337000469012</v>
      </c>
      <c r="E3055" s="0" t="str">
        <f aca="false">IF(OR(AND($B$9="superior",D3055&gt;$B$10),AND($B$9="inferior",D3055&lt;-$B$10)),"Rechazar H0","No rechazar H0")</f>
        <v>Rechazar H0</v>
      </c>
      <c r="F3055" s="0" t="str">
        <f aca="false">IF(AND(B3055="H0 verdadera",E3055="Rechazar H0"),"Error tipo I",IF(AND(B3055="Ha verdadera",E3055="No rechazar H0"),"Error tipo II","Decisión correcta"))</f>
        <v>Error tipo I</v>
      </c>
    </row>
    <row r="3056" customFormat="false" ht="15" hidden="false" customHeight="false" outlineLevel="0" collapsed="false">
      <c r="A3056" s="0" t="n">
        <v>3035</v>
      </c>
      <c r="B3056" s="0" t="s">
        <v>86</v>
      </c>
      <c r="C3056" s="17" t="n">
        <v>-0.488847394666076</v>
      </c>
      <c r="D3056" s="17" t="n">
        <f aca="false">(C3056-$B$4)/($B$6/SQRT($B$7))</f>
        <v>-2.44423697333038</v>
      </c>
      <c r="E3056" s="0" t="str">
        <f aca="false">IF(OR(AND($B$9="superior",D3056&gt;$B$10),AND($B$9="inferior",D3056&lt;-$B$10)),"Rechazar H0","No rechazar H0")</f>
        <v>Rechazar H0</v>
      </c>
      <c r="F3056" s="0" t="str">
        <f aca="false">IF(AND(B3056="H0 verdadera",E3056="Rechazar H0"),"Error tipo I",IF(AND(B3056="Ha verdadera",E3056="No rechazar H0"),"Error tipo II","Decisión correcta"))</f>
        <v>Decisión correcta</v>
      </c>
    </row>
    <row r="3057" customFormat="false" ht="15" hidden="false" customHeight="false" outlineLevel="0" collapsed="false">
      <c r="A3057" s="0" t="n">
        <v>3036</v>
      </c>
      <c r="B3057" s="0" t="s">
        <v>86</v>
      </c>
      <c r="C3057" s="17" t="n">
        <v>-0.796491216392562</v>
      </c>
      <c r="D3057" s="17" t="n">
        <f aca="false">(C3057-$B$4)/($B$6/SQRT($B$7))</f>
        <v>-3.98245608196281</v>
      </c>
      <c r="E3057" s="0" t="str">
        <f aca="false">IF(OR(AND($B$9="superior",D3057&gt;$B$10),AND($B$9="inferior",D3057&lt;-$B$10)),"Rechazar H0","No rechazar H0")</f>
        <v>Rechazar H0</v>
      </c>
      <c r="F3057" s="0" t="str">
        <f aca="false">IF(AND(B3057="H0 verdadera",E3057="Rechazar H0"),"Error tipo I",IF(AND(B3057="Ha verdadera",E3057="No rechazar H0"),"Error tipo II","Decisión correcta"))</f>
        <v>Decisión correcta</v>
      </c>
    </row>
    <row r="3058" customFormat="false" ht="15" hidden="false" customHeight="false" outlineLevel="0" collapsed="false">
      <c r="A3058" s="0" t="n">
        <v>3037</v>
      </c>
      <c r="B3058" s="0" t="s">
        <v>86</v>
      </c>
      <c r="C3058" s="17" t="n">
        <v>-0.739956199851779</v>
      </c>
      <c r="D3058" s="17" t="n">
        <f aca="false">(C3058-$B$4)/($B$6/SQRT($B$7))</f>
        <v>-3.69978099925889</v>
      </c>
      <c r="E3058" s="0" t="str">
        <f aca="false">IF(OR(AND($B$9="superior",D3058&gt;$B$10),AND($B$9="inferior",D3058&lt;-$B$10)),"Rechazar H0","No rechazar H0")</f>
        <v>Rechazar H0</v>
      </c>
      <c r="F3058" s="0" t="str">
        <f aca="false">IF(AND(B3058="H0 verdadera",E3058="Rechazar H0"),"Error tipo I",IF(AND(B3058="Ha verdadera",E3058="No rechazar H0"),"Error tipo II","Decisión correcta"))</f>
        <v>Decisión correcta</v>
      </c>
    </row>
    <row r="3059" customFormat="false" ht="15" hidden="false" customHeight="false" outlineLevel="0" collapsed="false">
      <c r="A3059" s="0" t="n">
        <v>3038</v>
      </c>
      <c r="B3059" s="0" t="s">
        <v>85</v>
      </c>
      <c r="C3059" s="17" t="n">
        <v>-0.102991624295444</v>
      </c>
      <c r="D3059" s="17" t="n">
        <f aca="false">(C3059-$B$4)/($B$6/SQRT($B$7))</f>
        <v>-0.514958121477218</v>
      </c>
      <c r="E3059" s="0" t="str">
        <f aca="false">IF(OR(AND($B$9="superior",D3059&gt;$B$10),AND($B$9="inferior",D3059&lt;-$B$10)),"Rechazar H0","No rechazar H0")</f>
        <v>No rechazar H0</v>
      </c>
      <c r="F3059" s="0" t="str">
        <f aca="false">IF(AND(B3059="H0 verdadera",E3059="Rechazar H0"),"Error tipo I",IF(AND(B3059="Ha verdadera",E3059="No rechazar H0"),"Error tipo II","Decisión correcta"))</f>
        <v>Decisión correcta</v>
      </c>
    </row>
    <row r="3060" customFormat="false" ht="15" hidden="false" customHeight="false" outlineLevel="0" collapsed="false">
      <c r="A3060" s="0" t="n">
        <v>3039</v>
      </c>
      <c r="B3060" s="0" t="s">
        <v>86</v>
      </c>
      <c r="C3060" s="17" t="n">
        <v>-0.295313557290498</v>
      </c>
      <c r="D3060" s="17" t="n">
        <f aca="false">(C3060-$B$4)/($B$6/SQRT($B$7))</f>
        <v>-1.47656778645249</v>
      </c>
      <c r="E3060" s="0" t="str">
        <f aca="false">IF(OR(AND($B$9="superior",D3060&gt;$B$10),AND($B$9="inferior",D3060&lt;-$B$10)),"Rechazar H0","No rechazar H0")</f>
        <v>No rechazar H0</v>
      </c>
      <c r="F3060" s="0" t="str">
        <f aca="false">IF(AND(B3060="H0 verdadera",E3060="Rechazar H0"),"Error tipo I",IF(AND(B3060="Ha verdadera",E3060="No rechazar H0"),"Error tipo II","Decisión correcta"))</f>
        <v>Error tipo II</v>
      </c>
    </row>
    <row r="3061" customFormat="false" ht="15" hidden="false" customHeight="false" outlineLevel="0" collapsed="false">
      <c r="A3061" s="0" t="n">
        <v>3040</v>
      </c>
      <c r="B3061" s="0" t="s">
        <v>86</v>
      </c>
      <c r="C3061" s="17" t="n">
        <v>-0.0686569505612416</v>
      </c>
      <c r="D3061" s="17" t="n">
        <f aca="false">(C3061-$B$4)/($B$6/SQRT($B$7))</f>
        <v>-0.343284752806208</v>
      </c>
      <c r="E3061" s="0" t="str">
        <f aca="false">IF(OR(AND($B$9="superior",D3061&gt;$B$10),AND($B$9="inferior",D3061&lt;-$B$10)),"Rechazar H0","No rechazar H0")</f>
        <v>No rechazar H0</v>
      </c>
      <c r="F3061" s="0" t="str">
        <f aca="false">IF(AND(B3061="H0 verdadera",E3061="Rechazar H0"),"Error tipo I",IF(AND(B3061="Ha verdadera",E3061="No rechazar H0"),"Error tipo II","Decisión correcta"))</f>
        <v>Error tipo II</v>
      </c>
    </row>
    <row r="3062" customFormat="false" ht="15" hidden="false" customHeight="false" outlineLevel="0" collapsed="false">
      <c r="A3062" s="0" t="n">
        <v>3041</v>
      </c>
      <c r="B3062" s="0" t="s">
        <v>86</v>
      </c>
      <c r="C3062" s="17" t="n">
        <v>-0.26122741842782</v>
      </c>
      <c r="D3062" s="17" t="n">
        <f aca="false">(C3062-$B$4)/($B$6/SQRT($B$7))</f>
        <v>-1.3061370921391</v>
      </c>
      <c r="E3062" s="0" t="str">
        <f aca="false">IF(OR(AND($B$9="superior",D3062&gt;$B$10),AND($B$9="inferior",D3062&lt;-$B$10)),"Rechazar H0","No rechazar H0")</f>
        <v>No rechazar H0</v>
      </c>
      <c r="F3062" s="0" t="str">
        <f aca="false">IF(AND(B3062="H0 verdadera",E3062="Rechazar H0"),"Error tipo I",IF(AND(B3062="Ha verdadera",E3062="No rechazar H0"),"Error tipo II","Decisión correcta"))</f>
        <v>Error tipo II</v>
      </c>
    </row>
    <row r="3063" customFormat="false" ht="15" hidden="false" customHeight="false" outlineLevel="0" collapsed="false">
      <c r="A3063" s="0" t="n">
        <v>3042</v>
      </c>
      <c r="B3063" s="0" t="s">
        <v>86</v>
      </c>
      <c r="C3063" s="17" t="n">
        <v>-0.35195992484288</v>
      </c>
      <c r="D3063" s="17" t="n">
        <f aca="false">(C3063-$B$4)/($B$6/SQRT($B$7))</f>
        <v>-1.7597996242144</v>
      </c>
      <c r="E3063" s="0" t="str">
        <f aca="false">IF(OR(AND($B$9="superior",D3063&gt;$B$10),AND($B$9="inferior",D3063&lt;-$B$10)),"Rechazar H0","No rechazar H0")</f>
        <v>Rechazar H0</v>
      </c>
      <c r="F3063" s="0" t="str">
        <f aca="false">IF(AND(B3063="H0 verdadera",E3063="Rechazar H0"),"Error tipo I",IF(AND(B3063="Ha verdadera",E3063="No rechazar H0"),"Error tipo II","Decisión correcta"))</f>
        <v>Decisión correcta</v>
      </c>
    </row>
    <row r="3064" customFormat="false" ht="15" hidden="false" customHeight="false" outlineLevel="0" collapsed="false">
      <c r="A3064" s="0" t="n">
        <v>3043</v>
      </c>
      <c r="B3064" s="0" t="s">
        <v>86</v>
      </c>
      <c r="C3064" s="17" t="n">
        <v>-0.0436190900644972</v>
      </c>
      <c r="D3064" s="17" t="n">
        <f aca="false">(C3064-$B$4)/($B$6/SQRT($B$7))</f>
        <v>-0.218095450322486</v>
      </c>
      <c r="E3064" s="0" t="str">
        <f aca="false">IF(OR(AND($B$9="superior",D3064&gt;$B$10),AND($B$9="inferior",D3064&lt;-$B$10)),"Rechazar H0","No rechazar H0")</f>
        <v>No rechazar H0</v>
      </c>
      <c r="F3064" s="0" t="str">
        <f aca="false">IF(AND(B3064="H0 verdadera",E3064="Rechazar H0"),"Error tipo I",IF(AND(B3064="Ha verdadera",E3064="No rechazar H0"),"Error tipo II","Decisión correcta"))</f>
        <v>Error tipo II</v>
      </c>
    </row>
    <row r="3065" customFormat="false" ht="15" hidden="false" customHeight="false" outlineLevel="0" collapsed="false">
      <c r="A3065" s="0" t="n">
        <v>3044</v>
      </c>
      <c r="B3065" s="0" t="s">
        <v>86</v>
      </c>
      <c r="C3065" s="17" t="n">
        <v>-0.480571876900372</v>
      </c>
      <c r="D3065" s="17" t="n">
        <f aca="false">(C3065-$B$4)/($B$6/SQRT($B$7))</f>
        <v>-2.40285938450186</v>
      </c>
      <c r="E3065" s="0" t="str">
        <f aca="false">IF(OR(AND($B$9="superior",D3065&gt;$B$10),AND($B$9="inferior",D3065&lt;-$B$10)),"Rechazar H0","No rechazar H0")</f>
        <v>Rechazar H0</v>
      </c>
      <c r="F3065" s="0" t="str">
        <f aca="false">IF(AND(B3065="H0 verdadera",E3065="Rechazar H0"),"Error tipo I",IF(AND(B3065="Ha verdadera",E3065="No rechazar H0"),"Error tipo II","Decisión correcta"))</f>
        <v>Decisión correcta</v>
      </c>
    </row>
    <row r="3066" customFormat="false" ht="15" hidden="false" customHeight="false" outlineLevel="0" collapsed="false">
      <c r="A3066" s="0" t="n">
        <v>3045</v>
      </c>
      <c r="B3066" s="0" t="s">
        <v>85</v>
      </c>
      <c r="C3066" s="17" t="n">
        <v>-0.0346458876850808</v>
      </c>
      <c r="D3066" s="17" t="n">
        <f aca="false">(C3066-$B$4)/($B$6/SQRT($B$7))</f>
        <v>-0.173229438425404</v>
      </c>
      <c r="E3066" s="0" t="str">
        <f aca="false">IF(OR(AND($B$9="superior",D3066&gt;$B$10),AND($B$9="inferior",D3066&lt;-$B$10)),"Rechazar H0","No rechazar H0")</f>
        <v>No rechazar H0</v>
      </c>
      <c r="F3066" s="0" t="str">
        <f aca="false">IF(AND(B3066="H0 verdadera",E3066="Rechazar H0"),"Error tipo I",IF(AND(B3066="Ha verdadera",E3066="No rechazar H0"),"Error tipo II","Decisión correcta"))</f>
        <v>Decisión correcta</v>
      </c>
    </row>
    <row r="3067" customFormat="false" ht="15" hidden="false" customHeight="false" outlineLevel="0" collapsed="false">
      <c r="A3067" s="0" t="n">
        <v>3046</v>
      </c>
      <c r="B3067" s="0" t="s">
        <v>85</v>
      </c>
      <c r="C3067" s="17" t="n">
        <v>-0.297084990674423</v>
      </c>
      <c r="D3067" s="17" t="n">
        <f aca="false">(C3067-$B$4)/($B$6/SQRT($B$7))</f>
        <v>-1.48542495337211</v>
      </c>
      <c r="E3067" s="0" t="str">
        <f aca="false">IF(OR(AND($B$9="superior",D3067&gt;$B$10),AND($B$9="inferior",D3067&lt;-$B$10)),"Rechazar H0","No rechazar H0")</f>
        <v>No rechazar H0</v>
      </c>
      <c r="F3067" s="0" t="str">
        <f aca="false">IF(AND(B3067="H0 verdadera",E3067="Rechazar H0"),"Error tipo I",IF(AND(B3067="Ha verdadera",E3067="No rechazar H0"),"Error tipo II","Decisión correcta"))</f>
        <v>Decisión correcta</v>
      </c>
    </row>
    <row r="3068" customFormat="false" ht="15" hidden="false" customHeight="false" outlineLevel="0" collapsed="false">
      <c r="A3068" s="0" t="n">
        <v>3047</v>
      </c>
      <c r="B3068" s="0" t="s">
        <v>85</v>
      </c>
      <c r="C3068" s="17" t="n">
        <v>0.135692032079351</v>
      </c>
      <c r="D3068" s="17" t="n">
        <f aca="false">(C3068-$B$4)/($B$6/SQRT($B$7))</f>
        <v>0.678460160396756</v>
      </c>
      <c r="E3068" s="0" t="str">
        <f aca="false">IF(OR(AND($B$9="superior",D3068&gt;$B$10),AND($B$9="inferior",D3068&lt;-$B$10)),"Rechazar H0","No rechazar H0")</f>
        <v>No rechazar H0</v>
      </c>
      <c r="F3068" s="0" t="str">
        <f aca="false">IF(AND(B3068="H0 verdadera",E3068="Rechazar H0"),"Error tipo I",IF(AND(B3068="Ha verdadera",E3068="No rechazar H0"),"Error tipo II","Decisión correcta"))</f>
        <v>Decisión correcta</v>
      </c>
    </row>
    <row r="3069" customFormat="false" ht="15" hidden="false" customHeight="false" outlineLevel="0" collapsed="false">
      <c r="A3069" s="0" t="n">
        <v>3048</v>
      </c>
      <c r="B3069" s="0" t="s">
        <v>85</v>
      </c>
      <c r="C3069" s="17" t="n">
        <v>0.246735843598722</v>
      </c>
      <c r="D3069" s="17" t="n">
        <f aca="false">(C3069-$B$4)/($B$6/SQRT($B$7))</f>
        <v>1.23367921799361</v>
      </c>
      <c r="E3069" s="0" t="str">
        <f aca="false">IF(OR(AND($B$9="superior",D3069&gt;$B$10),AND($B$9="inferior",D3069&lt;-$B$10)),"Rechazar H0","No rechazar H0")</f>
        <v>No rechazar H0</v>
      </c>
      <c r="F3069" s="0" t="str">
        <f aca="false">IF(AND(B3069="H0 verdadera",E3069="Rechazar H0"),"Error tipo I",IF(AND(B3069="Ha verdadera",E3069="No rechazar H0"),"Error tipo II","Decisión correcta"))</f>
        <v>Decisión correcta</v>
      </c>
    </row>
    <row r="3070" customFormat="false" ht="15" hidden="false" customHeight="false" outlineLevel="0" collapsed="false">
      <c r="A3070" s="0" t="n">
        <v>3049</v>
      </c>
      <c r="B3070" s="0" t="s">
        <v>86</v>
      </c>
      <c r="C3070" s="17" t="n">
        <v>-0.525537236443652</v>
      </c>
      <c r="D3070" s="17" t="n">
        <f aca="false">(C3070-$B$4)/($B$6/SQRT($B$7))</f>
        <v>-2.62768618221826</v>
      </c>
      <c r="E3070" s="0" t="str">
        <f aca="false">IF(OR(AND($B$9="superior",D3070&gt;$B$10),AND($B$9="inferior",D3070&lt;-$B$10)),"Rechazar H0","No rechazar H0")</f>
        <v>Rechazar H0</v>
      </c>
      <c r="F3070" s="0" t="str">
        <f aca="false">IF(AND(B3070="H0 verdadera",E3070="Rechazar H0"),"Error tipo I",IF(AND(B3070="Ha verdadera",E3070="No rechazar H0"),"Error tipo II","Decisión correcta"))</f>
        <v>Decisión correcta</v>
      </c>
    </row>
    <row r="3071" customFormat="false" ht="15" hidden="false" customHeight="false" outlineLevel="0" collapsed="false">
      <c r="A3071" s="0" t="n">
        <v>3050</v>
      </c>
      <c r="B3071" s="0" t="s">
        <v>85</v>
      </c>
      <c r="C3071" s="17" t="n">
        <v>-0.0797362979394251</v>
      </c>
      <c r="D3071" s="17" t="n">
        <f aca="false">(C3071-$B$4)/($B$6/SQRT($B$7))</f>
        <v>-0.398681489697126</v>
      </c>
      <c r="E3071" s="0" t="str">
        <f aca="false">IF(OR(AND($B$9="superior",D3071&gt;$B$10),AND($B$9="inferior",D3071&lt;-$B$10)),"Rechazar H0","No rechazar H0")</f>
        <v>No rechazar H0</v>
      </c>
      <c r="F3071" s="0" t="str">
        <f aca="false">IF(AND(B3071="H0 verdadera",E3071="Rechazar H0"),"Error tipo I",IF(AND(B3071="Ha verdadera",E3071="No rechazar H0"),"Error tipo II","Decisión correcta"))</f>
        <v>Decisión correcta</v>
      </c>
    </row>
    <row r="3072" customFormat="false" ht="15" hidden="false" customHeight="false" outlineLevel="0" collapsed="false">
      <c r="A3072" s="0" t="n">
        <v>3051</v>
      </c>
      <c r="B3072" s="0" t="s">
        <v>85</v>
      </c>
      <c r="C3072" s="17" t="n">
        <v>-0.199949834794958</v>
      </c>
      <c r="D3072" s="17" t="n">
        <f aca="false">(C3072-$B$4)/($B$6/SQRT($B$7))</f>
        <v>-0.999749173974789</v>
      </c>
      <c r="E3072" s="0" t="str">
        <f aca="false">IF(OR(AND($B$9="superior",D3072&gt;$B$10),AND($B$9="inferior",D3072&lt;-$B$10)),"Rechazar H0","No rechazar H0")</f>
        <v>No rechazar H0</v>
      </c>
      <c r="F3072" s="0" t="str">
        <f aca="false">IF(AND(B3072="H0 verdadera",E3072="Rechazar H0"),"Error tipo I",IF(AND(B3072="Ha verdadera",E3072="No rechazar H0"),"Error tipo II","Decisión correcta"))</f>
        <v>Decisión correcta</v>
      </c>
    </row>
    <row r="3073" customFormat="false" ht="15" hidden="false" customHeight="false" outlineLevel="0" collapsed="false">
      <c r="A3073" s="0" t="n">
        <v>3052</v>
      </c>
      <c r="B3073" s="0" t="s">
        <v>86</v>
      </c>
      <c r="C3073" s="17" t="n">
        <v>-0.285017383244528</v>
      </c>
      <c r="D3073" s="17" t="n">
        <f aca="false">(C3073-$B$4)/($B$6/SQRT($B$7))</f>
        <v>-1.42508691622264</v>
      </c>
      <c r="E3073" s="0" t="str">
        <f aca="false">IF(OR(AND($B$9="superior",D3073&gt;$B$10),AND($B$9="inferior",D3073&lt;-$B$10)),"Rechazar H0","No rechazar H0")</f>
        <v>No rechazar H0</v>
      </c>
      <c r="F3073" s="0" t="str">
        <f aca="false">IF(AND(B3073="H0 verdadera",E3073="Rechazar H0"),"Error tipo I",IF(AND(B3073="Ha verdadera",E3073="No rechazar H0"),"Error tipo II","Decisión correcta"))</f>
        <v>Error tipo II</v>
      </c>
    </row>
    <row r="3074" customFormat="false" ht="15" hidden="false" customHeight="false" outlineLevel="0" collapsed="false">
      <c r="A3074" s="0" t="n">
        <v>3053</v>
      </c>
      <c r="B3074" s="0" t="s">
        <v>85</v>
      </c>
      <c r="C3074" s="17" t="n">
        <v>0.0809711795091903</v>
      </c>
      <c r="D3074" s="17" t="n">
        <f aca="false">(C3074-$B$4)/($B$6/SQRT($B$7))</f>
        <v>0.404855897545951</v>
      </c>
      <c r="E3074" s="0" t="str">
        <f aca="false">IF(OR(AND($B$9="superior",D3074&gt;$B$10),AND($B$9="inferior",D3074&lt;-$B$10)),"Rechazar H0","No rechazar H0")</f>
        <v>No rechazar H0</v>
      </c>
      <c r="F3074" s="0" t="str">
        <f aca="false">IF(AND(B3074="H0 verdadera",E3074="Rechazar H0"),"Error tipo I",IF(AND(B3074="Ha verdadera",E3074="No rechazar H0"),"Error tipo II","Decisión correcta"))</f>
        <v>Decisión correcta</v>
      </c>
    </row>
    <row r="3075" customFormat="false" ht="15" hidden="false" customHeight="false" outlineLevel="0" collapsed="false">
      <c r="A3075" s="0" t="n">
        <v>3054</v>
      </c>
      <c r="B3075" s="0" t="s">
        <v>86</v>
      </c>
      <c r="C3075" s="17" t="n">
        <v>-0.29743195279079</v>
      </c>
      <c r="D3075" s="17" t="n">
        <f aca="false">(C3075-$B$4)/($B$6/SQRT($B$7))</f>
        <v>-1.48715976395395</v>
      </c>
      <c r="E3075" s="0" t="str">
        <f aca="false">IF(OR(AND($B$9="superior",D3075&gt;$B$10),AND($B$9="inferior",D3075&lt;-$B$10)),"Rechazar H0","No rechazar H0")</f>
        <v>No rechazar H0</v>
      </c>
      <c r="F3075" s="0" t="str">
        <f aca="false">IF(AND(B3075="H0 verdadera",E3075="Rechazar H0"),"Error tipo I",IF(AND(B3075="Ha verdadera",E3075="No rechazar H0"),"Error tipo II","Decisión correcta"))</f>
        <v>Error tipo II</v>
      </c>
    </row>
    <row r="3076" customFormat="false" ht="15" hidden="false" customHeight="false" outlineLevel="0" collapsed="false">
      <c r="A3076" s="0" t="n">
        <v>3055</v>
      </c>
      <c r="B3076" s="0" t="s">
        <v>86</v>
      </c>
      <c r="C3076" s="17" t="n">
        <v>-0.280509996925665</v>
      </c>
      <c r="D3076" s="17" t="n">
        <f aca="false">(C3076-$B$4)/($B$6/SQRT($B$7))</f>
        <v>-1.40254998462833</v>
      </c>
      <c r="E3076" s="0" t="str">
        <f aca="false">IF(OR(AND($B$9="superior",D3076&gt;$B$10),AND($B$9="inferior",D3076&lt;-$B$10)),"Rechazar H0","No rechazar H0")</f>
        <v>No rechazar H0</v>
      </c>
      <c r="F3076" s="0" t="str">
        <f aca="false">IF(AND(B3076="H0 verdadera",E3076="Rechazar H0"),"Error tipo I",IF(AND(B3076="Ha verdadera",E3076="No rechazar H0"),"Error tipo II","Decisión correcta"))</f>
        <v>Error tipo II</v>
      </c>
    </row>
    <row r="3077" customFormat="false" ht="15" hidden="false" customHeight="false" outlineLevel="0" collapsed="false">
      <c r="A3077" s="0" t="n">
        <v>3056</v>
      </c>
      <c r="B3077" s="0" t="s">
        <v>85</v>
      </c>
      <c r="C3077" s="17" t="n">
        <v>-0.150772799190602</v>
      </c>
      <c r="D3077" s="17" t="n">
        <f aca="false">(C3077-$B$4)/($B$6/SQRT($B$7))</f>
        <v>-0.753863995953012</v>
      </c>
      <c r="E3077" s="0" t="str">
        <f aca="false">IF(OR(AND($B$9="superior",D3077&gt;$B$10),AND($B$9="inferior",D3077&lt;-$B$10)),"Rechazar H0","No rechazar H0")</f>
        <v>No rechazar H0</v>
      </c>
      <c r="F3077" s="0" t="str">
        <f aca="false">IF(AND(B3077="H0 verdadera",E3077="Rechazar H0"),"Error tipo I",IF(AND(B3077="Ha verdadera",E3077="No rechazar H0"),"Error tipo II","Decisión correcta"))</f>
        <v>Decisión correcta</v>
      </c>
    </row>
    <row r="3078" customFormat="false" ht="15" hidden="false" customHeight="false" outlineLevel="0" collapsed="false">
      <c r="A3078" s="0" t="n">
        <v>3057</v>
      </c>
      <c r="B3078" s="0" t="s">
        <v>85</v>
      </c>
      <c r="C3078" s="17" t="n">
        <v>-0.204919822656787</v>
      </c>
      <c r="D3078" s="17" t="n">
        <f aca="false">(C3078-$B$4)/($B$6/SQRT($B$7))</f>
        <v>-1.02459911328394</v>
      </c>
      <c r="E3078" s="0" t="str">
        <f aca="false">IF(OR(AND($B$9="superior",D3078&gt;$B$10),AND($B$9="inferior",D3078&lt;-$B$10)),"Rechazar H0","No rechazar H0")</f>
        <v>No rechazar H0</v>
      </c>
      <c r="F3078" s="0" t="str">
        <f aca="false">IF(AND(B3078="H0 verdadera",E3078="Rechazar H0"),"Error tipo I",IF(AND(B3078="Ha verdadera",E3078="No rechazar H0"),"Error tipo II","Decisión correcta"))</f>
        <v>Decisión correcta</v>
      </c>
    </row>
    <row r="3079" customFormat="false" ht="15" hidden="false" customHeight="false" outlineLevel="0" collapsed="false">
      <c r="A3079" s="0" t="n">
        <v>3058</v>
      </c>
      <c r="B3079" s="0" t="s">
        <v>86</v>
      </c>
      <c r="C3079" s="17" t="n">
        <v>-0.409132964190959</v>
      </c>
      <c r="D3079" s="17" t="n">
        <f aca="false">(C3079-$B$4)/($B$6/SQRT($B$7))</f>
        <v>-2.0456648209548</v>
      </c>
      <c r="E3079" s="0" t="str">
        <f aca="false">IF(OR(AND($B$9="superior",D3079&gt;$B$10),AND($B$9="inferior",D3079&lt;-$B$10)),"Rechazar H0","No rechazar H0")</f>
        <v>Rechazar H0</v>
      </c>
      <c r="F3079" s="0" t="str">
        <f aca="false">IF(AND(B3079="H0 verdadera",E3079="Rechazar H0"),"Error tipo I",IF(AND(B3079="Ha verdadera",E3079="No rechazar H0"),"Error tipo II","Decisión correcta"))</f>
        <v>Decisión correcta</v>
      </c>
    </row>
    <row r="3080" customFormat="false" ht="15" hidden="false" customHeight="false" outlineLevel="0" collapsed="false">
      <c r="A3080" s="0" t="n">
        <v>3059</v>
      </c>
      <c r="B3080" s="0" t="s">
        <v>85</v>
      </c>
      <c r="C3080" s="17" t="n">
        <v>-0.132824536866971</v>
      </c>
      <c r="D3080" s="17" t="n">
        <f aca="false">(C3080-$B$4)/($B$6/SQRT($B$7))</f>
        <v>-0.664122684334852</v>
      </c>
      <c r="E3080" s="0" t="str">
        <f aca="false">IF(OR(AND($B$9="superior",D3080&gt;$B$10),AND($B$9="inferior",D3080&lt;-$B$10)),"Rechazar H0","No rechazar H0")</f>
        <v>No rechazar H0</v>
      </c>
      <c r="F3080" s="0" t="str">
        <f aca="false">IF(AND(B3080="H0 verdadera",E3080="Rechazar H0"),"Error tipo I",IF(AND(B3080="Ha verdadera",E3080="No rechazar H0"),"Error tipo II","Decisión correcta"))</f>
        <v>Decisión correcta</v>
      </c>
    </row>
    <row r="3081" customFormat="false" ht="15" hidden="false" customHeight="false" outlineLevel="0" collapsed="false">
      <c r="A3081" s="0" t="n">
        <v>3060</v>
      </c>
      <c r="B3081" s="0" t="s">
        <v>86</v>
      </c>
      <c r="C3081" s="17" t="n">
        <v>-0.360904282126696</v>
      </c>
      <c r="D3081" s="17" t="n">
        <f aca="false">(C3081-$B$4)/($B$6/SQRT($B$7))</f>
        <v>-1.80452141063348</v>
      </c>
      <c r="E3081" s="0" t="str">
        <f aca="false">IF(OR(AND($B$9="superior",D3081&gt;$B$10),AND($B$9="inferior",D3081&lt;-$B$10)),"Rechazar H0","No rechazar H0")</f>
        <v>Rechazar H0</v>
      </c>
      <c r="F3081" s="0" t="str">
        <f aca="false">IF(AND(B3081="H0 verdadera",E3081="Rechazar H0"),"Error tipo I",IF(AND(B3081="Ha verdadera",E3081="No rechazar H0"),"Error tipo II","Decisión correcta"))</f>
        <v>Decisión correcta</v>
      </c>
    </row>
    <row r="3082" customFormat="false" ht="15" hidden="false" customHeight="false" outlineLevel="0" collapsed="false">
      <c r="A3082" s="0" t="n">
        <v>3061</v>
      </c>
      <c r="B3082" s="0" t="s">
        <v>86</v>
      </c>
      <c r="C3082" s="17" t="n">
        <v>-0.448969851498293</v>
      </c>
      <c r="D3082" s="17" t="n">
        <f aca="false">(C3082-$B$4)/($B$6/SQRT($B$7))</f>
        <v>-2.24484925749147</v>
      </c>
      <c r="E3082" s="0" t="str">
        <f aca="false">IF(OR(AND($B$9="superior",D3082&gt;$B$10),AND($B$9="inferior",D3082&lt;-$B$10)),"Rechazar H0","No rechazar H0")</f>
        <v>Rechazar H0</v>
      </c>
      <c r="F3082" s="0" t="str">
        <f aca="false">IF(AND(B3082="H0 verdadera",E3082="Rechazar H0"),"Error tipo I",IF(AND(B3082="Ha verdadera",E3082="No rechazar H0"),"Error tipo II","Decisión correcta"))</f>
        <v>Decisión correcta</v>
      </c>
    </row>
    <row r="3083" customFormat="false" ht="15" hidden="false" customHeight="false" outlineLevel="0" collapsed="false">
      <c r="A3083" s="0" t="n">
        <v>3062</v>
      </c>
      <c r="B3083" s="0" t="s">
        <v>86</v>
      </c>
      <c r="C3083" s="17" t="n">
        <v>-0.677965029294231</v>
      </c>
      <c r="D3083" s="17" t="n">
        <f aca="false">(C3083-$B$4)/($B$6/SQRT($B$7))</f>
        <v>-3.38982514647115</v>
      </c>
      <c r="E3083" s="0" t="str">
        <f aca="false">IF(OR(AND($B$9="superior",D3083&gt;$B$10),AND($B$9="inferior",D3083&lt;-$B$10)),"Rechazar H0","No rechazar H0")</f>
        <v>Rechazar H0</v>
      </c>
      <c r="F3083" s="0" t="str">
        <f aca="false">IF(AND(B3083="H0 verdadera",E3083="Rechazar H0"),"Error tipo I",IF(AND(B3083="Ha verdadera",E3083="No rechazar H0"),"Error tipo II","Decisión correcta"))</f>
        <v>Decisión correcta</v>
      </c>
    </row>
    <row r="3084" customFormat="false" ht="15" hidden="false" customHeight="false" outlineLevel="0" collapsed="false">
      <c r="A3084" s="0" t="n">
        <v>3063</v>
      </c>
      <c r="B3084" s="0" t="s">
        <v>86</v>
      </c>
      <c r="C3084" s="17" t="n">
        <v>-0.535475277979483</v>
      </c>
      <c r="D3084" s="17" t="n">
        <f aca="false">(C3084-$B$4)/($B$6/SQRT($B$7))</f>
        <v>-2.67737638989742</v>
      </c>
      <c r="E3084" s="0" t="str">
        <f aca="false">IF(OR(AND($B$9="superior",D3084&gt;$B$10),AND($B$9="inferior",D3084&lt;-$B$10)),"Rechazar H0","No rechazar H0")</f>
        <v>Rechazar H0</v>
      </c>
      <c r="F3084" s="0" t="str">
        <f aca="false">IF(AND(B3084="H0 verdadera",E3084="Rechazar H0"),"Error tipo I",IF(AND(B3084="Ha verdadera",E3084="No rechazar H0"),"Error tipo II","Decisión correcta"))</f>
        <v>Decisión correcta</v>
      </c>
    </row>
    <row r="3085" customFormat="false" ht="15" hidden="false" customHeight="false" outlineLevel="0" collapsed="false">
      <c r="A3085" s="0" t="n">
        <v>3064</v>
      </c>
      <c r="B3085" s="0" t="s">
        <v>85</v>
      </c>
      <c r="C3085" s="17" t="n">
        <v>0.0710453530179402</v>
      </c>
      <c r="D3085" s="17" t="n">
        <f aca="false">(C3085-$B$4)/($B$6/SQRT($B$7))</f>
        <v>0.355226765089701</v>
      </c>
      <c r="E3085" s="0" t="str">
        <f aca="false">IF(OR(AND($B$9="superior",D3085&gt;$B$10),AND($B$9="inferior",D3085&lt;-$B$10)),"Rechazar H0","No rechazar H0")</f>
        <v>No rechazar H0</v>
      </c>
      <c r="F3085" s="0" t="str">
        <f aca="false">IF(AND(B3085="H0 verdadera",E3085="Rechazar H0"),"Error tipo I",IF(AND(B3085="Ha verdadera",E3085="No rechazar H0"),"Error tipo II","Decisión correcta"))</f>
        <v>Decisión correcta</v>
      </c>
    </row>
    <row r="3086" customFormat="false" ht="15" hidden="false" customHeight="false" outlineLevel="0" collapsed="false">
      <c r="A3086" s="0" t="n">
        <v>3065</v>
      </c>
      <c r="B3086" s="0" t="s">
        <v>85</v>
      </c>
      <c r="C3086" s="17" t="n">
        <v>0.348373560482782</v>
      </c>
      <c r="D3086" s="17" t="n">
        <f aca="false">(C3086-$B$4)/($B$6/SQRT($B$7))</f>
        <v>1.74186780241391</v>
      </c>
      <c r="E3086" s="0" t="str">
        <f aca="false">IF(OR(AND($B$9="superior",D3086&gt;$B$10),AND($B$9="inferior",D3086&lt;-$B$10)),"Rechazar H0","No rechazar H0")</f>
        <v>No rechazar H0</v>
      </c>
      <c r="F3086" s="0" t="str">
        <f aca="false">IF(AND(B3086="H0 verdadera",E3086="Rechazar H0"),"Error tipo I",IF(AND(B3086="Ha verdadera",E3086="No rechazar H0"),"Error tipo II","Decisión correcta"))</f>
        <v>Decisión correcta</v>
      </c>
    </row>
    <row r="3087" customFormat="false" ht="15" hidden="false" customHeight="false" outlineLevel="0" collapsed="false">
      <c r="A3087" s="0" t="n">
        <v>3066</v>
      </c>
      <c r="B3087" s="0" t="s">
        <v>86</v>
      </c>
      <c r="C3087" s="17" t="n">
        <v>-0.452349581179478</v>
      </c>
      <c r="D3087" s="17" t="n">
        <f aca="false">(C3087-$B$4)/($B$6/SQRT($B$7))</f>
        <v>-2.26174790589739</v>
      </c>
      <c r="E3087" s="0" t="str">
        <f aca="false">IF(OR(AND($B$9="superior",D3087&gt;$B$10),AND($B$9="inferior",D3087&lt;-$B$10)),"Rechazar H0","No rechazar H0")</f>
        <v>Rechazar H0</v>
      </c>
      <c r="F3087" s="0" t="str">
        <f aca="false">IF(AND(B3087="H0 verdadera",E3087="Rechazar H0"),"Error tipo I",IF(AND(B3087="Ha verdadera",E3087="No rechazar H0"),"Error tipo II","Decisión correcta"))</f>
        <v>Decisión correcta</v>
      </c>
    </row>
    <row r="3088" customFormat="false" ht="15" hidden="false" customHeight="false" outlineLevel="0" collapsed="false">
      <c r="A3088" s="0" t="n">
        <v>3067</v>
      </c>
      <c r="B3088" s="0" t="s">
        <v>85</v>
      </c>
      <c r="C3088" s="17" t="n">
        <v>0.0504371476699721</v>
      </c>
      <c r="D3088" s="17" t="n">
        <f aca="false">(C3088-$B$4)/($B$6/SQRT($B$7))</f>
        <v>0.25218573834986</v>
      </c>
      <c r="E3088" s="0" t="str">
        <f aca="false">IF(OR(AND($B$9="superior",D3088&gt;$B$10),AND($B$9="inferior",D3088&lt;-$B$10)),"Rechazar H0","No rechazar H0")</f>
        <v>No rechazar H0</v>
      </c>
      <c r="F3088" s="0" t="str">
        <f aca="false">IF(AND(B3088="H0 verdadera",E3088="Rechazar H0"),"Error tipo I",IF(AND(B3088="Ha verdadera",E3088="No rechazar H0"),"Error tipo II","Decisión correcta"))</f>
        <v>Decisión correcta</v>
      </c>
    </row>
    <row r="3089" customFormat="false" ht="15" hidden="false" customHeight="false" outlineLevel="0" collapsed="false">
      <c r="A3089" s="0" t="n">
        <v>3068</v>
      </c>
      <c r="B3089" s="0" t="s">
        <v>85</v>
      </c>
      <c r="C3089" s="17" t="n">
        <v>-0.20789091137384</v>
      </c>
      <c r="D3089" s="17" t="n">
        <f aca="false">(C3089-$B$4)/($B$6/SQRT($B$7))</f>
        <v>-1.0394545568692</v>
      </c>
      <c r="E3089" s="0" t="str">
        <f aca="false">IF(OR(AND($B$9="superior",D3089&gt;$B$10),AND($B$9="inferior",D3089&lt;-$B$10)),"Rechazar H0","No rechazar H0")</f>
        <v>No rechazar H0</v>
      </c>
      <c r="F3089" s="0" t="str">
        <f aca="false">IF(AND(B3089="H0 verdadera",E3089="Rechazar H0"),"Error tipo I",IF(AND(B3089="Ha verdadera",E3089="No rechazar H0"),"Error tipo II","Decisión correcta"))</f>
        <v>Decisión correcta</v>
      </c>
    </row>
    <row r="3090" customFormat="false" ht="15" hidden="false" customHeight="false" outlineLevel="0" collapsed="false">
      <c r="A3090" s="0" t="n">
        <v>3069</v>
      </c>
      <c r="B3090" s="0" t="s">
        <v>86</v>
      </c>
      <c r="C3090" s="17" t="n">
        <v>-0.302617434122306</v>
      </c>
      <c r="D3090" s="17" t="n">
        <f aca="false">(C3090-$B$4)/($B$6/SQRT($B$7))</f>
        <v>-1.51308717061153</v>
      </c>
      <c r="E3090" s="0" t="str">
        <f aca="false">IF(OR(AND($B$9="superior",D3090&gt;$B$10),AND($B$9="inferior",D3090&lt;-$B$10)),"Rechazar H0","No rechazar H0")</f>
        <v>No rechazar H0</v>
      </c>
      <c r="F3090" s="0" t="str">
        <f aca="false">IF(AND(B3090="H0 verdadera",E3090="Rechazar H0"),"Error tipo I",IF(AND(B3090="Ha verdadera",E3090="No rechazar H0"),"Error tipo II","Decisión correcta"))</f>
        <v>Error tipo II</v>
      </c>
    </row>
    <row r="3091" customFormat="false" ht="15" hidden="false" customHeight="false" outlineLevel="0" collapsed="false">
      <c r="A3091" s="0" t="n">
        <v>3070</v>
      </c>
      <c r="B3091" s="0" t="s">
        <v>85</v>
      </c>
      <c r="C3091" s="17" t="n">
        <v>-0.0469132519554452</v>
      </c>
      <c r="D3091" s="17" t="n">
        <f aca="false">(C3091-$B$4)/($B$6/SQRT($B$7))</f>
        <v>-0.234566259777226</v>
      </c>
      <c r="E3091" s="0" t="str">
        <f aca="false">IF(OR(AND($B$9="superior",D3091&gt;$B$10),AND($B$9="inferior",D3091&lt;-$B$10)),"Rechazar H0","No rechazar H0")</f>
        <v>No rechazar H0</v>
      </c>
      <c r="F3091" s="0" t="str">
        <f aca="false">IF(AND(B3091="H0 verdadera",E3091="Rechazar H0"),"Error tipo I",IF(AND(B3091="Ha verdadera",E3091="No rechazar H0"),"Error tipo II","Decisión correcta"))</f>
        <v>Decisión correcta</v>
      </c>
    </row>
    <row r="3092" customFormat="false" ht="15" hidden="false" customHeight="false" outlineLevel="0" collapsed="false">
      <c r="A3092" s="0" t="n">
        <v>3071</v>
      </c>
      <c r="B3092" s="0" t="s">
        <v>85</v>
      </c>
      <c r="C3092" s="17" t="n">
        <v>-0.0125607621922016</v>
      </c>
      <c r="D3092" s="17" t="n">
        <f aca="false">(C3092-$B$4)/($B$6/SQRT($B$7))</f>
        <v>-0.0628038109610078</v>
      </c>
      <c r="E3092" s="0" t="str">
        <f aca="false">IF(OR(AND($B$9="superior",D3092&gt;$B$10),AND($B$9="inferior",D3092&lt;-$B$10)),"Rechazar H0","No rechazar H0")</f>
        <v>No rechazar H0</v>
      </c>
      <c r="F3092" s="0" t="str">
        <f aca="false">IF(AND(B3092="H0 verdadera",E3092="Rechazar H0"),"Error tipo I",IF(AND(B3092="Ha verdadera",E3092="No rechazar H0"),"Error tipo II","Decisión correcta"))</f>
        <v>Decisión correcta</v>
      </c>
    </row>
    <row r="3093" customFormat="false" ht="15" hidden="false" customHeight="false" outlineLevel="0" collapsed="false">
      <c r="A3093" s="0" t="n">
        <v>3072</v>
      </c>
      <c r="B3093" s="0" t="s">
        <v>85</v>
      </c>
      <c r="C3093" s="17" t="n">
        <v>0.0752076518647955</v>
      </c>
      <c r="D3093" s="17" t="n">
        <f aca="false">(C3093-$B$4)/($B$6/SQRT($B$7))</f>
        <v>0.376038259323977</v>
      </c>
      <c r="E3093" s="0" t="str">
        <f aca="false">IF(OR(AND($B$9="superior",D3093&gt;$B$10),AND($B$9="inferior",D3093&lt;-$B$10)),"Rechazar H0","No rechazar H0")</f>
        <v>No rechazar H0</v>
      </c>
      <c r="F3093" s="0" t="str">
        <f aca="false">IF(AND(B3093="H0 verdadera",E3093="Rechazar H0"),"Error tipo I",IF(AND(B3093="Ha verdadera",E3093="No rechazar H0"),"Error tipo II","Decisión correcta"))</f>
        <v>Decisión correcta</v>
      </c>
    </row>
    <row r="3094" customFormat="false" ht="15" hidden="false" customHeight="false" outlineLevel="0" collapsed="false">
      <c r="A3094" s="0" t="n">
        <v>3073</v>
      </c>
      <c r="B3094" s="0" t="s">
        <v>85</v>
      </c>
      <c r="C3094" s="17" t="n">
        <v>-0.224706034142408</v>
      </c>
      <c r="D3094" s="17" t="n">
        <f aca="false">(C3094-$B$4)/($B$6/SQRT($B$7))</f>
        <v>-1.12353017071204</v>
      </c>
      <c r="E3094" s="0" t="str">
        <f aca="false">IF(OR(AND($B$9="superior",D3094&gt;$B$10),AND($B$9="inferior",D3094&lt;-$B$10)),"Rechazar H0","No rechazar H0")</f>
        <v>No rechazar H0</v>
      </c>
      <c r="F3094" s="0" t="str">
        <f aca="false">IF(AND(B3094="H0 verdadera",E3094="Rechazar H0"),"Error tipo I",IF(AND(B3094="Ha verdadera",E3094="No rechazar H0"),"Error tipo II","Decisión correcta"))</f>
        <v>Decisión correcta</v>
      </c>
    </row>
    <row r="3095" customFormat="false" ht="15" hidden="false" customHeight="false" outlineLevel="0" collapsed="false">
      <c r="A3095" s="0" t="n">
        <v>3074</v>
      </c>
      <c r="B3095" s="0" t="s">
        <v>85</v>
      </c>
      <c r="C3095" s="17" t="n">
        <v>-0.176181985319189</v>
      </c>
      <c r="D3095" s="17" t="n">
        <f aca="false">(C3095-$B$4)/($B$6/SQRT($B$7))</f>
        <v>-0.880909926595947</v>
      </c>
      <c r="E3095" s="0" t="str">
        <f aca="false">IF(OR(AND($B$9="superior",D3095&gt;$B$10),AND($B$9="inferior",D3095&lt;-$B$10)),"Rechazar H0","No rechazar H0")</f>
        <v>No rechazar H0</v>
      </c>
      <c r="F3095" s="0" t="str">
        <f aca="false">IF(AND(B3095="H0 verdadera",E3095="Rechazar H0"),"Error tipo I",IF(AND(B3095="Ha verdadera",E3095="No rechazar H0"),"Error tipo II","Decisión correcta"))</f>
        <v>Decisión correcta</v>
      </c>
    </row>
    <row r="3096" customFormat="false" ht="15" hidden="false" customHeight="false" outlineLevel="0" collapsed="false">
      <c r="A3096" s="0" t="n">
        <v>3075</v>
      </c>
      <c r="B3096" s="0" t="s">
        <v>86</v>
      </c>
      <c r="C3096" s="17" t="n">
        <v>-0.56674412231957</v>
      </c>
      <c r="D3096" s="17" t="n">
        <f aca="false">(C3096-$B$4)/($B$6/SQRT($B$7))</f>
        <v>-2.83372061159785</v>
      </c>
      <c r="E3096" s="0" t="str">
        <f aca="false">IF(OR(AND($B$9="superior",D3096&gt;$B$10),AND($B$9="inferior",D3096&lt;-$B$10)),"Rechazar H0","No rechazar H0")</f>
        <v>Rechazar H0</v>
      </c>
      <c r="F3096" s="0" t="str">
        <f aca="false">IF(AND(B3096="H0 verdadera",E3096="Rechazar H0"),"Error tipo I",IF(AND(B3096="Ha verdadera",E3096="No rechazar H0"),"Error tipo II","Decisión correcta"))</f>
        <v>Decisión correcta</v>
      </c>
    </row>
    <row r="3097" customFormat="false" ht="15" hidden="false" customHeight="false" outlineLevel="0" collapsed="false">
      <c r="A3097" s="0" t="n">
        <v>3076</v>
      </c>
      <c r="B3097" s="0" t="s">
        <v>85</v>
      </c>
      <c r="C3097" s="17" t="n">
        <v>-0.293028561339241</v>
      </c>
      <c r="D3097" s="17" t="n">
        <f aca="false">(C3097-$B$4)/($B$6/SQRT($B$7))</f>
        <v>-1.46514280669621</v>
      </c>
      <c r="E3097" s="0" t="str">
        <f aca="false">IF(OR(AND($B$9="superior",D3097&gt;$B$10),AND($B$9="inferior",D3097&lt;-$B$10)),"Rechazar H0","No rechazar H0")</f>
        <v>No rechazar H0</v>
      </c>
      <c r="F3097" s="0" t="str">
        <f aca="false">IF(AND(B3097="H0 verdadera",E3097="Rechazar H0"),"Error tipo I",IF(AND(B3097="Ha verdadera",E3097="No rechazar H0"),"Error tipo II","Decisión correcta"))</f>
        <v>Decisión correcta</v>
      </c>
    </row>
    <row r="3098" customFormat="false" ht="15" hidden="false" customHeight="false" outlineLevel="0" collapsed="false">
      <c r="A3098" s="0" t="n">
        <v>3077</v>
      </c>
      <c r="B3098" s="0" t="s">
        <v>85</v>
      </c>
      <c r="C3098" s="17" t="n">
        <v>-0.279984233140384</v>
      </c>
      <c r="D3098" s="17" t="n">
        <f aca="false">(C3098-$B$4)/($B$6/SQRT($B$7))</f>
        <v>-1.39992116570192</v>
      </c>
      <c r="E3098" s="0" t="str">
        <f aca="false">IF(OR(AND($B$9="superior",D3098&gt;$B$10),AND($B$9="inferior",D3098&lt;-$B$10)),"Rechazar H0","No rechazar H0")</f>
        <v>No rechazar H0</v>
      </c>
      <c r="F3098" s="0" t="str">
        <f aca="false">IF(AND(B3098="H0 verdadera",E3098="Rechazar H0"),"Error tipo I",IF(AND(B3098="Ha verdadera",E3098="No rechazar H0"),"Error tipo II","Decisión correcta"))</f>
        <v>Decisión correcta</v>
      </c>
    </row>
    <row r="3099" customFormat="false" ht="15" hidden="false" customHeight="false" outlineLevel="0" collapsed="false">
      <c r="A3099" s="0" t="n">
        <v>3078</v>
      </c>
      <c r="B3099" s="0" t="s">
        <v>85</v>
      </c>
      <c r="C3099" s="17" t="n">
        <v>-0.418870080024245</v>
      </c>
      <c r="D3099" s="17" t="n">
        <f aca="false">(C3099-$B$4)/($B$6/SQRT($B$7))</f>
        <v>-2.09435040012122</v>
      </c>
      <c r="E3099" s="0" t="str">
        <f aca="false">IF(OR(AND($B$9="superior",D3099&gt;$B$10),AND($B$9="inferior",D3099&lt;-$B$10)),"Rechazar H0","No rechazar H0")</f>
        <v>Rechazar H0</v>
      </c>
      <c r="F3099" s="0" t="str">
        <f aca="false">IF(AND(B3099="H0 verdadera",E3099="Rechazar H0"),"Error tipo I",IF(AND(B3099="Ha verdadera",E3099="No rechazar H0"),"Error tipo II","Decisión correcta"))</f>
        <v>Error tipo I</v>
      </c>
    </row>
    <row r="3100" customFormat="false" ht="15" hidden="false" customHeight="false" outlineLevel="0" collapsed="false">
      <c r="A3100" s="0" t="n">
        <v>3079</v>
      </c>
      <c r="B3100" s="0" t="s">
        <v>85</v>
      </c>
      <c r="C3100" s="17" t="n">
        <v>-0.171222385515604</v>
      </c>
      <c r="D3100" s="17" t="n">
        <f aca="false">(C3100-$B$4)/($B$6/SQRT($B$7))</f>
        <v>-0.856111927578022</v>
      </c>
      <c r="E3100" s="0" t="str">
        <f aca="false">IF(OR(AND($B$9="superior",D3100&gt;$B$10),AND($B$9="inferior",D3100&lt;-$B$10)),"Rechazar H0","No rechazar H0")</f>
        <v>No rechazar H0</v>
      </c>
      <c r="F3100" s="0" t="str">
        <f aca="false">IF(AND(B3100="H0 verdadera",E3100="Rechazar H0"),"Error tipo I",IF(AND(B3100="Ha verdadera",E3100="No rechazar H0"),"Error tipo II","Decisión correcta"))</f>
        <v>Decisión correcta</v>
      </c>
    </row>
    <row r="3101" customFormat="false" ht="15" hidden="false" customHeight="false" outlineLevel="0" collapsed="false">
      <c r="A3101" s="0" t="n">
        <v>3080</v>
      </c>
      <c r="B3101" s="0" t="s">
        <v>85</v>
      </c>
      <c r="C3101" s="17" t="n">
        <v>0.00122837051354898</v>
      </c>
      <c r="D3101" s="17" t="n">
        <f aca="false">(C3101-$B$4)/($B$6/SQRT($B$7))</f>
        <v>0.0061418525677449</v>
      </c>
      <c r="E3101" s="0" t="str">
        <f aca="false">IF(OR(AND($B$9="superior",D3101&gt;$B$10),AND($B$9="inferior",D3101&lt;-$B$10)),"Rechazar H0","No rechazar H0")</f>
        <v>No rechazar H0</v>
      </c>
      <c r="F3101" s="0" t="str">
        <f aca="false">IF(AND(B3101="H0 verdadera",E3101="Rechazar H0"),"Error tipo I",IF(AND(B3101="Ha verdadera",E3101="No rechazar H0"),"Error tipo II","Decisión correcta"))</f>
        <v>Decisión correcta</v>
      </c>
    </row>
    <row r="3102" customFormat="false" ht="15" hidden="false" customHeight="false" outlineLevel="0" collapsed="false">
      <c r="A3102" s="0" t="n">
        <v>3081</v>
      </c>
      <c r="B3102" s="0" t="s">
        <v>85</v>
      </c>
      <c r="C3102" s="17" t="n">
        <v>-0.127636306112935</v>
      </c>
      <c r="D3102" s="17" t="n">
        <f aca="false">(C3102-$B$4)/($B$6/SQRT($B$7))</f>
        <v>-0.638181530564672</v>
      </c>
      <c r="E3102" s="0" t="str">
        <f aca="false">IF(OR(AND($B$9="superior",D3102&gt;$B$10),AND($B$9="inferior",D3102&lt;-$B$10)),"Rechazar H0","No rechazar H0")</f>
        <v>No rechazar H0</v>
      </c>
      <c r="F3102" s="0" t="str">
        <f aca="false">IF(AND(B3102="H0 verdadera",E3102="Rechazar H0"),"Error tipo I",IF(AND(B3102="Ha verdadera",E3102="No rechazar H0"),"Error tipo II","Decisión correcta"))</f>
        <v>Decisión correcta</v>
      </c>
    </row>
    <row r="3103" customFormat="false" ht="15" hidden="false" customHeight="false" outlineLevel="0" collapsed="false">
      <c r="A3103" s="0" t="n">
        <v>3082</v>
      </c>
      <c r="B3103" s="0" t="s">
        <v>86</v>
      </c>
      <c r="C3103" s="17" t="n">
        <v>-0.293956797805927</v>
      </c>
      <c r="D3103" s="17" t="n">
        <f aca="false">(C3103-$B$4)/($B$6/SQRT($B$7))</f>
        <v>-1.46978398902963</v>
      </c>
      <c r="E3103" s="0" t="str">
        <f aca="false">IF(OR(AND($B$9="superior",D3103&gt;$B$10),AND($B$9="inferior",D3103&lt;-$B$10)),"Rechazar H0","No rechazar H0")</f>
        <v>No rechazar H0</v>
      </c>
      <c r="F3103" s="0" t="str">
        <f aca="false">IF(AND(B3103="H0 verdadera",E3103="Rechazar H0"),"Error tipo I",IF(AND(B3103="Ha verdadera",E3103="No rechazar H0"),"Error tipo II","Decisión correcta"))</f>
        <v>Error tipo II</v>
      </c>
    </row>
    <row r="3104" customFormat="false" ht="15" hidden="false" customHeight="false" outlineLevel="0" collapsed="false">
      <c r="A3104" s="0" t="n">
        <v>3083</v>
      </c>
      <c r="B3104" s="0" t="s">
        <v>86</v>
      </c>
      <c r="C3104" s="17" t="n">
        <v>-0.178629882852249</v>
      </c>
      <c r="D3104" s="17" t="n">
        <f aca="false">(C3104-$B$4)/($B$6/SQRT($B$7))</f>
        <v>-0.893149414261247</v>
      </c>
      <c r="E3104" s="0" t="str">
        <f aca="false">IF(OR(AND($B$9="superior",D3104&gt;$B$10),AND($B$9="inferior",D3104&lt;-$B$10)),"Rechazar H0","No rechazar H0")</f>
        <v>No rechazar H0</v>
      </c>
      <c r="F3104" s="0" t="str">
        <f aca="false">IF(AND(B3104="H0 verdadera",E3104="Rechazar H0"),"Error tipo I",IF(AND(B3104="Ha verdadera",E3104="No rechazar H0"),"Error tipo II","Decisión correcta"))</f>
        <v>Error tipo II</v>
      </c>
    </row>
    <row r="3105" customFormat="false" ht="15" hidden="false" customHeight="false" outlineLevel="0" collapsed="false">
      <c r="A3105" s="0" t="n">
        <v>3084</v>
      </c>
      <c r="B3105" s="0" t="s">
        <v>85</v>
      </c>
      <c r="C3105" s="17" t="n">
        <v>0.0462509538339221</v>
      </c>
      <c r="D3105" s="17" t="n">
        <f aca="false">(C3105-$B$4)/($B$6/SQRT($B$7))</f>
        <v>0.231254769169611</v>
      </c>
      <c r="E3105" s="0" t="str">
        <f aca="false">IF(OR(AND($B$9="superior",D3105&gt;$B$10),AND($B$9="inferior",D3105&lt;-$B$10)),"Rechazar H0","No rechazar H0")</f>
        <v>No rechazar H0</v>
      </c>
      <c r="F3105" s="0" t="str">
        <f aca="false">IF(AND(B3105="H0 verdadera",E3105="Rechazar H0"),"Error tipo I",IF(AND(B3105="Ha verdadera",E3105="No rechazar H0"),"Error tipo II","Decisión correcta"))</f>
        <v>Decisión correcta</v>
      </c>
    </row>
    <row r="3106" customFormat="false" ht="15" hidden="false" customHeight="false" outlineLevel="0" collapsed="false">
      <c r="A3106" s="0" t="n">
        <v>3085</v>
      </c>
      <c r="B3106" s="0" t="s">
        <v>86</v>
      </c>
      <c r="C3106" s="17" t="n">
        <v>0.104528825492574</v>
      </c>
      <c r="D3106" s="17" t="n">
        <f aca="false">(C3106-$B$4)/($B$6/SQRT($B$7))</f>
        <v>0.522644127462872</v>
      </c>
      <c r="E3106" s="0" t="str">
        <f aca="false">IF(OR(AND($B$9="superior",D3106&gt;$B$10),AND($B$9="inferior",D3106&lt;-$B$10)),"Rechazar H0","No rechazar H0")</f>
        <v>No rechazar H0</v>
      </c>
      <c r="F3106" s="0" t="str">
        <f aca="false">IF(AND(B3106="H0 verdadera",E3106="Rechazar H0"),"Error tipo I",IF(AND(B3106="Ha verdadera",E3106="No rechazar H0"),"Error tipo II","Decisión correcta"))</f>
        <v>Error tipo II</v>
      </c>
    </row>
    <row r="3107" customFormat="false" ht="15" hidden="false" customHeight="false" outlineLevel="0" collapsed="false">
      <c r="A3107" s="0" t="n">
        <v>3086</v>
      </c>
      <c r="B3107" s="0" t="s">
        <v>85</v>
      </c>
      <c r="C3107" s="17" t="n">
        <v>0.20767078291029</v>
      </c>
      <c r="D3107" s="17" t="n">
        <f aca="false">(C3107-$B$4)/($B$6/SQRT($B$7))</f>
        <v>1.03835391455145</v>
      </c>
      <c r="E3107" s="0" t="str">
        <f aca="false">IF(OR(AND($B$9="superior",D3107&gt;$B$10),AND($B$9="inferior",D3107&lt;-$B$10)),"Rechazar H0","No rechazar H0")</f>
        <v>No rechazar H0</v>
      </c>
      <c r="F3107" s="0" t="str">
        <f aca="false">IF(AND(B3107="H0 verdadera",E3107="Rechazar H0"),"Error tipo I",IF(AND(B3107="Ha verdadera",E3107="No rechazar H0"),"Error tipo II","Decisión correcta"))</f>
        <v>Decisión correcta</v>
      </c>
    </row>
    <row r="3108" customFormat="false" ht="15" hidden="false" customHeight="false" outlineLevel="0" collapsed="false">
      <c r="A3108" s="0" t="n">
        <v>3087</v>
      </c>
      <c r="B3108" s="0" t="s">
        <v>86</v>
      </c>
      <c r="C3108" s="17" t="n">
        <v>-0.470862119320885</v>
      </c>
      <c r="D3108" s="17" t="n">
        <f aca="false">(C3108-$B$4)/($B$6/SQRT($B$7))</f>
        <v>-2.35431059660442</v>
      </c>
      <c r="E3108" s="0" t="str">
        <f aca="false">IF(OR(AND($B$9="superior",D3108&gt;$B$10),AND($B$9="inferior",D3108&lt;-$B$10)),"Rechazar H0","No rechazar H0")</f>
        <v>Rechazar H0</v>
      </c>
      <c r="F3108" s="0" t="str">
        <f aca="false">IF(AND(B3108="H0 verdadera",E3108="Rechazar H0"),"Error tipo I",IF(AND(B3108="Ha verdadera",E3108="No rechazar H0"),"Error tipo II","Decisión correcta"))</f>
        <v>Decisión correcta</v>
      </c>
    </row>
    <row r="3109" customFormat="false" ht="15" hidden="false" customHeight="false" outlineLevel="0" collapsed="false">
      <c r="A3109" s="0" t="n">
        <v>3088</v>
      </c>
      <c r="B3109" s="0" t="s">
        <v>86</v>
      </c>
      <c r="C3109" s="17" t="n">
        <v>-0.240109657886431</v>
      </c>
      <c r="D3109" s="17" t="n">
        <f aca="false">(C3109-$B$4)/($B$6/SQRT($B$7))</f>
        <v>-1.20054828943215</v>
      </c>
      <c r="E3109" s="0" t="str">
        <f aca="false">IF(OR(AND($B$9="superior",D3109&gt;$B$10),AND($B$9="inferior",D3109&lt;-$B$10)),"Rechazar H0","No rechazar H0")</f>
        <v>No rechazar H0</v>
      </c>
      <c r="F3109" s="0" t="str">
        <f aca="false">IF(AND(B3109="H0 verdadera",E3109="Rechazar H0"),"Error tipo I",IF(AND(B3109="Ha verdadera",E3109="No rechazar H0"),"Error tipo II","Decisión correcta"))</f>
        <v>Error tipo II</v>
      </c>
    </row>
    <row r="3110" customFormat="false" ht="15" hidden="false" customHeight="false" outlineLevel="0" collapsed="false">
      <c r="A3110" s="0" t="n">
        <v>3089</v>
      </c>
      <c r="B3110" s="0" t="s">
        <v>85</v>
      </c>
      <c r="C3110" s="17" t="n">
        <v>-0.0891798064353075</v>
      </c>
      <c r="D3110" s="17" t="n">
        <f aca="false">(C3110-$B$4)/($B$6/SQRT($B$7))</f>
        <v>-0.445899032176537</v>
      </c>
      <c r="E3110" s="0" t="str">
        <f aca="false">IF(OR(AND($B$9="superior",D3110&gt;$B$10),AND($B$9="inferior",D3110&lt;-$B$10)),"Rechazar H0","No rechazar H0")</f>
        <v>No rechazar H0</v>
      </c>
      <c r="F3110" s="0" t="str">
        <f aca="false">IF(AND(B3110="H0 verdadera",E3110="Rechazar H0"),"Error tipo I",IF(AND(B3110="Ha verdadera",E3110="No rechazar H0"),"Error tipo II","Decisión correcta"))</f>
        <v>Decisión correcta</v>
      </c>
    </row>
    <row r="3111" customFormat="false" ht="15" hidden="false" customHeight="false" outlineLevel="0" collapsed="false">
      <c r="A3111" s="0" t="n">
        <v>3090</v>
      </c>
      <c r="B3111" s="0" t="s">
        <v>86</v>
      </c>
      <c r="C3111" s="17" t="n">
        <v>-0.341982987017202</v>
      </c>
      <c r="D3111" s="17" t="n">
        <f aca="false">(C3111-$B$4)/($B$6/SQRT($B$7))</f>
        <v>-1.70991493508601</v>
      </c>
      <c r="E3111" s="0" t="str">
        <f aca="false">IF(OR(AND($B$9="superior",D3111&gt;$B$10),AND($B$9="inferior",D3111&lt;-$B$10)),"Rechazar H0","No rechazar H0")</f>
        <v>Rechazar H0</v>
      </c>
      <c r="F3111" s="0" t="str">
        <f aca="false">IF(AND(B3111="H0 verdadera",E3111="Rechazar H0"),"Error tipo I",IF(AND(B3111="Ha verdadera",E3111="No rechazar H0"),"Error tipo II","Decisión correcta"))</f>
        <v>Decisión correcta</v>
      </c>
    </row>
    <row r="3112" customFormat="false" ht="15" hidden="false" customHeight="false" outlineLevel="0" collapsed="false">
      <c r="A3112" s="0" t="n">
        <v>3091</v>
      </c>
      <c r="B3112" s="0" t="s">
        <v>86</v>
      </c>
      <c r="C3112" s="17" t="n">
        <v>-0.399683636205651</v>
      </c>
      <c r="D3112" s="17" t="n">
        <f aca="false">(C3112-$B$4)/($B$6/SQRT($B$7))</f>
        <v>-1.99841818102826</v>
      </c>
      <c r="E3112" s="0" t="str">
        <f aca="false">IF(OR(AND($B$9="superior",D3112&gt;$B$10),AND($B$9="inferior",D3112&lt;-$B$10)),"Rechazar H0","No rechazar H0")</f>
        <v>Rechazar H0</v>
      </c>
      <c r="F3112" s="0" t="str">
        <f aca="false">IF(AND(B3112="H0 verdadera",E3112="Rechazar H0"),"Error tipo I",IF(AND(B3112="Ha verdadera",E3112="No rechazar H0"),"Error tipo II","Decisión correcta"))</f>
        <v>Decisión correcta</v>
      </c>
    </row>
    <row r="3113" customFormat="false" ht="15" hidden="false" customHeight="false" outlineLevel="0" collapsed="false">
      <c r="A3113" s="0" t="n">
        <v>3092</v>
      </c>
      <c r="B3113" s="0" t="s">
        <v>86</v>
      </c>
      <c r="C3113" s="17" t="n">
        <v>-0.838437450487041</v>
      </c>
      <c r="D3113" s="17" t="n">
        <f aca="false">(C3113-$B$4)/($B$6/SQRT($B$7))</f>
        <v>-4.1921872524352</v>
      </c>
      <c r="E3113" s="0" t="str">
        <f aca="false">IF(OR(AND($B$9="superior",D3113&gt;$B$10),AND($B$9="inferior",D3113&lt;-$B$10)),"Rechazar H0","No rechazar H0")</f>
        <v>Rechazar H0</v>
      </c>
      <c r="F3113" s="0" t="str">
        <f aca="false">IF(AND(B3113="H0 verdadera",E3113="Rechazar H0"),"Error tipo I",IF(AND(B3113="Ha verdadera",E3113="No rechazar H0"),"Error tipo II","Decisión correcta"))</f>
        <v>Decisión correcta</v>
      </c>
    </row>
    <row r="3114" customFormat="false" ht="15" hidden="false" customHeight="false" outlineLevel="0" collapsed="false">
      <c r="A3114" s="0" t="n">
        <v>3093</v>
      </c>
      <c r="B3114" s="0" t="s">
        <v>85</v>
      </c>
      <c r="C3114" s="17" t="n">
        <v>-0.0670336320110458</v>
      </c>
      <c r="D3114" s="17" t="n">
        <f aca="false">(C3114-$B$4)/($B$6/SQRT($B$7))</f>
        <v>-0.335168160055229</v>
      </c>
      <c r="E3114" s="0" t="str">
        <f aca="false">IF(OR(AND($B$9="superior",D3114&gt;$B$10),AND($B$9="inferior",D3114&lt;-$B$10)),"Rechazar H0","No rechazar H0")</f>
        <v>No rechazar H0</v>
      </c>
      <c r="F3114" s="0" t="str">
        <f aca="false">IF(AND(B3114="H0 verdadera",E3114="Rechazar H0"),"Error tipo I",IF(AND(B3114="Ha verdadera",E3114="No rechazar H0"),"Error tipo II","Decisión correcta"))</f>
        <v>Decisión correcta</v>
      </c>
    </row>
    <row r="3115" customFormat="false" ht="15" hidden="false" customHeight="false" outlineLevel="0" collapsed="false">
      <c r="A3115" s="0" t="n">
        <v>3094</v>
      </c>
      <c r="B3115" s="0" t="s">
        <v>85</v>
      </c>
      <c r="C3115" s="17" t="n">
        <v>0.274052539905837</v>
      </c>
      <c r="D3115" s="17" t="n">
        <f aca="false">(C3115-$B$4)/($B$6/SQRT($B$7))</f>
        <v>1.37026269952918</v>
      </c>
      <c r="E3115" s="0" t="str">
        <f aca="false">IF(OR(AND($B$9="superior",D3115&gt;$B$10),AND($B$9="inferior",D3115&lt;-$B$10)),"Rechazar H0","No rechazar H0")</f>
        <v>No rechazar H0</v>
      </c>
      <c r="F3115" s="0" t="str">
        <f aca="false">IF(AND(B3115="H0 verdadera",E3115="Rechazar H0"),"Error tipo I",IF(AND(B3115="Ha verdadera",E3115="No rechazar H0"),"Error tipo II","Decisión correcta"))</f>
        <v>Decisión correcta</v>
      </c>
    </row>
    <row r="3116" customFormat="false" ht="15" hidden="false" customHeight="false" outlineLevel="0" collapsed="false">
      <c r="A3116" s="0" t="n">
        <v>3095</v>
      </c>
      <c r="B3116" s="0" t="s">
        <v>86</v>
      </c>
      <c r="C3116" s="17" t="n">
        <v>-0.308475135611518</v>
      </c>
      <c r="D3116" s="17" t="n">
        <f aca="false">(C3116-$B$4)/($B$6/SQRT($B$7))</f>
        <v>-1.54237567805759</v>
      </c>
      <c r="E3116" s="0" t="str">
        <f aca="false">IF(OR(AND($B$9="superior",D3116&gt;$B$10),AND($B$9="inferior",D3116&lt;-$B$10)),"Rechazar H0","No rechazar H0")</f>
        <v>No rechazar H0</v>
      </c>
      <c r="F3116" s="0" t="str">
        <f aca="false">IF(AND(B3116="H0 verdadera",E3116="Rechazar H0"),"Error tipo I",IF(AND(B3116="Ha verdadera",E3116="No rechazar H0"),"Error tipo II","Decisión correcta"))</f>
        <v>Error tipo II</v>
      </c>
    </row>
    <row r="3117" customFormat="false" ht="15" hidden="false" customHeight="false" outlineLevel="0" collapsed="false">
      <c r="A3117" s="0" t="n">
        <v>3096</v>
      </c>
      <c r="B3117" s="0" t="s">
        <v>86</v>
      </c>
      <c r="C3117" s="17" t="n">
        <v>-0.446568293480262</v>
      </c>
      <c r="D3117" s="17" t="n">
        <f aca="false">(C3117-$B$4)/($B$6/SQRT($B$7))</f>
        <v>-2.23284146740131</v>
      </c>
      <c r="E3117" s="0" t="str">
        <f aca="false">IF(OR(AND($B$9="superior",D3117&gt;$B$10),AND($B$9="inferior",D3117&lt;-$B$10)),"Rechazar H0","No rechazar H0")</f>
        <v>Rechazar H0</v>
      </c>
      <c r="F3117" s="0" t="str">
        <f aca="false">IF(AND(B3117="H0 verdadera",E3117="Rechazar H0"),"Error tipo I",IF(AND(B3117="Ha verdadera",E3117="No rechazar H0"),"Error tipo II","Decisión correcta"))</f>
        <v>Decisión correcta</v>
      </c>
    </row>
    <row r="3118" customFormat="false" ht="15" hidden="false" customHeight="false" outlineLevel="0" collapsed="false">
      <c r="A3118" s="0" t="n">
        <v>3097</v>
      </c>
      <c r="B3118" s="0" t="s">
        <v>85</v>
      </c>
      <c r="C3118" s="17" t="n">
        <v>-0.210205046349234</v>
      </c>
      <c r="D3118" s="17" t="n">
        <f aca="false">(C3118-$B$4)/($B$6/SQRT($B$7))</f>
        <v>-1.05102523174617</v>
      </c>
      <c r="E3118" s="0" t="str">
        <f aca="false">IF(OR(AND($B$9="superior",D3118&gt;$B$10),AND($B$9="inferior",D3118&lt;-$B$10)),"Rechazar H0","No rechazar H0")</f>
        <v>No rechazar H0</v>
      </c>
      <c r="F3118" s="0" t="str">
        <f aca="false">IF(AND(B3118="H0 verdadera",E3118="Rechazar H0"),"Error tipo I",IF(AND(B3118="Ha verdadera",E3118="No rechazar H0"),"Error tipo II","Decisión correcta"))</f>
        <v>Decisión correcta</v>
      </c>
    </row>
    <row r="3119" customFormat="false" ht="15" hidden="false" customHeight="false" outlineLevel="0" collapsed="false">
      <c r="A3119" s="0" t="n">
        <v>3098</v>
      </c>
      <c r="B3119" s="0" t="s">
        <v>85</v>
      </c>
      <c r="C3119" s="17" t="n">
        <v>-0.126172110042484</v>
      </c>
      <c r="D3119" s="17" t="n">
        <f aca="false">(C3119-$B$4)/($B$6/SQRT($B$7))</f>
        <v>-0.630860550212418</v>
      </c>
      <c r="E3119" s="0" t="str">
        <f aca="false">IF(OR(AND($B$9="superior",D3119&gt;$B$10),AND($B$9="inferior",D3119&lt;-$B$10)),"Rechazar H0","No rechazar H0")</f>
        <v>No rechazar H0</v>
      </c>
      <c r="F3119" s="0" t="str">
        <f aca="false">IF(AND(B3119="H0 verdadera",E3119="Rechazar H0"),"Error tipo I",IF(AND(B3119="Ha verdadera",E3119="No rechazar H0"),"Error tipo II","Decisión correcta"))</f>
        <v>Decisión correcta</v>
      </c>
    </row>
    <row r="3120" customFormat="false" ht="15" hidden="false" customHeight="false" outlineLevel="0" collapsed="false">
      <c r="A3120" s="0" t="n">
        <v>3099</v>
      </c>
      <c r="B3120" s="0" t="s">
        <v>85</v>
      </c>
      <c r="C3120" s="17" t="n">
        <v>-0.381694144004492</v>
      </c>
      <c r="D3120" s="17" t="n">
        <f aca="false">(C3120-$B$4)/($B$6/SQRT($B$7))</f>
        <v>-1.90847072002246</v>
      </c>
      <c r="E3120" s="0" t="str">
        <f aca="false">IF(OR(AND($B$9="superior",D3120&gt;$B$10),AND($B$9="inferior",D3120&lt;-$B$10)),"Rechazar H0","No rechazar H0")</f>
        <v>Rechazar H0</v>
      </c>
      <c r="F3120" s="0" t="str">
        <f aca="false">IF(AND(B3120="H0 verdadera",E3120="Rechazar H0"),"Error tipo I",IF(AND(B3120="Ha verdadera",E3120="No rechazar H0"),"Error tipo II","Decisión correcta"))</f>
        <v>Error tipo I</v>
      </c>
    </row>
    <row r="3121" customFormat="false" ht="15" hidden="false" customHeight="false" outlineLevel="0" collapsed="false">
      <c r="A3121" s="0" t="n">
        <v>3100</v>
      </c>
      <c r="B3121" s="0" t="s">
        <v>85</v>
      </c>
      <c r="C3121" s="17" t="n">
        <v>-0.214109818368656</v>
      </c>
      <c r="D3121" s="17" t="n">
        <f aca="false">(C3121-$B$4)/($B$6/SQRT($B$7))</f>
        <v>-1.07054909184328</v>
      </c>
      <c r="E3121" s="0" t="str">
        <f aca="false">IF(OR(AND($B$9="superior",D3121&gt;$B$10),AND($B$9="inferior",D3121&lt;-$B$10)),"Rechazar H0","No rechazar H0")</f>
        <v>No rechazar H0</v>
      </c>
      <c r="F3121" s="0" t="str">
        <f aca="false">IF(AND(B3121="H0 verdadera",E3121="Rechazar H0"),"Error tipo I",IF(AND(B3121="Ha verdadera",E3121="No rechazar H0"),"Error tipo II","Decisión correcta"))</f>
        <v>Decisión correcta</v>
      </c>
    </row>
    <row r="3122" customFormat="false" ht="15" hidden="false" customHeight="false" outlineLevel="0" collapsed="false">
      <c r="A3122" s="0" t="n">
        <v>3101</v>
      </c>
      <c r="B3122" s="0" t="s">
        <v>86</v>
      </c>
      <c r="C3122" s="17" t="n">
        <v>0.0399189561742813</v>
      </c>
      <c r="D3122" s="17" t="n">
        <f aca="false">(C3122-$B$4)/($B$6/SQRT($B$7))</f>
        <v>0.199594780871406</v>
      </c>
      <c r="E3122" s="0" t="str">
        <f aca="false">IF(OR(AND($B$9="superior",D3122&gt;$B$10),AND($B$9="inferior",D3122&lt;-$B$10)),"Rechazar H0","No rechazar H0")</f>
        <v>No rechazar H0</v>
      </c>
      <c r="F3122" s="0" t="str">
        <f aca="false">IF(AND(B3122="H0 verdadera",E3122="Rechazar H0"),"Error tipo I",IF(AND(B3122="Ha verdadera",E3122="No rechazar H0"),"Error tipo II","Decisión correcta"))</f>
        <v>Error tipo II</v>
      </c>
    </row>
    <row r="3123" customFormat="false" ht="15" hidden="false" customHeight="false" outlineLevel="0" collapsed="false">
      <c r="A3123" s="0" t="n">
        <v>3102</v>
      </c>
      <c r="B3123" s="0" t="s">
        <v>86</v>
      </c>
      <c r="C3123" s="17" t="n">
        <v>-0.157670317262953</v>
      </c>
      <c r="D3123" s="17" t="n">
        <f aca="false">(C3123-$B$4)/($B$6/SQRT($B$7))</f>
        <v>-0.788351586314766</v>
      </c>
      <c r="E3123" s="0" t="str">
        <f aca="false">IF(OR(AND($B$9="superior",D3123&gt;$B$10),AND($B$9="inferior",D3123&lt;-$B$10)),"Rechazar H0","No rechazar H0")</f>
        <v>No rechazar H0</v>
      </c>
      <c r="F3123" s="0" t="str">
        <f aca="false">IF(AND(B3123="H0 verdadera",E3123="Rechazar H0"),"Error tipo I",IF(AND(B3123="Ha verdadera",E3123="No rechazar H0"),"Error tipo II","Decisión correcta"))</f>
        <v>Error tipo II</v>
      </c>
    </row>
    <row r="3124" customFormat="false" ht="15" hidden="false" customHeight="false" outlineLevel="0" collapsed="false">
      <c r="A3124" s="0" t="n">
        <v>3103</v>
      </c>
      <c r="B3124" s="0" t="s">
        <v>86</v>
      </c>
      <c r="C3124" s="17" t="n">
        <v>-0.22919300395561</v>
      </c>
      <c r="D3124" s="17" t="n">
        <f aca="false">(C3124-$B$4)/($B$6/SQRT($B$7))</f>
        <v>-1.14596501977805</v>
      </c>
      <c r="E3124" s="0" t="str">
        <f aca="false">IF(OR(AND($B$9="superior",D3124&gt;$B$10),AND($B$9="inferior",D3124&lt;-$B$10)),"Rechazar H0","No rechazar H0")</f>
        <v>No rechazar H0</v>
      </c>
      <c r="F3124" s="0" t="str">
        <f aca="false">IF(AND(B3124="H0 verdadera",E3124="Rechazar H0"),"Error tipo I",IF(AND(B3124="Ha verdadera",E3124="No rechazar H0"),"Error tipo II","Decisión correcta"))</f>
        <v>Error tipo II</v>
      </c>
    </row>
    <row r="3125" customFormat="false" ht="15" hidden="false" customHeight="false" outlineLevel="0" collapsed="false">
      <c r="A3125" s="0" t="n">
        <v>3104</v>
      </c>
      <c r="B3125" s="0" t="s">
        <v>85</v>
      </c>
      <c r="C3125" s="17" t="n">
        <v>0.0410980646359957</v>
      </c>
      <c r="D3125" s="17" t="n">
        <f aca="false">(C3125-$B$4)/($B$6/SQRT($B$7))</f>
        <v>0.205490323179979</v>
      </c>
      <c r="E3125" s="0" t="str">
        <f aca="false">IF(OR(AND($B$9="superior",D3125&gt;$B$10),AND($B$9="inferior",D3125&lt;-$B$10)),"Rechazar H0","No rechazar H0")</f>
        <v>No rechazar H0</v>
      </c>
      <c r="F3125" s="0" t="str">
        <f aca="false">IF(AND(B3125="H0 verdadera",E3125="Rechazar H0"),"Error tipo I",IF(AND(B3125="Ha verdadera",E3125="No rechazar H0"),"Error tipo II","Decisión correcta"))</f>
        <v>Decisión correcta</v>
      </c>
    </row>
    <row r="3126" customFormat="false" ht="15" hidden="false" customHeight="false" outlineLevel="0" collapsed="false">
      <c r="A3126" s="0" t="n">
        <v>3105</v>
      </c>
      <c r="B3126" s="0" t="s">
        <v>86</v>
      </c>
      <c r="C3126" s="17" t="n">
        <v>-0.252411411935485</v>
      </c>
      <c r="D3126" s="17" t="n">
        <f aca="false">(C3126-$B$4)/($B$6/SQRT($B$7))</f>
        <v>-1.26205705967742</v>
      </c>
      <c r="E3126" s="0" t="str">
        <f aca="false">IF(OR(AND($B$9="superior",D3126&gt;$B$10),AND($B$9="inferior",D3126&lt;-$B$10)),"Rechazar H0","No rechazar H0")</f>
        <v>No rechazar H0</v>
      </c>
      <c r="F3126" s="0" t="str">
        <f aca="false">IF(AND(B3126="H0 verdadera",E3126="Rechazar H0"),"Error tipo I",IF(AND(B3126="Ha verdadera",E3126="No rechazar H0"),"Error tipo II","Decisión correcta"))</f>
        <v>Error tipo II</v>
      </c>
    </row>
    <row r="3127" customFormat="false" ht="15" hidden="false" customHeight="false" outlineLevel="0" collapsed="false">
      <c r="A3127" s="0" t="n">
        <v>3106</v>
      </c>
      <c r="B3127" s="0" t="s">
        <v>85</v>
      </c>
      <c r="C3127" s="17" t="n">
        <v>0.151638091752337</v>
      </c>
      <c r="D3127" s="17" t="n">
        <f aca="false">(C3127-$B$4)/($B$6/SQRT($B$7))</f>
        <v>0.758190458761686</v>
      </c>
      <c r="E3127" s="0" t="str">
        <f aca="false">IF(OR(AND($B$9="superior",D3127&gt;$B$10),AND($B$9="inferior",D3127&lt;-$B$10)),"Rechazar H0","No rechazar H0")</f>
        <v>No rechazar H0</v>
      </c>
      <c r="F3127" s="0" t="str">
        <f aca="false">IF(AND(B3127="H0 verdadera",E3127="Rechazar H0"),"Error tipo I",IF(AND(B3127="Ha verdadera",E3127="No rechazar H0"),"Error tipo II","Decisión correcta"))</f>
        <v>Decisión correcta</v>
      </c>
    </row>
    <row r="3128" customFormat="false" ht="15" hidden="false" customHeight="false" outlineLevel="0" collapsed="false">
      <c r="A3128" s="0" t="n">
        <v>3107</v>
      </c>
      <c r="B3128" s="0" t="s">
        <v>85</v>
      </c>
      <c r="C3128" s="17" t="n">
        <v>-0.215209469350137</v>
      </c>
      <c r="D3128" s="17" t="n">
        <f aca="false">(C3128-$B$4)/($B$6/SQRT($B$7))</f>
        <v>-1.07604734675069</v>
      </c>
      <c r="E3128" s="0" t="str">
        <f aca="false">IF(OR(AND($B$9="superior",D3128&gt;$B$10),AND($B$9="inferior",D3128&lt;-$B$10)),"Rechazar H0","No rechazar H0")</f>
        <v>No rechazar H0</v>
      </c>
      <c r="F3128" s="0" t="str">
        <f aca="false">IF(AND(B3128="H0 verdadera",E3128="Rechazar H0"),"Error tipo I",IF(AND(B3128="Ha verdadera",E3128="No rechazar H0"),"Error tipo II","Decisión correcta"))</f>
        <v>Decisión correcta</v>
      </c>
    </row>
    <row r="3129" customFormat="false" ht="15" hidden="false" customHeight="false" outlineLevel="0" collapsed="false">
      <c r="A3129" s="0" t="n">
        <v>3108</v>
      </c>
      <c r="B3129" s="0" t="s">
        <v>85</v>
      </c>
      <c r="C3129" s="17" t="n">
        <v>0.0911657468889665</v>
      </c>
      <c r="D3129" s="17" t="n">
        <f aca="false">(C3129-$B$4)/($B$6/SQRT($B$7))</f>
        <v>0.455828734444833</v>
      </c>
      <c r="E3129" s="0" t="str">
        <f aca="false">IF(OR(AND($B$9="superior",D3129&gt;$B$10),AND($B$9="inferior",D3129&lt;-$B$10)),"Rechazar H0","No rechazar H0")</f>
        <v>No rechazar H0</v>
      </c>
      <c r="F3129" s="0" t="str">
        <f aca="false">IF(AND(B3129="H0 verdadera",E3129="Rechazar H0"),"Error tipo I",IF(AND(B3129="Ha verdadera",E3129="No rechazar H0"),"Error tipo II","Decisión correcta"))</f>
        <v>Decisión correcta</v>
      </c>
    </row>
    <row r="3130" customFormat="false" ht="15" hidden="false" customHeight="false" outlineLevel="0" collapsed="false">
      <c r="A3130" s="0" t="n">
        <v>3109</v>
      </c>
      <c r="B3130" s="0" t="s">
        <v>85</v>
      </c>
      <c r="C3130" s="17" t="n">
        <v>0.122533496750269</v>
      </c>
      <c r="D3130" s="17" t="n">
        <f aca="false">(C3130-$B$4)/($B$6/SQRT($B$7))</f>
        <v>0.612667483751346</v>
      </c>
      <c r="E3130" s="0" t="str">
        <f aca="false">IF(OR(AND($B$9="superior",D3130&gt;$B$10),AND($B$9="inferior",D3130&lt;-$B$10)),"Rechazar H0","No rechazar H0")</f>
        <v>No rechazar H0</v>
      </c>
      <c r="F3130" s="0" t="str">
        <f aca="false">IF(AND(B3130="H0 verdadera",E3130="Rechazar H0"),"Error tipo I",IF(AND(B3130="Ha verdadera",E3130="No rechazar H0"),"Error tipo II","Decisión correcta"))</f>
        <v>Decisión correcta</v>
      </c>
    </row>
    <row r="3131" customFormat="false" ht="15" hidden="false" customHeight="false" outlineLevel="0" collapsed="false">
      <c r="A3131" s="0" t="n">
        <v>3110</v>
      </c>
      <c r="B3131" s="0" t="s">
        <v>85</v>
      </c>
      <c r="C3131" s="17" t="n">
        <v>0.281095680813494</v>
      </c>
      <c r="D3131" s="17" t="n">
        <f aca="false">(C3131-$B$4)/($B$6/SQRT($B$7))</f>
        <v>1.40547840406747</v>
      </c>
      <c r="E3131" s="0" t="str">
        <f aca="false">IF(OR(AND($B$9="superior",D3131&gt;$B$10),AND($B$9="inferior",D3131&lt;-$B$10)),"Rechazar H0","No rechazar H0")</f>
        <v>No rechazar H0</v>
      </c>
      <c r="F3131" s="0" t="str">
        <f aca="false">IF(AND(B3131="H0 verdadera",E3131="Rechazar H0"),"Error tipo I",IF(AND(B3131="Ha verdadera",E3131="No rechazar H0"),"Error tipo II","Decisión correcta"))</f>
        <v>Decisión correcta</v>
      </c>
    </row>
    <row r="3132" customFormat="false" ht="15" hidden="false" customHeight="false" outlineLevel="0" collapsed="false">
      <c r="A3132" s="0" t="n">
        <v>3111</v>
      </c>
      <c r="B3132" s="0" t="s">
        <v>86</v>
      </c>
      <c r="C3132" s="17" t="n">
        <v>-0.538670412828959</v>
      </c>
      <c r="D3132" s="17" t="n">
        <f aca="false">(C3132-$B$4)/($B$6/SQRT($B$7))</f>
        <v>-2.69335206414479</v>
      </c>
      <c r="E3132" s="0" t="str">
        <f aca="false">IF(OR(AND($B$9="superior",D3132&gt;$B$10),AND($B$9="inferior",D3132&lt;-$B$10)),"Rechazar H0","No rechazar H0")</f>
        <v>Rechazar H0</v>
      </c>
      <c r="F3132" s="0" t="str">
        <f aca="false">IF(AND(B3132="H0 verdadera",E3132="Rechazar H0"),"Error tipo I",IF(AND(B3132="Ha verdadera",E3132="No rechazar H0"),"Error tipo II","Decisión correcta"))</f>
        <v>Decisión correcta</v>
      </c>
    </row>
    <row r="3133" customFormat="false" ht="15" hidden="false" customHeight="false" outlineLevel="0" collapsed="false">
      <c r="A3133" s="0" t="n">
        <v>3112</v>
      </c>
      <c r="B3133" s="0" t="s">
        <v>86</v>
      </c>
      <c r="C3133" s="17" t="n">
        <v>-0.176094019398102</v>
      </c>
      <c r="D3133" s="17" t="n">
        <f aca="false">(C3133-$B$4)/($B$6/SQRT($B$7))</f>
        <v>-0.880470096990511</v>
      </c>
      <c r="E3133" s="0" t="str">
        <f aca="false">IF(OR(AND($B$9="superior",D3133&gt;$B$10),AND($B$9="inferior",D3133&lt;-$B$10)),"Rechazar H0","No rechazar H0")</f>
        <v>No rechazar H0</v>
      </c>
      <c r="F3133" s="0" t="str">
        <f aca="false">IF(AND(B3133="H0 verdadera",E3133="Rechazar H0"),"Error tipo I",IF(AND(B3133="Ha verdadera",E3133="No rechazar H0"),"Error tipo II","Decisión correcta"))</f>
        <v>Error tipo II</v>
      </c>
    </row>
    <row r="3134" customFormat="false" ht="15" hidden="false" customHeight="false" outlineLevel="0" collapsed="false">
      <c r="A3134" s="0" t="n">
        <v>3113</v>
      </c>
      <c r="B3134" s="0" t="s">
        <v>86</v>
      </c>
      <c r="C3134" s="17" t="n">
        <v>-0.263296684281596</v>
      </c>
      <c r="D3134" s="17" t="n">
        <f aca="false">(C3134-$B$4)/($B$6/SQRT($B$7))</f>
        <v>-1.31648342140798</v>
      </c>
      <c r="E3134" s="0" t="str">
        <f aca="false">IF(OR(AND($B$9="superior",D3134&gt;$B$10),AND($B$9="inferior",D3134&lt;-$B$10)),"Rechazar H0","No rechazar H0")</f>
        <v>No rechazar H0</v>
      </c>
      <c r="F3134" s="0" t="str">
        <f aca="false">IF(AND(B3134="H0 verdadera",E3134="Rechazar H0"),"Error tipo I",IF(AND(B3134="Ha verdadera",E3134="No rechazar H0"),"Error tipo II","Decisión correcta"))</f>
        <v>Error tipo II</v>
      </c>
    </row>
    <row r="3135" customFormat="false" ht="15" hidden="false" customHeight="false" outlineLevel="0" collapsed="false">
      <c r="A3135" s="0" t="n">
        <v>3114</v>
      </c>
      <c r="B3135" s="0" t="s">
        <v>86</v>
      </c>
      <c r="C3135" s="17" t="n">
        <v>-0.667952873916738</v>
      </c>
      <c r="D3135" s="17" t="n">
        <f aca="false">(C3135-$B$4)/($B$6/SQRT($B$7))</f>
        <v>-3.33976436958369</v>
      </c>
      <c r="E3135" s="0" t="str">
        <f aca="false">IF(OR(AND($B$9="superior",D3135&gt;$B$10),AND($B$9="inferior",D3135&lt;-$B$10)),"Rechazar H0","No rechazar H0")</f>
        <v>Rechazar H0</v>
      </c>
      <c r="F3135" s="0" t="str">
        <f aca="false">IF(AND(B3135="H0 verdadera",E3135="Rechazar H0"),"Error tipo I",IF(AND(B3135="Ha verdadera",E3135="No rechazar H0"),"Error tipo II","Decisión correcta"))</f>
        <v>Decisión correcta</v>
      </c>
    </row>
    <row r="3136" customFormat="false" ht="15" hidden="false" customHeight="false" outlineLevel="0" collapsed="false">
      <c r="A3136" s="0" t="n">
        <v>3115</v>
      </c>
      <c r="B3136" s="0" t="s">
        <v>86</v>
      </c>
      <c r="C3136" s="17" t="n">
        <v>-0.243994453500501</v>
      </c>
      <c r="D3136" s="17" t="n">
        <f aca="false">(C3136-$B$4)/($B$6/SQRT($B$7))</f>
        <v>-1.2199722675025</v>
      </c>
      <c r="E3136" s="0" t="str">
        <f aca="false">IF(OR(AND($B$9="superior",D3136&gt;$B$10),AND($B$9="inferior",D3136&lt;-$B$10)),"Rechazar H0","No rechazar H0")</f>
        <v>No rechazar H0</v>
      </c>
      <c r="F3136" s="0" t="str">
        <f aca="false">IF(AND(B3136="H0 verdadera",E3136="Rechazar H0"),"Error tipo I",IF(AND(B3136="Ha verdadera",E3136="No rechazar H0"),"Error tipo II","Decisión correcta"))</f>
        <v>Error tipo II</v>
      </c>
    </row>
    <row r="3137" customFormat="false" ht="15" hidden="false" customHeight="false" outlineLevel="0" collapsed="false">
      <c r="A3137" s="0" t="n">
        <v>3116</v>
      </c>
      <c r="B3137" s="0" t="s">
        <v>86</v>
      </c>
      <c r="C3137" s="17" t="n">
        <v>-1.07966192358568</v>
      </c>
      <c r="D3137" s="17" t="n">
        <f aca="false">(C3137-$B$4)/($B$6/SQRT($B$7))</f>
        <v>-5.39830961792839</v>
      </c>
      <c r="E3137" s="0" t="str">
        <f aca="false">IF(OR(AND($B$9="superior",D3137&gt;$B$10),AND($B$9="inferior",D3137&lt;-$B$10)),"Rechazar H0","No rechazar H0")</f>
        <v>Rechazar H0</v>
      </c>
      <c r="F3137" s="0" t="str">
        <f aca="false">IF(AND(B3137="H0 verdadera",E3137="Rechazar H0"),"Error tipo I",IF(AND(B3137="Ha verdadera",E3137="No rechazar H0"),"Error tipo II","Decisión correcta"))</f>
        <v>Decisión correcta</v>
      </c>
    </row>
    <row r="3138" customFormat="false" ht="15" hidden="false" customHeight="false" outlineLevel="0" collapsed="false">
      <c r="A3138" s="0" t="n">
        <v>3117</v>
      </c>
      <c r="B3138" s="0" t="s">
        <v>86</v>
      </c>
      <c r="C3138" s="17" t="n">
        <v>-0.266714044057732</v>
      </c>
      <c r="D3138" s="17" t="n">
        <f aca="false">(C3138-$B$4)/($B$6/SQRT($B$7))</f>
        <v>-1.33357022028866</v>
      </c>
      <c r="E3138" s="0" t="str">
        <f aca="false">IF(OR(AND($B$9="superior",D3138&gt;$B$10),AND($B$9="inferior",D3138&lt;-$B$10)),"Rechazar H0","No rechazar H0")</f>
        <v>No rechazar H0</v>
      </c>
      <c r="F3138" s="0" t="str">
        <f aca="false">IF(AND(B3138="H0 verdadera",E3138="Rechazar H0"),"Error tipo I",IF(AND(B3138="Ha verdadera",E3138="No rechazar H0"),"Error tipo II","Decisión correcta"))</f>
        <v>Error tipo II</v>
      </c>
    </row>
    <row r="3139" customFormat="false" ht="15" hidden="false" customHeight="false" outlineLevel="0" collapsed="false">
      <c r="A3139" s="0" t="n">
        <v>3118</v>
      </c>
      <c r="B3139" s="0" t="s">
        <v>86</v>
      </c>
      <c r="C3139" s="17" t="n">
        <v>-0.463808626819698</v>
      </c>
      <c r="D3139" s="17" t="n">
        <f aca="false">(C3139-$B$4)/($B$6/SQRT($B$7))</f>
        <v>-2.31904313409849</v>
      </c>
      <c r="E3139" s="0" t="str">
        <f aca="false">IF(OR(AND($B$9="superior",D3139&gt;$B$10),AND($B$9="inferior",D3139&lt;-$B$10)),"Rechazar H0","No rechazar H0")</f>
        <v>Rechazar H0</v>
      </c>
      <c r="F3139" s="0" t="str">
        <f aca="false">IF(AND(B3139="H0 verdadera",E3139="Rechazar H0"),"Error tipo I",IF(AND(B3139="Ha verdadera",E3139="No rechazar H0"),"Error tipo II","Decisión correcta"))</f>
        <v>Decisión correcta</v>
      </c>
    </row>
    <row r="3140" customFormat="false" ht="15" hidden="false" customHeight="false" outlineLevel="0" collapsed="false">
      <c r="A3140" s="0" t="n">
        <v>3119</v>
      </c>
      <c r="B3140" s="0" t="s">
        <v>86</v>
      </c>
      <c r="C3140" s="17" t="n">
        <v>-0.540041998247209</v>
      </c>
      <c r="D3140" s="17" t="n">
        <f aca="false">(C3140-$B$4)/($B$6/SQRT($B$7))</f>
        <v>-2.70020999123605</v>
      </c>
      <c r="E3140" s="0" t="str">
        <f aca="false">IF(OR(AND($B$9="superior",D3140&gt;$B$10),AND($B$9="inferior",D3140&lt;-$B$10)),"Rechazar H0","No rechazar H0")</f>
        <v>Rechazar H0</v>
      </c>
      <c r="F3140" s="0" t="str">
        <f aca="false">IF(AND(B3140="H0 verdadera",E3140="Rechazar H0"),"Error tipo I",IF(AND(B3140="Ha verdadera",E3140="No rechazar H0"),"Error tipo II","Decisión correcta"))</f>
        <v>Decisión correcta</v>
      </c>
    </row>
    <row r="3141" customFormat="false" ht="15" hidden="false" customHeight="false" outlineLevel="0" collapsed="false">
      <c r="A3141" s="0" t="n">
        <v>3120</v>
      </c>
      <c r="B3141" s="0" t="s">
        <v>85</v>
      </c>
      <c r="C3141" s="17" t="n">
        <v>0.0921285356322794</v>
      </c>
      <c r="D3141" s="17" t="n">
        <f aca="false">(C3141-$B$4)/($B$6/SQRT($B$7))</f>
        <v>0.460642678161397</v>
      </c>
      <c r="E3141" s="0" t="str">
        <f aca="false">IF(OR(AND($B$9="superior",D3141&gt;$B$10),AND($B$9="inferior",D3141&lt;-$B$10)),"Rechazar H0","No rechazar H0")</f>
        <v>No rechazar H0</v>
      </c>
      <c r="F3141" s="0" t="str">
        <f aca="false">IF(AND(B3141="H0 verdadera",E3141="Rechazar H0"),"Error tipo I",IF(AND(B3141="Ha verdadera",E3141="No rechazar H0"),"Error tipo II","Decisión correcta"))</f>
        <v>Decisión correcta</v>
      </c>
    </row>
    <row r="3142" customFormat="false" ht="15" hidden="false" customHeight="false" outlineLevel="0" collapsed="false">
      <c r="A3142" s="0" t="n">
        <v>3121</v>
      </c>
      <c r="B3142" s="0" t="s">
        <v>85</v>
      </c>
      <c r="C3142" s="17" t="n">
        <v>-0.264770054538004</v>
      </c>
      <c r="D3142" s="17" t="n">
        <f aca="false">(C3142-$B$4)/($B$6/SQRT($B$7))</f>
        <v>-1.32385027269002</v>
      </c>
      <c r="E3142" s="0" t="str">
        <f aca="false">IF(OR(AND($B$9="superior",D3142&gt;$B$10),AND($B$9="inferior",D3142&lt;-$B$10)),"Rechazar H0","No rechazar H0")</f>
        <v>No rechazar H0</v>
      </c>
      <c r="F3142" s="0" t="str">
        <f aca="false">IF(AND(B3142="H0 verdadera",E3142="Rechazar H0"),"Error tipo I",IF(AND(B3142="Ha verdadera",E3142="No rechazar H0"),"Error tipo II","Decisión correcta"))</f>
        <v>Decisión correcta</v>
      </c>
    </row>
    <row r="3143" customFormat="false" ht="15" hidden="false" customHeight="false" outlineLevel="0" collapsed="false">
      <c r="A3143" s="0" t="n">
        <v>3122</v>
      </c>
      <c r="B3143" s="0" t="s">
        <v>86</v>
      </c>
      <c r="C3143" s="17" t="n">
        <v>-0.47932429620191</v>
      </c>
      <c r="D3143" s="17" t="n">
        <f aca="false">(C3143-$B$4)/($B$6/SQRT($B$7))</f>
        <v>-2.39662148100955</v>
      </c>
      <c r="E3143" s="0" t="str">
        <f aca="false">IF(OR(AND($B$9="superior",D3143&gt;$B$10),AND($B$9="inferior",D3143&lt;-$B$10)),"Rechazar H0","No rechazar H0")</f>
        <v>Rechazar H0</v>
      </c>
      <c r="F3143" s="0" t="str">
        <f aca="false">IF(AND(B3143="H0 verdadera",E3143="Rechazar H0"),"Error tipo I",IF(AND(B3143="Ha verdadera",E3143="No rechazar H0"),"Error tipo II","Decisión correcta"))</f>
        <v>Decisión correcta</v>
      </c>
    </row>
    <row r="3144" customFormat="false" ht="15" hidden="false" customHeight="false" outlineLevel="0" collapsed="false">
      <c r="A3144" s="0" t="n">
        <v>3123</v>
      </c>
      <c r="B3144" s="0" t="s">
        <v>86</v>
      </c>
      <c r="C3144" s="17" t="n">
        <v>-0.25956452119937</v>
      </c>
      <c r="D3144" s="17" t="n">
        <f aca="false">(C3144-$B$4)/($B$6/SQRT($B$7))</f>
        <v>-1.29782260599685</v>
      </c>
      <c r="E3144" s="0" t="str">
        <f aca="false">IF(OR(AND($B$9="superior",D3144&gt;$B$10),AND($B$9="inferior",D3144&lt;-$B$10)),"Rechazar H0","No rechazar H0")</f>
        <v>No rechazar H0</v>
      </c>
      <c r="F3144" s="0" t="str">
        <f aca="false">IF(AND(B3144="H0 verdadera",E3144="Rechazar H0"),"Error tipo I",IF(AND(B3144="Ha verdadera",E3144="No rechazar H0"),"Error tipo II","Decisión correcta"))</f>
        <v>Error tipo II</v>
      </c>
    </row>
    <row r="3145" customFormat="false" ht="15" hidden="false" customHeight="false" outlineLevel="0" collapsed="false">
      <c r="A3145" s="0" t="n">
        <v>3124</v>
      </c>
      <c r="B3145" s="0" t="s">
        <v>85</v>
      </c>
      <c r="C3145" s="17" t="n">
        <v>-0.454228236236301</v>
      </c>
      <c r="D3145" s="17" t="n">
        <f aca="false">(C3145-$B$4)/($B$6/SQRT($B$7))</f>
        <v>-2.2711411811815</v>
      </c>
      <c r="E3145" s="0" t="str">
        <f aca="false">IF(OR(AND($B$9="superior",D3145&gt;$B$10),AND($B$9="inferior",D3145&lt;-$B$10)),"Rechazar H0","No rechazar H0")</f>
        <v>Rechazar H0</v>
      </c>
      <c r="F3145" s="0" t="str">
        <f aca="false">IF(AND(B3145="H0 verdadera",E3145="Rechazar H0"),"Error tipo I",IF(AND(B3145="Ha verdadera",E3145="No rechazar H0"),"Error tipo II","Decisión correcta"))</f>
        <v>Error tipo I</v>
      </c>
    </row>
    <row r="3146" customFormat="false" ht="15" hidden="false" customHeight="false" outlineLevel="0" collapsed="false">
      <c r="A3146" s="0" t="n">
        <v>3125</v>
      </c>
      <c r="B3146" s="0" t="s">
        <v>86</v>
      </c>
      <c r="C3146" s="17" t="n">
        <v>-0.30485730828084</v>
      </c>
      <c r="D3146" s="17" t="n">
        <f aca="false">(C3146-$B$4)/($B$6/SQRT($B$7))</f>
        <v>-1.5242865414042</v>
      </c>
      <c r="E3146" s="0" t="str">
        <f aca="false">IF(OR(AND($B$9="superior",D3146&gt;$B$10),AND($B$9="inferior",D3146&lt;-$B$10)),"Rechazar H0","No rechazar H0")</f>
        <v>No rechazar H0</v>
      </c>
      <c r="F3146" s="0" t="str">
        <f aca="false">IF(AND(B3146="H0 verdadera",E3146="Rechazar H0"),"Error tipo I",IF(AND(B3146="Ha verdadera",E3146="No rechazar H0"),"Error tipo II","Decisión correcta"))</f>
        <v>Error tipo II</v>
      </c>
    </row>
    <row r="3147" customFormat="false" ht="15" hidden="false" customHeight="false" outlineLevel="0" collapsed="false">
      <c r="A3147" s="0" t="n">
        <v>3126</v>
      </c>
      <c r="B3147" s="0" t="s">
        <v>86</v>
      </c>
      <c r="C3147" s="17" t="n">
        <v>0.0602803323421622</v>
      </c>
      <c r="D3147" s="17" t="n">
        <f aca="false">(C3147-$B$4)/($B$6/SQRT($B$7))</f>
        <v>0.301401661710811</v>
      </c>
      <c r="E3147" s="0" t="str">
        <f aca="false">IF(OR(AND($B$9="superior",D3147&gt;$B$10),AND($B$9="inferior",D3147&lt;-$B$10)),"Rechazar H0","No rechazar H0")</f>
        <v>No rechazar H0</v>
      </c>
      <c r="F3147" s="0" t="str">
        <f aca="false">IF(AND(B3147="H0 verdadera",E3147="Rechazar H0"),"Error tipo I",IF(AND(B3147="Ha verdadera",E3147="No rechazar H0"),"Error tipo II","Decisión correcta"))</f>
        <v>Error tipo II</v>
      </c>
    </row>
    <row r="3148" customFormat="false" ht="15" hidden="false" customHeight="false" outlineLevel="0" collapsed="false">
      <c r="A3148" s="0" t="n">
        <v>3127</v>
      </c>
      <c r="B3148" s="0" t="s">
        <v>85</v>
      </c>
      <c r="C3148" s="17" t="n">
        <v>-0.0280091234461964</v>
      </c>
      <c r="D3148" s="17" t="n">
        <f aca="false">(C3148-$B$4)/($B$6/SQRT($B$7))</f>
        <v>-0.140045617230982</v>
      </c>
      <c r="E3148" s="0" t="str">
        <f aca="false">IF(OR(AND($B$9="superior",D3148&gt;$B$10),AND($B$9="inferior",D3148&lt;-$B$10)),"Rechazar H0","No rechazar H0")</f>
        <v>No rechazar H0</v>
      </c>
      <c r="F3148" s="0" t="str">
        <f aca="false">IF(AND(B3148="H0 verdadera",E3148="Rechazar H0"),"Error tipo I",IF(AND(B3148="Ha verdadera",E3148="No rechazar H0"),"Error tipo II","Decisión correcta"))</f>
        <v>Decisión correcta</v>
      </c>
    </row>
    <row r="3149" customFormat="false" ht="15" hidden="false" customHeight="false" outlineLevel="0" collapsed="false">
      <c r="A3149" s="0" t="n">
        <v>3128</v>
      </c>
      <c r="B3149" s="0" t="s">
        <v>86</v>
      </c>
      <c r="C3149" s="17" t="n">
        <v>-0.611807778704101</v>
      </c>
      <c r="D3149" s="17" t="n">
        <f aca="false">(C3149-$B$4)/($B$6/SQRT($B$7))</f>
        <v>-3.05903889352051</v>
      </c>
      <c r="E3149" s="0" t="str">
        <f aca="false">IF(OR(AND($B$9="superior",D3149&gt;$B$10),AND($B$9="inferior",D3149&lt;-$B$10)),"Rechazar H0","No rechazar H0")</f>
        <v>Rechazar H0</v>
      </c>
      <c r="F3149" s="0" t="str">
        <f aca="false">IF(AND(B3149="H0 verdadera",E3149="Rechazar H0"),"Error tipo I",IF(AND(B3149="Ha verdadera",E3149="No rechazar H0"),"Error tipo II","Decisión correcta"))</f>
        <v>Decisión correcta</v>
      </c>
    </row>
    <row r="3150" customFormat="false" ht="15" hidden="false" customHeight="false" outlineLevel="0" collapsed="false">
      <c r="A3150" s="0" t="n">
        <v>3129</v>
      </c>
      <c r="B3150" s="0" t="s">
        <v>86</v>
      </c>
      <c r="C3150" s="17" t="n">
        <v>-0.493631001929644</v>
      </c>
      <c r="D3150" s="17" t="n">
        <f aca="false">(C3150-$B$4)/($B$6/SQRT($B$7))</f>
        <v>-2.46815500964822</v>
      </c>
      <c r="E3150" s="0" t="str">
        <f aca="false">IF(OR(AND($B$9="superior",D3150&gt;$B$10),AND($B$9="inferior",D3150&lt;-$B$10)),"Rechazar H0","No rechazar H0")</f>
        <v>Rechazar H0</v>
      </c>
      <c r="F3150" s="0" t="str">
        <f aca="false">IF(AND(B3150="H0 verdadera",E3150="Rechazar H0"),"Error tipo I",IF(AND(B3150="Ha verdadera",E3150="No rechazar H0"),"Error tipo II","Decisión correcta"))</f>
        <v>Decisión correcta</v>
      </c>
    </row>
    <row r="3151" customFormat="false" ht="15" hidden="false" customHeight="false" outlineLevel="0" collapsed="false">
      <c r="A3151" s="0" t="n">
        <v>3130</v>
      </c>
      <c r="B3151" s="0" t="s">
        <v>85</v>
      </c>
      <c r="C3151" s="17" t="n">
        <v>0.152138821280177</v>
      </c>
      <c r="D3151" s="17" t="n">
        <f aca="false">(C3151-$B$4)/($B$6/SQRT($B$7))</f>
        <v>0.760694106400887</v>
      </c>
      <c r="E3151" s="0" t="str">
        <f aca="false">IF(OR(AND($B$9="superior",D3151&gt;$B$10),AND($B$9="inferior",D3151&lt;-$B$10)),"Rechazar H0","No rechazar H0")</f>
        <v>No rechazar H0</v>
      </c>
      <c r="F3151" s="0" t="str">
        <f aca="false">IF(AND(B3151="H0 verdadera",E3151="Rechazar H0"),"Error tipo I",IF(AND(B3151="Ha verdadera",E3151="No rechazar H0"),"Error tipo II","Decisión correcta"))</f>
        <v>Decisión correcta</v>
      </c>
    </row>
    <row r="3152" customFormat="false" ht="15" hidden="false" customHeight="false" outlineLevel="0" collapsed="false">
      <c r="A3152" s="0" t="n">
        <v>3131</v>
      </c>
      <c r="B3152" s="0" t="s">
        <v>86</v>
      </c>
      <c r="C3152" s="17" t="n">
        <v>-0.391760205839786</v>
      </c>
      <c r="D3152" s="17" t="n">
        <f aca="false">(C3152-$B$4)/($B$6/SQRT($B$7))</f>
        <v>-1.95880102919893</v>
      </c>
      <c r="E3152" s="0" t="str">
        <f aca="false">IF(OR(AND($B$9="superior",D3152&gt;$B$10),AND($B$9="inferior",D3152&lt;-$B$10)),"Rechazar H0","No rechazar H0")</f>
        <v>Rechazar H0</v>
      </c>
      <c r="F3152" s="0" t="str">
        <f aca="false">IF(AND(B3152="H0 verdadera",E3152="Rechazar H0"),"Error tipo I",IF(AND(B3152="Ha verdadera",E3152="No rechazar H0"),"Error tipo II","Decisión correcta"))</f>
        <v>Decisión correcta</v>
      </c>
    </row>
    <row r="3153" customFormat="false" ht="15" hidden="false" customHeight="false" outlineLevel="0" collapsed="false">
      <c r="A3153" s="0" t="n">
        <v>3132</v>
      </c>
      <c r="B3153" s="0" t="s">
        <v>85</v>
      </c>
      <c r="C3153" s="17" t="n">
        <v>-0.109058530913273</v>
      </c>
      <c r="D3153" s="17" t="n">
        <f aca="false">(C3153-$B$4)/($B$6/SQRT($B$7))</f>
        <v>-0.545292654566365</v>
      </c>
      <c r="E3153" s="0" t="str">
        <f aca="false">IF(OR(AND($B$9="superior",D3153&gt;$B$10),AND($B$9="inferior",D3153&lt;-$B$10)),"Rechazar H0","No rechazar H0")</f>
        <v>No rechazar H0</v>
      </c>
      <c r="F3153" s="0" t="str">
        <f aca="false">IF(AND(B3153="H0 verdadera",E3153="Rechazar H0"),"Error tipo I",IF(AND(B3153="Ha verdadera",E3153="No rechazar H0"),"Error tipo II","Decisión correcta"))</f>
        <v>Decisión correcta</v>
      </c>
    </row>
    <row r="3154" customFormat="false" ht="15" hidden="false" customHeight="false" outlineLevel="0" collapsed="false">
      <c r="A3154" s="0" t="n">
        <v>3133</v>
      </c>
      <c r="B3154" s="0" t="s">
        <v>86</v>
      </c>
      <c r="C3154" s="17" t="n">
        <v>-0.252868379561719</v>
      </c>
      <c r="D3154" s="17" t="n">
        <f aca="false">(C3154-$B$4)/($B$6/SQRT($B$7))</f>
        <v>-1.26434189780859</v>
      </c>
      <c r="E3154" s="0" t="str">
        <f aca="false">IF(OR(AND($B$9="superior",D3154&gt;$B$10),AND($B$9="inferior",D3154&lt;-$B$10)),"Rechazar H0","No rechazar H0")</f>
        <v>No rechazar H0</v>
      </c>
      <c r="F3154" s="0" t="str">
        <f aca="false">IF(AND(B3154="H0 verdadera",E3154="Rechazar H0"),"Error tipo I",IF(AND(B3154="Ha verdadera",E3154="No rechazar H0"),"Error tipo II","Decisión correcta"))</f>
        <v>Error tipo II</v>
      </c>
    </row>
    <row r="3155" customFormat="false" ht="15" hidden="false" customHeight="false" outlineLevel="0" collapsed="false">
      <c r="A3155" s="0" t="n">
        <v>3134</v>
      </c>
      <c r="B3155" s="0" t="s">
        <v>85</v>
      </c>
      <c r="C3155" s="17" t="n">
        <v>0.197757432198313</v>
      </c>
      <c r="D3155" s="17" t="n">
        <f aca="false">(C3155-$B$4)/($B$6/SQRT($B$7))</f>
        <v>0.988787160991563</v>
      </c>
      <c r="E3155" s="0" t="str">
        <f aca="false">IF(OR(AND($B$9="superior",D3155&gt;$B$10),AND($B$9="inferior",D3155&lt;-$B$10)),"Rechazar H0","No rechazar H0")</f>
        <v>No rechazar H0</v>
      </c>
      <c r="F3155" s="0" t="str">
        <f aca="false">IF(AND(B3155="H0 verdadera",E3155="Rechazar H0"),"Error tipo I",IF(AND(B3155="Ha verdadera",E3155="No rechazar H0"),"Error tipo II","Decisión correcta"))</f>
        <v>Decisión correcta</v>
      </c>
    </row>
    <row r="3156" customFormat="false" ht="15" hidden="false" customHeight="false" outlineLevel="0" collapsed="false">
      <c r="A3156" s="0" t="n">
        <v>3135</v>
      </c>
      <c r="B3156" s="0" t="s">
        <v>85</v>
      </c>
      <c r="C3156" s="17" t="n">
        <v>-0.04026201513995</v>
      </c>
      <c r="D3156" s="17" t="n">
        <f aca="false">(C3156-$B$4)/($B$6/SQRT($B$7))</f>
        <v>-0.20131007569975</v>
      </c>
      <c r="E3156" s="0" t="str">
        <f aca="false">IF(OR(AND($B$9="superior",D3156&gt;$B$10),AND($B$9="inferior",D3156&lt;-$B$10)),"Rechazar H0","No rechazar H0")</f>
        <v>No rechazar H0</v>
      </c>
      <c r="F3156" s="0" t="str">
        <f aca="false">IF(AND(B3156="H0 verdadera",E3156="Rechazar H0"),"Error tipo I",IF(AND(B3156="Ha verdadera",E3156="No rechazar H0"),"Error tipo II","Decisión correcta"))</f>
        <v>Decisión correcta</v>
      </c>
    </row>
    <row r="3157" customFormat="false" ht="15" hidden="false" customHeight="false" outlineLevel="0" collapsed="false">
      <c r="A3157" s="0" t="n">
        <v>3136</v>
      </c>
      <c r="B3157" s="0" t="s">
        <v>85</v>
      </c>
      <c r="C3157" s="17" t="n">
        <v>0.0186713325180493</v>
      </c>
      <c r="D3157" s="17" t="n">
        <f aca="false">(C3157-$B$4)/($B$6/SQRT($B$7))</f>
        <v>0.0933566625902465</v>
      </c>
      <c r="E3157" s="0" t="str">
        <f aca="false">IF(OR(AND($B$9="superior",D3157&gt;$B$10),AND($B$9="inferior",D3157&lt;-$B$10)),"Rechazar H0","No rechazar H0")</f>
        <v>No rechazar H0</v>
      </c>
      <c r="F3157" s="0" t="str">
        <f aca="false">IF(AND(B3157="H0 verdadera",E3157="Rechazar H0"),"Error tipo I",IF(AND(B3157="Ha verdadera",E3157="No rechazar H0"),"Error tipo II","Decisión correcta"))</f>
        <v>Decisión correcta</v>
      </c>
    </row>
    <row r="3158" customFormat="false" ht="15" hidden="false" customHeight="false" outlineLevel="0" collapsed="false">
      <c r="A3158" s="0" t="n">
        <v>3137</v>
      </c>
      <c r="B3158" s="0" t="s">
        <v>85</v>
      </c>
      <c r="C3158" s="17" t="n">
        <v>-0.112675168505445</v>
      </c>
      <c r="D3158" s="17" t="n">
        <f aca="false">(C3158-$B$4)/($B$6/SQRT($B$7))</f>
        <v>-0.563375842527224</v>
      </c>
      <c r="E3158" s="0" t="str">
        <f aca="false">IF(OR(AND($B$9="superior",D3158&gt;$B$10),AND($B$9="inferior",D3158&lt;-$B$10)),"Rechazar H0","No rechazar H0")</f>
        <v>No rechazar H0</v>
      </c>
      <c r="F3158" s="0" t="str">
        <f aca="false">IF(AND(B3158="H0 verdadera",E3158="Rechazar H0"),"Error tipo I",IF(AND(B3158="Ha verdadera",E3158="No rechazar H0"),"Error tipo II","Decisión correcta"))</f>
        <v>Decisión correcta</v>
      </c>
    </row>
    <row r="3159" customFormat="false" ht="15" hidden="false" customHeight="false" outlineLevel="0" collapsed="false">
      <c r="A3159" s="0" t="n">
        <v>3138</v>
      </c>
      <c r="B3159" s="0" t="s">
        <v>85</v>
      </c>
      <c r="C3159" s="17" t="n">
        <v>0.374945150807235</v>
      </c>
      <c r="D3159" s="17" t="n">
        <f aca="false">(C3159-$B$4)/($B$6/SQRT($B$7))</f>
        <v>1.87472575403617</v>
      </c>
      <c r="E3159" s="0" t="str">
        <f aca="false">IF(OR(AND($B$9="superior",D3159&gt;$B$10),AND($B$9="inferior",D3159&lt;-$B$10)),"Rechazar H0","No rechazar H0")</f>
        <v>No rechazar H0</v>
      </c>
      <c r="F3159" s="0" t="str">
        <f aca="false">IF(AND(B3159="H0 verdadera",E3159="Rechazar H0"),"Error tipo I",IF(AND(B3159="Ha verdadera",E3159="No rechazar H0"),"Error tipo II","Decisión correcta"))</f>
        <v>Decisión correcta</v>
      </c>
    </row>
    <row r="3160" customFormat="false" ht="15" hidden="false" customHeight="false" outlineLevel="0" collapsed="false">
      <c r="A3160" s="0" t="n">
        <v>3139</v>
      </c>
      <c r="B3160" s="0" t="s">
        <v>85</v>
      </c>
      <c r="C3160" s="17" t="n">
        <v>-0.146434858725508</v>
      </c>
      <c r="D3160" s="17" t="n">
        <f aca="false">(C3160-$B$4)/($B$6/SQRT($B$7))</f>
        <v>-0.732174293627537</v>
      </c>
      <c r="E3160" s="0" t="str">
        <f aca="false">IF(OR(AND($B$9="superior",D3160&gt;$B$10),AND($B$9="inferior",D3160&lt;-$B$10)),"Rechazar H0","No rechazar H0")</f>
        <v>No rechazar H0</v>
      </c>
      <c r="F3160" s="0" t="str">
        <f aca="false">IF(AND(B3160="H0 verdadera",E3160="Rechazar H0"),"Error tipo I",IF(AND(B3160="Ha verdadera",E3160="No rechazar H0"),"Error tipo II","Decisión correcta"))</f>
        <v>Decisión correcta</v>
      </c>
    </row>
    <row r="3161" customFormat="false" ht="15" hidden="false" customHeight="false" outlineLevel="0" collapsed="false">
      <c r="A3161" s="0" t="n">
        <v>3140</v>
      </c>
      <c r="B3161" s="0" t="s">
        <v>86</v>
      </c>
      <c r="C3161" s="17" t="n">
        <v>-0.485591700373715</v>
      </c>
      <c r="D3161" s="17" t="n">
        <f aca="false">(C3161-$B$4)/($B$6/SQRT($B$7))</f>
        <v>-2.42795850186858</v>
      </c>
      <c r="E3161" s="0" t="str">
        <f aca="false">IF(OR(AND($B$9="superior",D3161&gt;$B$10),AND($B$9="inferior",D3161&lt;-$B$10)),"Rechazar H0","No rechazar H0")</f>
        <v>Rechazar H0</v>
      </c>
      <c r="F3161" s="0" t="str">
        <f aca="false">IF(AND(B3161="H0 verdadera",E3161="Rechazar H0"),"Error tipo I",IF(AND(B3161="Ha verdadera",E3161="No rechazar H0"),"Error tipo II","Decisión correcta"))</f>
        <v>Decisión correcta</v>
      </c>
    </row>
    <row r="3162" customFormat="false" ht="15" hidden="false" customHeight="false" outlineLevel="0" collapsed="false">
      <c r="A3162" s="0" t="n">
        <v>3141</v>
      </c>
      <c r="B3162" s="0" t="s">
        <v>86</v>
      </c>
      <c r="C3162" s="17" t="n">
        <v>-0.129965508652789</v>
      </c>
      <c r="D3162" s="17" t="n">
        <f aca="false">(C3162-$B$4)/($B$6/SQRT($B$7))</f>
        <v>-0.649827543263943</v>
      </c>
      <c r="E3162" s="0" t="str">
        <f aca="false">IF(OR(AND($B$9="superior",D3162&gt;$B$10),AND($B$9="inferior",D3162&lt;-$B$10)),"Rechazar H0","No rechazar H0")</f>
        <v>No rechazar H0</v>
      </c>
      <c r="F3162" s="0" t="str">
        <f aca="false">IF(AND(B3162="H0 verdadera",E3162="Rechazar H0"),"Error tipo I",IF(AND(B3162="Ha verdadera",E3162="No rechazar H0"),"Error tipo II","Decisión correcta"))</f>
        <v>Error tipo II</v>
      </c>
    </row>
    <row r="3163" customFormat="false" ht="15" hidden="false" customHeight="false" outlineLevel="0" collapsed="false">
      <c r="A3163" s="0" t="n">
        <v>3142</v>
      </c>
      <c r="B3163" s="0" t="s">
        <v>85</v>
      </c>
      <c r="C3163" s="17" t="n">
        <v>0.0521122886366046</v>
      </c>
      <c r="D3163" s="17" t="n">
        <f aca="false">(C3163-$B$4)/($B$6/SQRT($B$7))</f>
        <v>0.260561443183023</v>
      </c>
      <c r="E3163" s="0" t="str">
        <f aca="false">IF(OR(AND($B$9="superior",D3163&gt;$B$10),AND($B$9="inferior",D3163&lt;-$B$10)),"Rechazar H0","No rechazar H0")</f>
        <v>No rechazar H0</v>
      </c>
      <c r="F3163" s="0" t="str">
        <f aca="false">IF(AND(B3163="H0 verdadera",E3163="Rechazar H0"),"Error tipo I",IF(AND(B3163="Ha verdadera",E3163="No rechazar H0"),"Error tipo II","Decisión correcta"))</f>
        <v>Decisión correcta</v>
      </c>
    </row>
    <row r="3164" customFormat="false" ht="15" hidden="false" customHeight="false" outlineLevel="0" collapsed="false">
      <c r="A3164" s="0" t="n">
        <v>3143</v>
      </c>
      <c r="B3164" s="0" t="s">
        <v>86</v>
      </c>
      <c r="C3164" s="17" t="n">
        <v>-0.216888623408429</v>
      </c>
      <c r="D3164" s="17" t="n">
        <f aca="false">(C3164-$B$4)/($B$6/SQRT($B$7))</f>
        <v>-1.08444311704215</v>
      </c>
      <c r="E3164" s="0" t="str">
        <f aca="false">IF(OR(AND($B$9="superior",D3164&gt;$B$10),AND($B$9="inferior",D3164&lt;-$B$10)),"Rechazar H0","No rechazar H0")</f>
        <v>No rechazar H0</v>
      </c>
      <c r="F3164" s="0" t="str">
        <f aca="false">IF(AND(B3164="H0 verdadera",E3164="Rechazar H0"),"Error tipo I",IF(AND(B3164="Ha verdadera",E3164="No rechazar H0"),"Error tipo II","Decisión correcta"))</f>
        <v>Error tipo II</v>
      </c>
    </row>
    <row r="3165" customFormat="false" ht="15" hidden="false" customHeight="false" outlineLevel="0" collapsed="false">
      <c r="A3165" s="0" t="n">
        <v>3144</v>
      </c>
      <c r="B3165" s="0" t="s">
        <v>85</v>
      </c>
      <c r="C3165" s="17" t="n">
        <v>0.272352219979542</v>
      </c>
      <c r="D3165" s="17" t="n">
        <f aca="false">(C3165-$B$4)/($B$6/SQRT($B$7))</f>
        <v>1.36176109989771</v>
      </c>
      <c r="E3165" s="0" t="str">
        <f aca="false">IF(OR(AND($B$9="superior",D3165&gt;$B$10),AND($B$9="inferior",D3165&lt;-$B$10)),"Rechazar H0","No rechazar H0")</f>
        <v>No rechazar H0</v>
      </c>
      <c r="F3165" s="0" t="str">
        <f aca="false">IF(AND(B3165="H0 verdadera",E3165="Rechazar H0"),"Error tipo I",IF(AND(B3165="Ha verdadera",E3165="No rechazar H0"),"Error tipo II","Decisión correcta"))</f>
        <v>Decisión correcta</v>
      </c>
    </row>
    <row r="3166" customFormat="false" ht="15" hidden="false" customHeight="false" outlineLevel="0" collapsed="false">
      <c r="A3166" s="0" t="n">
        <v>3145</v>
      </c>
      <c r="B3166" s="0" t="s">
        <v>86</v>
      </c>
      <c r="C3166" s="17" t="n">
        <v>-0.405526880942986</v>
      </c>
      <c r="D3166" s="17" t="n">
        <f aca="false">(C3166-$B$4)/($B$6/SQRT($B$7))</f>
        <v>-2.02763440471493</v>
      </c>
      <c r="E3166" s="0" t="str">
        <f aca="false">IF(OR(AND($B$9="superior",D3166&gt;$B$10),AND($B$9="inferior",D3166&lt;-$B$10)),"Rechazar H0","No rechazar H0")</f>
        <v>Rechazar H0</v>
      </c>
      <c r="F3166" s="0" t="str">
        <f aca="false">IF(AND(B3166="H0 verdadera",E3166="Rechazar H0"),"Error tipo I",IF(AND(B3166="Ha verdadera",E3166="No rechazar H0"),"Error tipo II","Decisión correcta"))</f>
        <v>Decisión correcta</v>
      </c>
    </row>
    <row r="3167" customFormat="false" ht="15" hidden="false" customHeight="false" outlineLevel="0" collapsed="false">
      <c r="A3167" s="0" t="n">
        <v>3146</v>
      </c>
      <c r="B3167" s="0" t="s">
        <v>86</v>
      </c>
      <c r="C3167" s="17" t="n">
        <v>-0.396598276288371</v>
      </c>
      <c r="D3167" s="17" t="n">
        <f aca="false">(C3167-$B$4)/($B$6/SQRT($B$7))</f>
        <v>-1.98299138144185</v>
      </c>
      <c r="E3167" s="0" t="str">
        <f aca="false">IF(OR(AND($B$9="superior",D3167&gt;$B$10),AND($B$9="inferior",D3167&lt;-$B$10)),"Rechazar H0","No rechazar H0")</f>
        <v>Rechazar H0</v>
      </c>
      <c r="F3167" s="0" t="str">
        <f aca="false">IF(AND(B3167="H0 verdadera",E3167="Rechazar H0"),"Error tipo I",IF(AND(B3167="Ha verdadera",E3167="No rechazar H0"),"Error tipo II","Decisión correcta"))</f>
        <v>Decisión correcta</v>
      </c>
    </row>
    <row r="3168" customFormat="false" ht="15" hidden="false" customHeight="false" outlineLevel="0" collapsed="false">
      <c r="A3168" s="0" t="n">
        <v>3147</v>
      </c>
      <c r="B3168" s="0" t="s">
        <v>85</v>
      </c>
      <c r="C3168" s="17" t="n">
        <v>0.0629799762896395</v>
      </c>
      <c r="D3168" s="17" t="n">
        <f aca="false">(C3168-$B$4)/($B$6/SQRT($B$7))</f>
        <v>0.314899881448197</v>
      </c>
      <c r="E3168" s="0" t="str">
        <f aca="false">IF(OR(AND($B$9="superior",D3168&gt;$B$10),AND($B$9="inferior",D3168&lt;-$B$10)),"Rechazar H0","No rechazar H0")</f>
        <v>No rechazar H0</v>
      </c>
      <c r="F3168" s="0" t="str">
        <f aca="false">IF(AND(B3168="H0 verdadera",E3168="Rechazar H0"),"Error tipo I",IF(AND(B3168="Ha verdadera",E3168="No rechazar H0"),"Error tipo II","Decisión correcta"))</f>
        <v>Decisión correcta</v>
      </c>
    </row>
    <row r="3169" customFormat="false" ht="15" hidden="false" customHeight="false" outlineLevel="0" collapsed="false">
      <c r="A3169" s="0" t="n">
        <v>3148</v>
      </c>
      <c r="B3169" s="0" t="s">
        <v>86</v>
      </c>
      <c r="C3169" s="17" t="n">
        <v>-0.415985194047835</v>
      </c>
      <c r="D3169" s="17" t="n">
        <f aca="false">(C3169-$B$4)/($B$6/SQRT($B$7))</f>
        <v>-2.07992597023917</v>
      </c>
      <c r="E3169" s="0" t="str">
        <f aca="false">IF(OR(AND($B$9="superior",D3169&gt;$B$10),AND($B$9="inferior",D3169&lt;-$B$10)),"Rechazar H0","No rechazar H0")</f>
        <v>Rechazar H0</v>
      </c>
      <c r="F3169" s="0" t="str">
        <f aca="false">IF(AND(B3169="H0 verdadera",E3169="Rechazar H0"),"Error tipo I",IF(AND(B3169="Ha verdadera",E3169="No rechazar H0"),"Error tipo II","Decisión correcta"))</f>
        <v>Decisión correcta</v>
      </c>
    </row>
    <row r="3170" customFormat="false" ht="15" hidden="false" customHeight="false" outlineLevel="0" collapsed="false">
      <c r="A3170" s="0" t="n">
        <v>3149</v>
      </c>
      <c r="B3170" s="0" t="s">
        <v>85</v>
      </c>
      <c r="C3170" s="17" t="n">
        <v>0.0894171306073247</v>
      </c>
      <c r="D3170" s="17" t="n">
        <f aca="false">(C3170-$B$4)/($B$6/SQRT($B$7))</f>
        <v>0.447085653036624</v>
      </c>
      <c r="E3170" s="0" t="str">
        <f aca="false">IF(OR(AND($B$9="superior",D3170&gt;$B$10),AND($B$9="inferior",D3170&lt;-$B$10)),"Rechazar H0","No rechazar H0")</f>
        <v>No rechazar H0</v>
      </c>
      <c r="F3170" s="0" t="str">
        <f aca="false">IF(AND(B3170="H0 verdadera",E3170="Rechazar H0"),"Error tipo I",IF(AND(B3170="Ha verdadera",E3170="No rechazar H0"),"Error tipo II","Decisión correcta"))</f>
        <v>Decisión correcta</v>
      </c>
    </row>
    <row r="3171" customFormat="false" ht="15" hidden="false" customHeight="false" outlineLevel="0" collapsed="false">
      <c r="A3171" s="0" t="n">
        <v>3150</v>
      </c>
      <c r="B3171" s="0" t="s">
        <v>86</v>
      </c>
      <c r="C3171" s="17" t="n">
        <v>0.0910124520060975</v>
      </c>
      <c r="D3171" s="17" t="n">
        <f aca="false">(C3171-$B$4)/($B$6/SQRT($B$7))</f>
        <v>0.455062260030487</v>
      </c>
      <c r="E3171" s="0" t="str">
        <f aca="false">IF(OR(AND($B$9="superior",D3171&gt;$B$10),AND($B$9="inferior",D3171&lt;-$B$10)),"Rechazar H0","No rechazar H0")</f>
        <v>No rechazar H0</v>
      </c>
      <c r="F3171" s="0" t="str">
        <f aca="false">IF(AND(B3171="H0 verdadera",E3171="Rechazar H0"),"Error tipo I",IF(AND(B3171="Ha verdadera",E3171="No rechazar H0"),"Error tipo II","Decisión correcta"))</f>
        <v>Error tipo II</v>
      </c>
    </row>
    <row r="3172" customFormat="false" ht="15" hidden="false" customHeight="false" outlineLevel="0" collapsed="false">
      <c r="A3172" s="0" t="n">
        <v>3151</v>
      </c>
      <c r="B3172" s="0" t="s">
        <v>86</v>
      </c>
      <c r="C3172" s="17" t="n">
        <v>-0.524538339992755</v>
      </c>
      <c r="D3172" s="17" t="n">
        <f aca="false">(C3172-$B$4)/($B$6/SQRT($B$7))</f>
        <v>-2.62269169996378</v>
      </c>
      <c r="E3172" s="0" t="str">
        <f aca="false">IF(OR(AND($B$9="superior",D3172&gt;$B$10),AND($B$9="inferior",D3172&lt;-$B$10)),"Rechazar H0","No rechazar H0")</f>
        <v>Rechazar H0</v>
      </c>
      <c r="F3172" s="0" t="str">
        <f aca="false">IF(AND(B3172="H0 verdadera",E3172="Rechazar H0"),"Error tipo I",IF(AND(B3172="Ha verdadera",E3172="No rechazar H0"),"Error tipo II","Decisión correcta"))</f>
        <v>Decisión correcta</v>
      </c>
    </row>
    <row r="3173" customFormat="false" ht="15" hidden="false" customHeight="false" outlineLevel="0" collapsed="false">
      <c r="A3173" s="0" t="n">
        <v>3152</v>
      </c>
      <c r="B3173" s="0" t="s">
        <v>85</v>
      </c>
      <c r="C3173" s="17" t="n">
        <v>0.155774614589394</v>
      </c>
      <c r="D3173" s="17" t="n">
        <f aca="false">(C3173-$B$4)/($B$6/SQRT($B$7))</f>
        <v>0.77887307294697</v>
      </c>
      <c r="E3173" s="0" t="str">
        <f aca="false">IF(OR(AND($B$9="superior",D3173&gt;$B$10),AND($B$9="inferior",D3173&lt;-$B$10)),"Rechazar H0","No rechazar H0")</f>
        <v>No rechazar H0</v>
      </c>
      <c r="F3173" s="0" t="str">
        <f aca="false">IF(AND(B3173="H0 verdadera",E3173="Rechazar H0"),"Error tipo I",IF(AND(B3173="Ha verdadera",E3173="No rechazar H0"),"Error tipo II","Decisión correcta"))</f>
        <v>Decisión correcta</v>
      </c>
    </row>
    <row r="3174" customFormat="false" ht="15" hidden="false" customHeight="false" outlineLevel="0" collapsed="false">
      <c r="A3174" s="0" t="n">
        <v>3153</v>
      </c>
      <c r="B3174" s="0" t="s">
        <v>86</v>
      </c>
      <c r="C3174" s="17" t="n">
        <v>-0.13231859117083</v>
      </c>
      <c r="D3174" s="17" t="n">
        <f aca="false">(C3174-$B$4)/($B$6/SQRT($B$7))</f>
        <v>-0.661592955854151</v>
      </c>
      <c r="E3174" s="0" t="str">
        <f aca="false">IF(OR(AND($B$9="superior",D3174&gt;$B$10),AND($B$9="inferior",D3174&lt;-$B$10)),"Rechazar H0","No rechazar H0")</f>
        <v>No rechazar H0</v>
      </c>
      <c r="F3174" s="0" t="str">
        <f aca="false">IF(AND(B3174="H0 verdadera",E3174="Rechazar H0"),"Error tipo I",IF(AND(B3174="Ha verdadera",E3174="No rechazar H0"),"Error tipo II","Decisión correcta"))</f>
        <v>Error tipo II</v>
      </c>
    </row>
    <row r="3175" customFormat="false" ht="15" hidden="false" customHeight="false" outlineLevel="0" collapsed="false">
      <c r="A3175" s="0" t="n">
        <v>3154</v>
      </c>
      <c r="B3175" s="0" t="s">
        <v>85</v>
      </c>
      <c r="C3175" s="17" t="n">
        <v>-0.0932351753801661</v>
      </c>
      <c r="D3175" s="17" t="n">
        <f aca="false">(C3175-$B$4)/($B$6/SQRT($B$7))</f>
        <v>-0.46617587690083</v>
      </c>
      <c r="E3175" s="0" t="str">
        <f aca="false">IF(OR(AND($B$9="superior",D3175&gt;$B$10),AND($B$9="inferior",D3175&lt;-$B$10)),"Rechazar H0","No rechazar H0")</f>
        <v>No rechazar H0</v>
      </c>
      <c r="F3175" s="0" t="str">
        <f aca="false">IF(AND(B3175="H0 verdadera",E3175="Rechazar H0"),"Error tipo I",IF(AND(B3175="Ha verdadera",E3175="No rechazar H0"),"Error tipo II","Decisión correcta"))</f>
        <v>Decisión correcta</v>
      </c>
    </row>
    <row r="3176" customFormat="false" ht="15" hidden="false" customHeight="false" outlineLevel="0" collapsed="false">
      <c r="A3176" s="0" t="n">
        <v>3155</v>
      </c>
      <c r="B3176" s="0" t="s">
        <v>86</v>
      </c>
      <c r="C3176" s="17" t="n">
        <v>-0.405905536296402</v>
      </c>
      <c r="D3176" s="17" t="n">
        <f aca="false">(C3176-$B$4)/($B$6/SQRT($B$7))</f>
        <v>-2.02952768148201</v>
      </c>
      <c r="E3176" s="0" t="str">
        <f aca="false">IF(OR(AND($B$9="superior",D3176&gt;$B$10),AND($B$9="inferior",D3176&lt;-$B$10)),"Rechazar H0","No rechazar H0")</f>
        <v>Rechazar H0</v>
      </c>
      <c r="F3176" s="0" t="str">
        <f aca="false">IF(AND(B3176="H0 verdadera",E3176="Rechazar H0"),"Error tipo I",IF(AND(B3176="Ha verdadera",E3176="No rechazar H0"),"Error tipo II","Decisión correcta"))</f>
        <v>Decisión correcta</v>
      </c>
    </row>
    <row r="3177" customFormat="false" ht="15" hidden="false" customHeight="false" outlineLevel="0" collapsed="false">
      <c r="A3177" s="0" t="n">
        <v>3156</v>
      </c>
      <c r="B3177" s="0" t="s">
        <v>86</v>
      </c>
      <c r="C3177" s="17" t="n">
        <v>-0.413017755886489</v>
      </c>
      <c r="D3177" s="17" t="n">
        <f aca="false">(C3177-$B$4)/($B$6/SQRT($B$7))</f>
        <v>-2.06508877943245</v>
      </c>
      <c r="E3177" s="0" t="str">
        <f aca="false">IF(OR(AND($B$9="superior",D3177&gt;$B$10),AND($B$9="inferior",D3177&lt;-$B$10)),"Rechazar H0","No rechazar H0")</f>
        <v>Rechazar H0</v>
      </c>
      <c r="F3177" s="0" t="str">
        <f aca="false">IF(AND(B3177="H0 verdadera",E3177="Rechazar H0"),"Error tipo I",IF(AND(B3177="Ha verdadera",E3177="No rechazar H0"),"Error tipo II","Decisión correcta"))</f>
        <v>Decisión correcta</v>
      </c>
    </row>
    <row r="3178" customFormat="false" ht="15" hidden="false" customHeight="false" outlineLevel="0" collapsed="false">
      <c r="A3178" s="0" t="n">
        <v>3157</v>
      </c>
      <c r="B3178" s="0" t="s">
        <v>86</v>
      </c>
      <c r="C3178" s="17" t="n">
        <v>-0.6750320515339</v>
      </c>
      <c r="D3178" s="17" t="n">
        <f aca="false">(C3178-$B$4)/($B$6/SQRT($B$7))</f>
        <v>-3.3751602576695</v>
      </c>
      <c r="E3178" s="0" t="str">
        <f aca="false">IF(OR(AND($B$9="superior",D3178&gt;$B$10),AND($B$9="inferior",D3178&lt;-$B$10)),"Rechazar H0","No rechazar H0")</f>
        <v>Rechazar H0</v>
      </c>
      <c r="F3178" s="0" t="str">
        <f aca="false">IF(AND(B3178="H0 verdadera",E3178="Rechazar H0"),"Error tipo I",IF(AND(B3178="Ha verdadera",E3178="No rechazar H0"),"Error tipo II","Decisión correcta"))</f>
        <v>Decisión correcta</v>
      </c>
    </row>
    <row r="3179" customFormat="false" ht="15" hidden="false" customHeight="false" outlineLevel="0" collapsed="false">
      <c r="A3179" s="0" t="n">
        <v>3158</v>
      </c>
      <c r="B3179" s="0" t="s">
        <v>86</v>
      </c>
      <c r="C3179" s="17" t="n">
        <v>-0.460543205266955</v>
      </c>
      <c r="D3179" s="17" t="n">
        <f aca="false">(C3179-$B$4)/($B$6/SQRT($B$7))</f>
        <v>-2.30271602633478</v>
      </c>
      <c r="E3179" s="0" t="str">
        <f aca="false">IF(OR(AND($B$9="superior",D3179&gt;$B$10),AND($B$9="inferior",D3179&lt;-$B$10)),"Rechazar H0","No rechazar H0")</f>
        <v>Rechazar H0</v>
      </c>
      <c r="F3179" s="0" t="str">
        <f aca="false">IF(AND(B3179="H0 verdadera",E3179="Rechazar H0"),"Error tipo I",IF(AND(B3179="Ha verdadera",E3179="No rechazar H0"),"Error tipo II","Decisión correcta"))</f>
        <v>Decisión correcta</v>
      </c>
    </row>
    <row r="3180" customFormat="false" ht="15" hidden="false" customHeight="false" outlineLevel="0" collapsed="false">
      <c r="A3180" s="0" t="n">
        <v>3159</v>
      </c>
      <c r="B3180" s="0" t="s">
        <v>85</v>
      </c>
      <c r="C3180" s="17" t="n">
        <v>-0.0704343275583649</v>
      </c>
      <c r="D3180" s="17" t="n">
        <f aca="false">(C3180-$B$4)/($B$6/SQRT($B$7))</f>
        <v>-0.352171637791824</v>
      </c>
      <c r="E3180" s="0" t="str">
        <f aca="false">IF(OR(AND($B$9="superior",D3180&gt;$B$10),AND($B$9="inferior",D3180&lt;-$B$10)),"Rechazar H0","No rechazar H0")</f>
        <v>No rechazar H0</v>
      </c>
      <c r="F3180" s="0" t="str">
        <f aca="false">IF(AND(B3180="H0 verdadera",E3180="Rechazar H0"),"Error tipo I",IF(AND(B3180="Ha verdadera",E3180="No rechazar H0"),"Error tipo II","Decisión correcta"))</f>
        <v>Decisión correcta</v>
      </c>
    </row>
    <row r="3181" customFormat="false" ht="15" hidden="false" customHeight="false" outlineLevel="0" collapsed="false">
      <c r="A3181" s="0" t="n">
        <v>3160</v>
      </c>
      <c r="B3181" s="0" t="s">
        <v>86</v>
      </c>
      <c r="C3181" s="17" t="n">
        <v>-0.403363159143906</v>
      </c>
      <c r="D3181" s="17" t="n">
        <f aca="false">(C3181-$B$4)/($B$6/SQRT($B$7))</f>
        <v>-2.01681579571953</v>
      </c>
      <c r="E3181" s="0" t="str">
        <f aca="false">IF(OR(AND($B$9="superior",D3181&gt;$B$10),AND($B$9="inferior",D3181&lt;-$B$10)),"Rechazar H0","No rechazar H0")</f>
        <v>Rechazar H0</v>
      </c>
      <c r="F3181" s="0" t="str">
        <f aca="false">IF(AND(B3181="H0 verdadera",E3181="Rechazar H0"),"Error tipo I",IF(AND(B3181="Ha verdadera",E3181="No rechazar H0"),"Error tipo II","Decisión correcta"))</f>
        <v>Decisión correcta</v>
      </c>
    </row>
    <row r="3182" customFormat="false" ht="15" hidden="false" customHeight="false" outlineLevel="0" collapsed="false">
      <c r="A3182" s="0" t="n">
        <v>3161</v>
      </c>
      <c r="B3182" s="0" t="s">
        <v>85</v>
      </c>
      <c r="C3182" s="17" t="n">
        <v>0.0365402179762678</v>
      </c>
      <c r="D3182" s="17" t="n">
        <f aca="false">(C3182-$B$4)/($B$6/SQRT($B$7))</f>
        <v>0.182701089881339</v>
      </c>
      <c r="E3182" s="0" t="str">
        <f aca="false">IF(OR(AND($B$9="superior",D3182&gt;$B$10),AND($B$9="inferior",D3182&lt;-$B$10)),"Rechazar H0","No rechazar H0")</f>
        <v>No rechazar H0</v>
      </c>
      <c r="F3182" s="0" t="str">
        <f aca="false">IF(AND(B3182="H0 verdadera",E3182="Rechazar H0"),"Error tipo I",IF(AND(B3182="Ha verdadera",E3182="No rechazar H0"),"Error tipo II","Decisión correcta"))</f>
        <v>Decisión correcta</v>
      </c>
    </row>
    <row r="3183" customFormat="false" ht="15" hidden="false" customHeight="false" outlineLevel="0" collapsed="false">
      <c r="A3183" s="0" t="n">
        <v>3162</v>
      </c>
      <c r="B3183" s="0" t="s">
        <v>85</v>
      </c>
      <c r="C3183" s="17" t="n">
        <v>0.0647689237903769</v>
      </c>
      <c r="D3183" s="17" t="n">
        <f aca="false">(C3183-$B$4)/($B$6/SQRT($B$7))</f>
        <v>0.323844618951885</v>
      </c>
      <c r="E3183" s="0" t="str">
        <f aca="false">IF(OR(AND($B$9="superior",D3183&gt;$B$10),AND($B$9="inferior",D3183&lt;-$B$10)),"Rechazar H0","No rechazar H0")</f>
        <v>No rechazar H0</v>
      </c>
      <c r="F3183" s="0" t="str">
        <f aca="false">IF(AND(B3183="H0 verdadera",E3183="Rechazar H0"),"Error tipo I",IF(AND(B3183="Ha verdadera",E3183="No rechazar H0"),"Error tipo II","Decisión correcta"))</f>
        <v>Decisión correcta</v>
      </c>
    </row>
    <row r="3184" customFormat="false" ht="15" hidden="false" customHeight="false" outlineLevel="0" collapsed="false">
      <c r="A3184" s="0" t="n">
        <v>3163</v>
      </c>
      <c r="B3184" s="0" t="s">
        <v>85</v>
      </c>
      <c r="C3184" s="17" t="n">
        <v>-0.105197862536229</v>
      </c>
      <c r="D3184" s="17" t="n">
        <f aca="false">(C3184-$B$4)/($B$6/SQRT($B$7))</f>
        <v>-0.525989312681144</v>
      </c>
      <c r="E3184" s="0" t="str">
        <f aca="false">IF(OR(AND($B$9="superior",D3184&gt;$B$10),AND($B$9="inferior",D3184&lt;-$B$10)),"Rechazar H0","No rechazar H0")</f>
        <v>No rechazar H0</v>
      </c>
      <c r="F3184" s="0" t="str">
        <f aca="false">IF(AND(B3184="H0 verdadera",E3184="Rechazar H0"),"Error tipo I",IF(AND(B3184="Ha verdadera",E3184="No rechazar H0"),"Error tipo II","Decisión correcta"))</f>
        <v>Decisión correcta</v>
      </c>
    </row>
    <row r="3185" customFormat="false" ht="15" hidden="false" customHeight="false" outlineLevel="0" collapsed="false">
      <c r="A3185" s="0" t="n">
        <v>3164</v>
      </c>
      <c r="B3185" s="0" t="s">
        <v>86</v>
      </c>
      <c r="C3185" s="17" t="n">
        <v>-0.541540179770108</v>
      </c>
      <c r="D3185" s="17" t="n">
        <f aca="false">(C3185-$B$4)/($B$6/SQRT($B$7))</f>
        <v>-2.70770089885054</v>
      </c>
      <c r="E3185" s="0" t="str">
        <f aca="false">IF(OR(AND($B$9="superior",D3185&gt;$B$10),AND($B$9="inferior",D3185&lt;-$B$10)),"Rechazar H0","No rechazar H0")</f>
        <v>Rechazar H0</v>
      </c>
      <c r="F3185" s="0" t="str">
        <f aca="false">IF(AND(B3185="H0 verdadera",E3185="Rechazar H0"),"Error tipo I",IF(AND(B3185="Ha verdadera",E3185="No rechazar H0"),"Error tipo II","Decisión correcta"))</f>
        <v>Decisión correcta</v>
      </c>
    </row>
    <row r="3186" customFormat="false" ht="15" hidden="false" customHeight="false" outlineLevel="0" collapsed="false">
      <c r="A3186" s="0" t="n">
        <v>3165</v>
      </c>
      <c r="B3186" s="0" t="s">
        <v>85</v>
      </c>
      <c r="C3186" s="17" t="n">
        <v>0.000560795052432583</v>
      </c>
      <c r="D3186" s="17" t="n">
        <f aca="false">(C3186-$B$4)/($B$6/SQRT($B$7))</f>
        <v>0.00280397526216292</v>
      </c>
      <c r="E3186" s="0" t="str">
        <f aca="false">IF(OR(AND($B$9="superior",D3186&gt;$B$10),AND($B$9="inferior",D3186&lt;-$B$10)),"Rechazar H0","No rechazar H0")</f>
        <v>No rechazar H0</v>
      </c>
      <c r="F3186" s="0" t="str">
        <f aca="false">IF(AND(B3186="H0 verdadera",E3186="Rechazar H0"),"Error tipo I",IF(AND(B3186="Ha verdadera",E3186="No rechazar H0"),"Error tipo II","Decisión correcta"))</f>
        <v>Decisión correcta</v>
      </c>
    </row>
    <row r="3187" customFormat="false" ht="15" hidden="false" customHeight="false" outlineLevel="0" collapsed="false">
      <c r="A3187" s="0" t="n">
        <v>3166</v>
      </c>
      <c r="B3187" s="0" t="s">
        <v>85</v>
      </c>
      <c r="C3187" s="17" t="n">
        <v>0.0298508203118083</v>
      </c>
      <c r="D3187" s="17" t="n">
        <f aca="false">(C3187-$B$4)/($B$6/SQRT($B$7))</f>
        <v>0.149254101559041</v>
      </c>
      <c r="E3187" s="0" t="str">
        <f aca="false">IF(OR(AND($B$9="superior",D3187&gt;$B$10),AND($B$9="inferior",D3187&lt;-$B$10)),"Rechazar H0","No rechazar H0")</f>
        <v>No rechazar H0</v>
      </c>
      <c r="F3187" s="0" t="str">
        <f aca="false">IF(AND(B3187="H0 verdadera",E3187="Rechazar H0"),"Error tipo I",IF(AND(B3187="Ha verdadera",E3187="No rechazar H0"),"Error tipo II","Decisión correcta"))</f>
        <v>Decisión correcta</v>
      </c>
    </row>
    <row r="3188" customFormat="false" ht="15" hidden="false" customHeight="false" outlineLevel="0" collapsed="false">
      <c r="A3188" s="0" t="n">
        <v>3167</v>
      </c>
      <c r="B3188" s="0" t="s">
        <v>86</v>
      </c>
      <c r="C3188" s="17" t="n">
        <v>-0.789002465579654</v>
      </c>
      <c r="D3188" s="17" t="n">
        <f aca="false">(C3188-$B$4)/($B$6/SQRT($B$7))</f>
        <v>-3.94501232789827</v>
      </c>
      <c r="E3188" s="0" t="str">
        <f aca="false">IF(OR(AND($B$9="superior",D3188&gt;$B$10),AND($B$9="inferior",D3188&lt;-$B$10)),"Rechazar H0","No rechazar H0")</f>
        <v>Rechazar H0</v>
      </c>
      <c r="F3188" s="0" t="str">
        <f aca="false">IF(AND(B3188="H0 verdadera",E3188="Rechazar H0"),"Error tipo I",IF(AND(B3188="Ha verdadera",E3188="No rechazar H0"),"Error tipo II","Decisión correcta"))</f>
        <v>Decisión correcta</v>
      </c>
    </row>
    <row r="3189" customFormat="false" ht="15" hidden="false" customHeight="false" outlineLevel="0" collapsed="false">
      <c r="A3189" s="0" t="n">
        <v>3168</v>
      </c>
      <c r="B3189" s="0" t="s">
        <v>85</v>
      </c>
      <c r="C3189" s="17" t="n">
        <v>0.076277867794144</v>
      </c>
      <c r="D3189" s="17" t="n">
        <f aca="false">(C3189-$B$4)/($B$6/SQRT($B$7))</f>
        <v>0.38138933897072</v>
      </c>
      <c r="E3189" s="0" t="str">
        <f aca="false">IF(OR(AND($B$9="superior",D3189&gt;$B$10),AND($B$9="inferior",D3189&lt;-$B$10)),"Rechazar H0","No rechazar H0")</f>
        <v>No rechazar H0</v>
      </c>
      <c r="F3189" s="0" t="str">
        <f aca="false">IF(AND(B3189="H0 verdadera",E3189="Rechazar H0"),"Error tipo I",IF(AND(B3189="Ha verdadera",E3189="No rechazar H0"),"Error tipo II","Decisión correcta"))</f>
        <v>Decisión correcta</v>
      </c>
    </row>
    <row r="3190" customFormat="false" ht="15" hidden="false" customHeight="false" outlineLevel="0" collapsed="false">
      <c r="A3190" s="0" t="n">
        <v>3169</v>
      </c>
      <c r="B3190" s="0" t="s">
        <v>86</v>
      </c>
      <c r="C3190" s="17" t="n">
        <v>-0.322816264297105</v>
      </c>
      <c r="D3190" s="17" t="n">
        <f aca="false">(C3190-$B$4)/($B$6/SQRT($B$7))</f>
        <v>-1.61408132148553</v>
      </c>
      <c r="E3190" s="0" t="str">
        <f aca="false">IF(OR(AND($B$9="superior",D3190&gt;$B$10),AND($B$9="inferior",D3190&lt;-$B$10)),"Rechazar H0","No rechazar H0")</f>
        <v>No rechazar H0</v>
      </c>
      <c r="F3190" s="0" t="str">
        <f aca="false">IF(AND(B3190="H0 verdadera",E3190="Rechazar H0"),"Error tipo I",IF(AND(B3190="Ha verdadera",E3190="No rechazar H0"),"Error tipo II","Decisión correcta"))</f>
        <v>Error tipo II</v>
      </c>
    </row>
    <row r="3191" customFormat="false" ht="15" hidden="false" customHeight="false" outlineLevel="0" collapsed="false">
      <c r="A3191" s="0" t="n">
        <v>3170</v>
      </c>
      <c r="B3191" s="0" t="s">
        <v>86</v>
      </c>
      <c r="C3191" s="17" t="n">
        <v>-0.321866684223125</v>
      </c>
      <c r="D3191" s="17" t="n">
        <f aca="false">(C3191-$B$4)/($B$6/SQRT($B$7))</f>
        <v>-1.60933342111562</v>
      </c>
      <c r="E3191" s="0" t="str">
        <f aca="false">IF(OR(AND($B$9="superior",D3191&gt;$B$10),AND($B$9="inferior",D3191&lt;-$B$10)),"Rechazar H0","No rechazar H0")</f>
        <v>No rechazar H0</v>
      </c>
      <c r="F3191" s="0" t="str">
        <f aca="false">IF(AND(B3191="H0 verdadera",E3191="Rechazar H0"),"Error tipo I",IF(AND(B3191="Ha verdadera",E3191="No rechazar H0"),"Error tipo II","Decisión correcta"))</f>
        <v>Error tipo II</v>
      </c>
    </row>
    <row r="3192" customFormat="false" ht="15" hidden="false" customHeight="false" outlineLevel="0" collapsed="false">
      <c r="A3192" s="0" t="n">
        <v>3171</v>
      </c>
      <c r="B3192" s="0" t="s">
        <v>85</v>
      </c>
      <c r="C3192" s="17" t="n">
        <v>0.0353547230135213</v>
      </c>
      <c r="D3192" s="17" t="n">
        <f aca="false">(C3192-$B$4)/($B$6/SQRT($B$7))</f>
        <v>0.176773615067607</v>
      </c>
      <c r="E3192" s="0" t="str">
        <f aca="false">IF(OR(AND($B$9="superior",D3192&gt;$B$10),AND($B$9="inferior",D3192&lt;-$B$10)),"Rechazar H0","No rechazar H0")</f>
        <v>No rechazar H0</v>
      </c>
      <c r="F3192" s="0" t="str">
        <f aca="false">IF(AND(B3192="H0 verdadera",E3192="Rechazar H0"),"Error tipo I",IF(AND(B3192="Ha verdadera",E3192="No rechazar H0"),"Error tipo II","Decisión correcta"))</f>
        <v>Decisión correcta</v>
      </c>
    </row>
    <row r="3193" customFormat="false" ht="15" hidden="false" customHeight="false" outlineLevel="0" collapsed="false">
      <c r="A3193" s="0" t="n">
        <v>3172</v>
      </c>
      <c r="B3193" s="0" t="s">
        <v>85</v>
      </c>
      <c r="C3193" s="17" t="n">
        <v>0.486273643986927</v>
      </c>
      <c r="D3193" s="17" t="n">
        <f aca="false">(C3193-$B$4)/($B$6/SQRT($B$7))</f>
        <v>2.43136821993463</v>
      </c>
      <c r="E3193" s="0" t="str">
        <f aca="false">IF(OR(AND($B$9="superior",D3193&gt;$B$10),AND($B$9="inferior",D3193&lt;-$B$10)),"Rechazar H0","No rechazar H0")</f>
        <v>No rechazar H0</v>
      </c>
      <c r="F3193" s="0" t="str">
        <f aca="false">IF(AND(B3193="H0 verdadera",E3193="Rechazar H0"),"Error tipo I",IF(AND(B3193="Ha verdadera",E3193="No rechazar H0"),"Error tipo II","Decisión correcta"))</f>
        <v>Decisión correcta</v>
      </c>
    </row>
    <row r="3194" customFormat="false" ht="15" hidden="false" customHeight="false" outlineLevel="0" collapsed="false">
      <c r="A3194" s="0" t="n">
        <v>3173</v>
      </c>
      <c r="B3194" s="0" t="s">
        <v>86</v>
      </c>
      <c r="C3194" s="17" t="n">
        <v>-0.456775734805654</v>
      </c>
      <c r="D3194" s="17" t="n">
        <f aca="false">(C3194-$B$4)/($B$6/SQRT($B$7))</f>
        <v>-2.28387867402827</v>
      </c>
      <c r="E3194" s="0" t="str">
        <f aca="false">IF(OR(AND($B$9="superior",D3194&gt;$B$10),AND($B$9="inferior",D3194&lt;-$B$10)),"Rechazar H0","No rechazar H0")</f>
        <v>Rechazar H0</v>
      </c>
      <c r="F3194" s="0" t="str">
        <f aca="false">IF(AND(B3194="H0 verdadera",E3194="Rechazar H0"),"Error tipo I",IF(AND(B3194="Ha verdadera",E3194="No rechazar H0"),"Error tipo II","Decisión correcta"))</f>
        <v>Decisión correcta</v>
      </c>
    </row>
    <row r="3195" customFormat="false" ht="15" hidden="false" customHeight="false" outlineLevel="0" collapsed="false">
      <c r="A3195" s="0" t="n">
        <v>3174</v>
      </c>
      <c r="B3195" s="0" t="s">
        <v>85</v>
      </c>
      <c r="C3195" s="17" t="n">
        <v>0.0445458688785304</v>
      </c>
      <c r="D3195" s="17" t="n">
        <f aca="false">(C3195-$B$4)/($B$6/SQRT($B$7))</f>
        <v>0.222729344392652</v>
      </c>
      <c r="E3195" s="0" t="str">
        <f aca="false">IF(OR(AND($B$9="superior",D3195&gt;$B$10),AND($B$9="inferior",D3195&lt;-$B$10)),"Rechazar H0","No rechazar H0")</f>
        <v>No rechazar H0</v>
      </c>
      <c r="F3195" s="0" t="str">
        <f aca="false">IF(AND(B3195="H0 verdadera",E3195="Rechazar H0"),"Error tipo I",IF(AND(B3195="Ha verdadera",E3195="No rechazar H0"),"Error tipo II","Decisión correcta"))</f>
        <v>Decisión correcta</v>
      </c>
    </row>
    <row r="3196" customFormat="false" ht="15" hidden="false" customHeight="false" outlineLevel="0" collapsed="false">
      <c r="A3196" s="0" t="n">
        <v>3175</v>
      </c>
      <c r="B3196" s="0" t="s">
        <v>85</v>
      </c>
      <c r="C3196" s="17" t="n">
        <v>-0.0225863536200013</v>
      </c>
      <c r="D3196" s="17" t="n">
        <f aca="false">(C3196-$B$4)/($B$6/SQRT($B$7))</f>
        <v>-0.112931768100006</v>
      </c>
      <c r="E3196" s="0" t="str">
        <f aca="false">IF(OR(AND($B$9="superior",D3196&gt;$B$10),AND($B$9="inferior",D3196&lt;-$B$10)),"Rechazar H0","No rechazar H0")</f>
        <v>No rechazar H0</v>
      </c>
      <c r="F3196" s="0" t="str">
        <f aca="false">IF(AND(B3196="H0 verdadera",E3196="Rechazar H0"),"Error tipo I",IF(AND(B3196="Ha verdadera",E3196="No rechazar H0"),"Error tipo II","Decisión correcta"))</f>
        <v>Decisión correcta</v>
      </c>
    </row>
    <row r="3197" customFormat="false" ht="15" hidden="false" customHeight="false" outlineLevel="0" collapsed="false">
      <c r="A3197" s="0" t="n">
        <v>3176</v>
      </c>
      <c r="B3197" s="0" t="s">
        <v>86</v>
      </c>
      <c r="C3197" s="17" t="n">
        <v>-0.385469351606597</v>
      </c>
      <c r="D3197" s="17" t="n">
        <f aca="false">(C3197-$B$4)/($B$6/SQRT($B$7))</f>
        <v>-1.92734675803299</v>
      </c>
      <c r="E3197" s="0" t="str">
        <f aca="false">IF(OR(AND($B$9="superior",D3197&gt;$B$10),AND($B$9="inferior",D3197&lt;-$B$10)),"Rechazar H0","No rechazar H0")</f>
        <v>Rechazar H0</v>
      </c>
      <c r="F3197" s="0" t="str">
        <f aca="false">IF(AND(B3197="H0 verdadera",E3197="Rechazar H0"),"Error tipo I",IF(AND(B3197="Ha verdadera",E3197="No rechazar H0"),"Error tipo II","Decisión correcta"))</f>
        <v>Decisión correcta</v>
      </c>
    </row>
    <row r="3198" customFormat="false" ht="15" hidden="false" customHeight="false" outlineLevel="0" collapsed="false">
      <c r="A3198" s="0" t="n">
        <v>3177</v>
      </c>
      <c r="B3198" s="0" t="s">
        <v>86</v>
      </c>
      <c r="C3198" s="17" t="n">
        <v>-0.14257402853382</v>
      </c>
      <c r="D3198" s="17" t="n">
        <f aca="false">(C3198-$B$4)/($B$6/SQRT($B$7))</f>
        <v>-0.7128701426691</v>
      </c>
      <c r="E3198" s="0" t="str">
        <f aca="false">IF(OR(AND($B$9="superior",D3198&gt;$B$10),AND($B$9="inferior",D3198&lt;-$B$10)),"Rechazar H0","No rechazar H0")</f>
        <v>No rechazar H0</v>
      </c>
      <c r="F3198" s="0" t="str">
        <f aca="false">IF(AND(B3198="H0 verdadera",E3198="Rechazar H0"),"Error tipo I",IF(AND(B3198="Ha verdadera",E3198="No rechazar H0"),"Error tipo II","Decisión correcta"))</f>
        <v>Error tipo II</v>
      </c>
    </row>
    <row r="3199" customFormat="false" ht="15" hidden="false" customHeight="false" outlineLevel="0" collapsed="false">
      <c r="A3199" s="0" t="n">
        <v>3178</v>
      </c>
      <c r="B3199" s="0" t="s">
        <v>85</v>
      </c>
      <c r="C3199" s="17" t="n">
        <v>-0.0539143966915832</v>
      </c>
      <c r="D3199" s="17" t="n">
        <f aca="false">(C3199-$B$4)/($B$6/SQRT($B$7))</f>
        <v>-0.269571983457916</v>
      </c>
      <c r="E3199" s="0" t="str">
        <f aca="false">IF(OR(AND($B$9="superior",D3199&gt;$B$10),AND($B$9="inferior",D3199&lt;-$B$10)),"Rechazar H0","No rechazar H0")</f>
        <v>No rechazar H0</v>
      </c>
      <c r="F3199" s="0" t="str">
        <f aca="false">IF(AND(B3199="H0 verdadera",E3199="Rechazar H0"),"Error tipo I",IF(AND(B3199="Ha verdadera",E3199="No rechazar H0"),"Error tipo II","Decisión correcta"))</f>
        <v>Decisión correcta</v>
      </c>
    </row>
    <row r="3200" customFormat="false" ht="15" hidden="false" customHeight="false" outlineLevel="0" collapsed="false">
      <c r="A3200" s="0" t="n">
        <v>3179</v>
      </c>
      <c r="B3200" s="0" t="s">
        <v>85</v>
      </c>
      <c r="C3200" s="17" t="n">
        <v>-0.166663348157698</v>
      </c>
      <c r="D3200" s="17" t="n">
        <f aca="false">(C3200-$B$4)/($B$6/SQRT($B$7))</f>
        <v>-0.833316740788492</v>
      </c>
      <c r="E3200" s="0" t="str">
        <f aca="false">IF(OR(AND($B$9="superior",D3200&gt;$B$10),AND($B$9="inferior",D3200&lt;-$B$10)),"Rechazar H0","No rechazar H0")</f>
        <v>No rechazar H0</v>
      </c>
      <c r="F3200" s="0" t="str">
        <f aca="false">IF(AND(B3200="H0 verdadera",E3200="Rechazar H0"),"Error tipo I",IF(AND(B3200="Ha verdadera",E3200="No rechazar H0"),"Error tipo II","Decisión correcta"))</f>
        <v>Decisión correcta</v>
      </c>
    </row>
    <row r="3201" customFormat="false" ht="15" hidden="false" customHeight="false" outlineLevel="0" collapsed="false">
      <c r="A3201" s="0" t="n">
        <v>3180</v>
      </c>
      <c r="B3201" s="0" t="s">
        <v>86</v>
      </c>
      <c r="C3201" s="17" t="n">
        <v>-0.411573613747649</v>
      </c>
      <c r="D3201" s="17" t="n">
        <f aca="false">(C3201-$B$4)/($B$6/SQRT($B$7))</f>
        <v>-2.05786806873825</v>
      </c>
      <c r="E3201" s="0" t="str">
        <f aca="false">IF(OR(AND($B$9="superior",D3201&gt;$B$10),AND($B$9="inferior",D3201&lt;-$B$10)),"Rechazar H0","No rechazar H0")</f>
        <v>Rechazar H0</v>
      </c>
      <c r="F3201" s="0" t="str">
        <f aca="false">IF(AND(B3201="H0 verdadera",E3201="Rechazar H0"),"Error tipo I",IF(AND(B3201="Ha verdadera",E3201="No rechazar H0"),"Error tipo II","Decisión correcta"))</f>
        <v>Decisión correcta</v>
      </c>
    </row>
    <row r="3202" customFormat="false" ht="15" hidden="false" customHeight="false" outlineLevel="0" collapsed="false">
      <c r="A3202" s="0" t="n">
        <v>3181</v>
      </c>
      <c r="B3202" s="0" t="s">
        <v>86</v>
      </c>
      <c r="C3202" s="17" t="n">
        <v>-0.222163998822504</v>
      </c>
      <c r="D3202" s="17" t="n">
        <f aca="false">(C3202-$B$4)/($B$6/SQRT($B$7))</f>
        <v>-1.11081999411252</v>
      </c>
      <c r="E3202" s="0" t="str">
        <f aca="false">IF(OR(AND($B$9="superior",D3202&gt;$B$10),AND($B$9="inferior",D3202&lt;-$B$10)),"Rechazar H0","No rechazar H0")</f>
        <v>No rechazar H0</v>
      </c>
      <c r="F3202" s="0" t="str">
        <f aca="false">IF(AND(B3202="H0 verdadera",E3202="Rechazar H0"),"Error tipo I",IF(AND(B3202="Ha verdadera",E3202="No rechazar H0"),"Error tipo II","Decisión correcta"))</f>
        <v>Error tipo II</v>
      </c>
    </row>
    <row r="3203" customFormat="false" ht="15" hidden="false" customHeight="false" outlineLevel="0" collapsed="false">
      <c r="A3203" s="0" t="n">
        <v>3182</v>
      </c>
      <c r="B3203" s="0" t="s">
        <v>85</v>
      </c>
      <c r="C3203" s="17" t="n">
        <v>-0.366621314852217</v>
      </c>
      <c r="D3203" s="17" t="n">
        <f aca="false">(C3203-$B$4)/($B$6/SQRT($B$7))</f>
        <v>-1.83310657426109</v>
      </c>
      <c r="E3203" s="0" t="str">
        <f aca="false">IF(OR(AND($B$9="superior",D3203&gt;$B$10),AND($B$9="inferior",D3203&lt;-$B$10)),"Rechazar H0","No rechazar H0")</f>
        <v>Rechazar H0</v>
      </c>
      <c r="F3203" s="0" t="str">
        <f aca="false">IF(AND(B3203="H0 verdadera",E3203="Rechazar H0"),"Error tipo I",IF(AND(B3203="Ha verdadera",E3203="No rechazar H0"),"Error tipo II","Decisión correcta"))</f>
        <v>Error tipo I</v>
      </c>
    </row>
    <row r="3204" customFormat="false" ht="15" hidden="false" customHeight="false" outlineLevel="0" collapsed="false">
      <c r="A3204" s="0" t="n">
        <v>3183</v>
      </c>
      <c r="B3204" s="0" t="s">
        <v>85</v>
      </c>
      <c r="C3204" s="17" t="n">
        <v>0.022461545007054</v>
      </c>
      <c r="D3204" s="17" t="n">
        <f aca="false">(C3204-$B$4)/($B$6/SQRT($B$7))</f>
        <v>0.11230772503527</v>
      </c>
      <c r="E3204" s="0" t="str">
        <f aca="false">IF(OR(AND($B$9="superior",D3204&gt;$B$10),AND($B$9="inferior",D3204&lt;-$B$10)),"Rechazar H0","No rechazar H0")</f>
        <v>No rechazar H0</v>
      </c>
      <c r="F3204" s="0" t="str">
        <f aca="false">IF(AND(B3204="H0 verdadera",E3204="Rechazar H0"),"Error tipo I",IF(AND(B3204="Ha verdadera",E3204="No rechazar H0"),"Error tipo II","Decisión correcta"))</f>
        <v>Decisión correcta</v>
      </c>
    </row>
    <row r="3205" customFormat="false" ht="15" hidden="false" customHeight="false" outlineLevel="0" collapsed="false">
      <c r="A3205" s="0" t="n">
        <v>3184</v>
      </c>
      <c r="B3205" s="0" t="s">
        <v>85</v>
      </c>
      <c r="C3205" s="17" t="n">
        <v>0.0502247471887864</v>
      </c>
      <c r="D3205" s="17" t="n">
        <f aca="false">(C3205-$B$4)/($B$6/SQRT($B$7))</f>
        <v>0.251123735943932</v>
      </c>
      <c r="E3205" s="0" t="str">
        <f aca="false">IF(OR(AND($B$9="superior",D3205&gt;$B$10),AND($B$9="inferior",D3205&lt;-$B$10)),"Rechazar H0","No rechazar H0")</f>
        <v>No rechazar H0</v>
      </c>
      <c r="F3205" s="0" t="str">
        <f aca="false">IF(AND(B3205="H0 verdadera",E3205="Rechazar H0"),"Error tipo I",IF(AND(B3205="Ha verdadera",E3205="No rechazar H0"),"Error tipo II","Decisión correcta"))</f>
        <v>Decisión correcta</v>
      </c>
    </row>
    <row r="3206" customFormat="false" ht="15" hidden="false" customHeight="false" outlineLevel="0" collapsed="false">
      <c r="A3206" s="0" t="n">
        <v>3185</v>
      </c>
      <c r="B3206" s="0" t="s">
        <v>86</v>
      </c>
      <c r="C3206" s="17" t="n">
        <v>-0.450694613033847</v>
      </c>
      <c r="D3206" s="17" t="n">
        <f aca="false">(C3206-$B$4)/($B$6/SQRT($B$7))</f>
        <v>-2.25347306516923</v>
      </c>
      <c r="E3206" s="0" t="str">
        <f aca="false">IF(OR(AND($B$9="superior",D3206&gt;$B$10),AND($B$9="inferior",D3206&lt;-$B$10)),"Rechazar H0","No rechazar H0")</f>
        <v>Rechazar H0</v>
      </c>
      <c r="F3206" s="0" t="str">
        <f aca="false">IF(AND(B3206="H0 verdadera",E3206="Rechazar H0"),"Error tipo I",IF(AND(B3206="Ha verdadera",E3206="No rechazar H0"),"Error tipo II","Decisión correcta"))</f>
        <v>Decisión correcta</v>
      </c>
    </row>
    <row r="3207" customFormat="false" ht="15" hidden="false" customHeight="false" outlineLevel="0" collapsed="false">
      <c r="A3207" s="0" t="n">
        <v>3186</v>
      </c>
      <c r="B3207" s="0" t="s">
        <v>86</v>
      </c>
      <c r="C3207" s="17" t="n">
        <v>-0.686568347131776</v>
      </c>
      <c r="D3207" s="17" t="n">
        <f aca="false">(C3207-$B$4)/($B$6/SQRT($B$7))</f>
        <v>-3.43284173565888</v>
      </c>
      <c r="E3207" s="0" t="str">
        <f aca="false">IF(OR(AND($B$9="superior",D3207&gt;$B$10),AND($B$9="inferior",D3207&lt;-$B$10)),"Rechazar H0","No rechazar H0")</f>
        <v>Rechazar H0</v>
      </c>
      <c r="F3207" s="0" t="str">
        <f aca="false">IF(AND(B3207="H0 verdadera",E3207="Rechazar H0"),"Error tipo I",IF(AND(B3207="Ha verdadera",E3207="No rechazar H0"),"Error tipo II","Decisión correcta"))</f>
        <v>Decisión correcta</v>
      </c>
    </row>
    <row r="3208" customFormat="false" ht="15" hidden="false" customHeight="false" outlineLevel="0" collapsed="false">
      <c r="A3208" s="0" t="n">
        <v>3187</v>
      </c>
      <c r="B3208" s="0" t="s">
        <v>86</v>
      </c>
      <c r="C3208" s="17" t="n">
        <v>-0.120529568637968</v>
      </c>
      <c r="D3208" s="17" t="n">
        <f aca="false">(C3208-$B$4)/($B$6/SQRT($B$7))</f>
        <v>-0.602647843189837</v>
      </c>
      <c r="E3208" s="0" t="str">
        <f aca="false">IF(OR(AND($B$9="superior",D3208&gt;$B$10),AND($B$9="inferior",D3208&lt;-$B$10)),"Rechazar H0","No rechazar H0")</f>
        <v>No rechazar H0</v>
      </c>
      <c r="F3208" s="0" t="str">
        <f aca="false">IF(AND(B3208="H0 verdadera",E3208="Rechazar H0"),"Error tipo I",IF(AND(B3208="Ha verdadera",E3208="No rechazar H0"),"Error tipo II","Decisión correcta"))</f>
        <v>Error tipo II</v>
      </c>
    </row>
    <row r="3209" customFormat="false" ht="15" hidden="false" customHeight="false" outlineLevel="0" collapsed="false">
      <c r="A3209" s="0" t="n">
        <v>3188</v>
      </c>
      <c r="B3209" s="0" t="s">
        <v>86</v>
      </c>
      <c r="C3209" s="17" t="n">
        <v>-0.463509868294314</v>
      </c>
      <c r="D3209" s="17" t="n">
        <f aca="false">(C3209-$B$4)/($B$6/SQRT($B$7))</f>
        <v>-2.31754934147157</v>
      </c>
      <c r="E3209" s="0" t="str">
        <f aca="false">IF(OR(AND($B$9="superior",D3209&gt;$B$10),AND($B$9="inferior",D3209&lt;-$B$10)),"Rechazar H0","No rechazar H0")</f>
        <v>Rechazar H0</v>
      </c>
      <c r="F3209" s="0" t="str">
        <f aca="false">IF(AND(B3209="H0 verdadera",E3209="Rechazar H0"),"Error tipo I",IF(AND(B3209="Ha verdadera",E3209="No rechazar H0"),"Error tipo II","Decisión correcta"))</f>
        <v>Decisión correcta</v>
      </c>
    </row>
    <row r="3210" customFormat="false" ht="15" hidden="false" customHeight="false" outlineLevel="0" collapsed="false">
      <c r="A3210" s="0" t="n">
        <v>3189</v>
      </c>
      <c r="B3210" s="0" t="s">
        <v>86</v>
      </c>
      <c r="C3210" s="17" t="n">
        <v>-0.172674351738497</v>
      </c>
      <c r="D3210" s="17" t="n">
        <f aca="false">(C3210-$B$4)/($B$6/SQRT($B$7))</f>
        <v>-0.863371758692485</v>
      </c>
      <c r="E3210" s="0" t="str">
        <f aca="false">IF(OR(AND($B$9="superior",D3210&gt;$B$10),AND($B$9="inferior",D3210&lt;-$B$10)),"Rechazar H0","No rechazar H0")</f>
        <v>No rechazar H0</v>
      </c>
      <c r="F3210" s="0" t="str">
        <f aca="false">IF(AND(B3210="H0 verdadera",E3210="Rechazar H0"),"Error tipo I",IF(AND(B3210="Ha verdadera",E3210="No rechazar H0"),"Error tipo II","Decisión correcta"))</f>
        <v>Error tipo II</v>
      </c>
    </row>
    <row r="3211" customFormat="false" ht="15" hidden="false" customHeight="false" outlineLevel="0" collapsed="false">
      <c r="A3211" s="0" t="n">
        <v>3190</v>
      </c>
      <c r="B3211" s="0" t="s">
        <v>86</v>
      </c>
      <c r="C3211" s="17" t="n">
        <v>-0.337775646454201</v>
      </c>
      <c r="D3211" s="17" t="n">
        <f aca="false">(C3211-$B$4)/($B$6/SQRT($B$7))</f>
        <v>-1.68887823227101</v>
      </c>
      <c r="E3211" s="0" t="str">
        <f aca="false">IF(OR(AND($B$9="superior",D3211&gt;$B$10),AND($B$9="inferior",D3211&lt;-$B$10)),"Rechazar H0","No rechazar H0")</f>
        <v>Rechazar H0</v>
      </c>
      <c r="F3211" s="0" t="str">
        <f aca="false">IF(AND(B3211="H0 verdadera",E3211="Rechazar H0"),"Error tipo I",IF(AND(B3211="Ha verdadera",E3211="No rechazar H0"),"Error tipo II","Decisión correcta"))</f>
        <v>Decisión correcta</v>
      </c>
    </row>
    <row r="3212" customFormat="false" ht="15" hidden="false" customHeight="false" outlineLevel="0" collapsed="false">
      <c r="A3212" s="0" t="n">
        <v>3191</v>
      </c>
      <c r="B3212" s="0" t="s">
        <v>86</v>
      </c>
      <c r="C3212" s="17" t="n">
        <v>-0.701010729697663</v>
      </c>
      <c r="D3212" s="17" t="n">
        <f aca="false">(C3212-$B$4)/($B$6/SQRT($B$7))</f>
        <v>-3.50505364848831</v>
      </c>
      <c r="E3212" s="0" t="str">
        <f aca="false">IF(OR(AND($B$9="superior",D3212&gt;$B$10),AND($B$9="inferior",D3212&lt;-$B$10)),"Rechazar H0","No rechazar H0")</f>
        <v>Rechazar H0</v>
      </c>
      <c r="F3212" s="0" t="str">
        <f aca="false">IF(AND(B3212="H0 verdadera",E3212="Rechazar H0"),"Error tipo I",IF(AND(B3212="Ha verdadera",E3212="No rechazar H0"),"Error tipo II","Decisión correcta"))</f>
        <v>Decisión correcta</v>
      </c>
    </row>
    <row r="3213" customFormat="false" ht="15" hidden="false" customHeight="false" outlineLevel="0" collapsed="false">
      <c r="A3213" s="0" t="n">
        <v>3192</v>
      </c>
      <c r="B3213" s="0" t="s">
        <v>85</v>
      </c>
      <c r="C3213" s="17" t="n">
        <v>-0.031354270382305</v>
      </c>
      <c r="D3213" s="17" t="n">
        <f aca="false">(C3213-$B$4)/($B$6/SQRT($B$7))</f>
        <v>-0.156771351911525</v>
      </c>
      <c r="E3213" s="0" t="str">
        <f aca="false">IF(OR(AND($B$9="superior",D3213&gt;$B$10),AND($B$9="inferior",D3213&lt;-$B$10)),"Rechazar H0","No rechazar H0")</f>
        <v>No rechazar H0</v>
      </c>
      <c r="F3213" s="0" t="str">
        <f aca="false">IF(AND(B3213="H0 verdadera",E3213="Rechazar H0"),"Error tipo I",IF(AND(B3213="Ha verdadera",E3213="No rechazar H0"),"Error tipo II","Decisión correcta"))</f>
        <v>Decisión correcta</v>
      </c>
    </row>
    <row r="3214" customFormat="false" ht="15" hidden="false" customHeight="false" outlineLevel="0" collapsed="false">
      <c r="A3214" s="0" t="n">
        <v>3193</v>
      </c>
      <c r="B3214" s="0" t="s">
        <v>85</v>
      </c>
      <c r="C3214" s="17" t="n">
        <v>-0.0405755533380482</v>
      </c>
      <c r="D3214" s="17" t="n">
        <f aca="false">(C3214-$B$4)/($B$6/SQRT($B$7))</f>
        <v>-0.202877766690241</v>
      </c>
      <c r="E3214" s="0" t="str">
        <f aca="false">IF(OR(AND($B$9="superior",D3214&gt;$B$10),AND($B$9="inferior",D3214&lt;-$B$10)),"Rechazar H0","No rechazar H0")</f>
        <v>No rechazar H0</v>
      </c>
      <c r="F3214" s="0" t="str">
        <f aca="false">IF(AND(B3214="H0 verdadera",E3214="Rechazar H0"),"Error tipo I",IF(AND(B3214="Ha verdadera",E3214="No rechazar H0"),"Error tipo II","Decisión correcta"))</f>
        <v>Decisión correcta</v>
      </c>
    </row>
    <row r="3215" customFormat="false" ht="15" hidden="false" customHeight="false" outlineLevel="0" collapsed="false">
      <c r="A3215" s="0" t="n">
        <v>3194</v>
      </c>
      <c r="B3215" s="0" t="s">
        <v>86</v>
      </c>
      <c r="C3215" s="17" t="n">
        <v>-0.255617930478435</v>
      </c>
      <c r="D3215" s="17" t="n">
        <f aca="false">(C3215-$B$4)/($B$6/SQRT($B$7))</f>
        <v>-1.27808965239217</v>
      </c>
      <c r="E3215" s="0" t="str">
        <f aca="false">IF(OR(AND($B$9="superior",D3215&gt;$B$10),AND($B$9="inferior",D3215&lt;-$B$10)),"Rechazar H0","No rechazar H0")</f>
        <v>No rechazar H0</v>
      </c>
      <c r="F3215" s="0" t="str">
        <f aca="false">IF(AND(B3215="H0 verdadera",E3215="Rechazar H0"),"Error tipo I",IF(AND(B3215="Ha verdadera",E3215="No rechazar H0"),"Error tipo II","Decisión correcta"))</f>
        <v>Error tipo II</v>
      </c>
    </row>
    <row r="3216" customFormat="false" ht="15" hidden="false" customHeight="false" outlineLevel="0" collapsed="false">
      <c r="A3216" s="0" t="n">
        <v>3195</v>
      </c>
      <c r="B3216" s="0" t="s">
        <v>86</v>
      </c>
      <c r="C3216" s="17" t="n">
        <v>-0.428893914998459</v>
      </c>
      <c r="D3216" s="17" t="n">
        <f aca="false">(C3216-$B$4)/($B$6/SQRT($B$7))</f>
        <v>-2.1444695749923</v>
      </c>
      <c r="E3216" s="0" t="str">
        <f aca="false">IF(OR(AND($B$9="superior",D3216&gt;$B$10),AND($B$9="inferior",D3216&lt;-$B$10)),"Rechazar H0","No rechazar H0")</f>
        <v>Rechazar H0</v>
      </c>
      <c r="F3216" s="0" t="str">
        <f aca="false">IF(AND(B3216="H0 verdadera",E3216="Rechazar H0"),"Error tipo I",IF(AND(B3216="Ha verdadera",E3216="No rechazar H0"),"Error tipo II","Decisión correcta"))</f>
        <v>Decisión correcta</v>
      </c>
    </row>
    <row r="3217" customFormat="false" ht="15" hidden="false" customHeight="false" outlineLevel="0" collapsed="false">
      <c r="A3217" s="0" t="n">
        <v>3196</v>
      </c>
      <c r="B3217" s="0" t="s">
        <v>85</v>
      </c>
      <c r="C3217" s="17" t="n">
        <v>-0.16603936778665</v>
      </c>
      <c r="D3217" s="17" t="n">
        <f aca="false">(C3217-$B$4)/($B$6/SQRT($B$7))</f>
        <v>-0.830196838933247</v>
      </c>
      <c r="E3217" s="0" t="str">
        <f aca="false">IF(OR(AND($B$9="superior",D3217&gt;$B$10),AND($B$9="inferior",D3217&lt;-$B$10)),"Rechazar H0","No rechazar H0")</f>
        <v>No rechazar H0</v>
      </c>
      <c r="F3217" s="0" t="str">
        <f aca="false">IF(AND(B3217="H0 verdadera",E3217="Rechazar H0"),"Error tipo I",IF(AND(B3217="Ha verdadera",E3217="No rechazar H0"),"Error tipo II","Decisión correcta"))</f>
        <v>Decisión correcta</v>
      </c>
    </row>
    <row r="3218" customFormat="false" ht="15" hidden="false" customHeight="false" outlineLevel="0" collapsed="false">
      <c r="A3218" s="0" t="n">
        <v>3197</v>
      </c>
      <c r="B3218" s="0" t="s">
        <v>86</v>
      </c>
      <c r="C3218" s="17" t="n">
        <v>-0.657530476915429</v>
      </c>
      <c r="D3218" s="17" t="n">
        <f aca="false">(C3218-$B$4)/($B$6/SQRT($B$7))</f>
        <v>-3.28765238457714</v>
      </c>
      <c r="E3218" s="0" t="str">
        <f aca="false">IF(OR(AND($B$9="superior",D3218&gt;$B$10),AND($B$9="inferior",D3218&lt;-$B$10)),"Rechazar H0","No rechazar H0")</f>
        <v>Rechazar H0</v>
      </c>
      <c r="F3218" s="0" t="str">
        <f aca="false">IF(AND(B3218="H0 verdadera",E3218="Rechazar H0"),"Error tipo I",IF(AND(B3218="Ha verdadera",E3218="No rechazar H0"),"Error tipo II","Decisión correcta"))</f>
        <v>Decisión correcta</v>
      </c>
    </row>
    <row r="3219" customFormat="false" ht="15" hidden="false" customHeight="false" outlineLevel="0" collapsed="false">
      <c r="A3219" s="0" t="n">
        <v>3198</v>
      </c>
      <c r="B3219" s="0" t="s">
        <v>85</v>
      </c>
      <c r="C3219" s="17" t="n">
        <v>-0.0723416174766361</v>
      </c>
      <c r="D3219" s="17" t="n">
        <f aca="false">(C3219-$B$4)/($B$6/SQRT($B$7))</f>
        <v>-0.361708087383181</v>
      </c>
      <c r="E3219" s="0" t="str">
        <f aca="false">IF(OR(AND($B$9="superior",D3219&gt;$B$10),AND($B$9="inferior",D3219&lt;-$B$10)),"Rechazar H0","No rechazar H0")</f>
        <v>No rechazar H0</v>
      </c>
      <c r="F3219" s="0" t="str">
        <f aca="false">IF(AND(B3219="H0 verdadera",E3219="Rechazar H0"),"Error tipo I",IF(AND(B3219="Ha verdadera",E3219="No rechazar H0"),"Error tipo II","Decisión correcta"))</f>
        <v>Decisión correcta</v>
      </c>
    </row>
    <row r="3220" customFormat="false" ht="15" hidden="false" customHeight="false" outlineLevel="0" collapsed="false">
      <c r="A3220" s="0" t="n">
        <v>3199</v>
      </c>
      <c r="B3220" s="0" t="s">
        <v>86</v>
      </c>
      <c r="C3220" s="17" t="n">
        <v>-0.332145802999039</v>
      </c>
      <c r="D3220" s="17" t="n">
        <f aca="false">(C3220-$B$4)/($B$6/SQRT($B$7))</f>
        <v>-1.66072901499519</v>
      </c>
      <c r="E3220" s="0" t="str">
        <f aca="false">IF(OR(AND($B$9="superior",D3220&gt;$B$10),AND($B$9="inferior",D3220&lt;-$B$10)),"Rechazar H0","No rechazar H0")</f>
        <v>Rechazar H0</v>
      </c>
      <c r="F3220" s="0" t="str">
        <f aca="false">IF(AND(B3220="H0 verdadera",E3220="Rechazar H0"),"Error tipo I",IF(AND(B3220="Ha verdadera",E3220="No rechazar H0"),"Error tipo II","Decisión correcta"))</f>
        <v>Decisión correcta</v>
      </c>
    </row>
    <row r="3221" customFormat="false" ht="15" hidden="false" customHeight="false" outlineLevel="0" collapsed="false">
      <c r="A3221" s="0" t="n">
        <v>3200</v>
      </c>
      <c r="B3221" s="0" t="s">
        <v>85</v>
      </c>
      <c r="C3221" s="17" t="n">
        <v>-0.0871759015988291</v>
      </c>
      <c r="D3221" s="17" t="n">
        <f aca="false">(C3221-$B$4)/($B$6/SQRT($B$7))</f>
        <v>-0.435879507994145</v>
      </c>
      <c r="E3221" s="0" t="str">
        <f aca="false">IF(OR(AND($B$9="superior",D3221&gt;$B$10),AND($B$9="inferior",D3221&lt;-$B$10)),"Rechazar H0","No rechazar H0")</f>
        <v>No rechazar H0</v>
      </c>
      <c r="F3221" s="0" t="str">
        <f aca="false">IF(AND(B3221="H0 verdadera",E3221="Rechazar H0"),"Error tipo I",IF(AND(B3221="Ha verdadera",E3221="No rechazar H0"),"Error tipo II","Decisión correcta"))</f>
        <v>Decisión correcta</v>
      </c>
    </row>
    <row r="3222" customFormat="false" ht="15" hidden="false" customHeight="false" outlineLevel="0" collapsed="false">
      <c r="A3222" s="0" t="n">
        <v>3201</v>
      </c>
      <c r="B3222" s="0" t="s">
        <v>85</v>
      </c>
      <c r="C3222" s="17" t="n">
        <v>-0.0187599101304814</v>
      </c>
      <c r="D3222" s="17" t="n">
        <f aca="false">(C3222-$B$4)/($B$6/SQRT($B$7))</f>
        <v>-0.0937995506524067</v>
      </c>
      <c r="E3222" s="0" t="str">
        <f aca="false">IF(OR(AND($B$9="superior",D3222&gt;$B$10),AND($B$9="inferior",D3222&lt;-$B$10)),"Rechazar H0","No rechazar H0")</f>
        <v>No rechazar H0</v>
      </c>
      <c r="F3222" s="0" t="str">
        <f aca="false">IF(AND(B3222="H0 verdadera",E3222="Rechazar H0"),"Error tipo I",IF(AND(B3222="Ha verdadera",E3222="No rechazar H0"),"Error tipo II","Decisión correcta"))</f>
        <v>Decisión correcta</v>
      </c>
    </row>
    <row r="3223" customFormat="false" ht="15" hidden="false" customHeight="false" outlineLevel="0" collapsed="false">
      <c r="A3223" s="0" t="n">
        <v>3202</v>
      </c>
      <c r="B3223" s="0" t="s">
        <v>86</v>
      </c>
      <c r="C3223" s="17" t="n">
        <v>-0.288266791221656</v>
      </c>
      <c r="D3223" s="17" t="n">
        <f aca="false">(C3223-$B$4)/($B$6/SQRT($B$7))</f>
        <v>-1.44133395610828</v>
      </c>
      <c r="E3223" s="0" t="str">
        <f aca="false">IF(OR(AND($B$9="superior",D3223&gt;$B$10),AND($B$9="inferior",D3223&lt;-$B$10)),"Rechazar H0","No rechazar H0")</f>
        <v>No rechazar H0</v>
      </c>
      <c r="F3223" s="0" t="str">
        <f aca="false">IF(AND(B3223="H0 verdadera",E3223="Rechazar H0"),"Error tipo I",IF(AND(B3223="Ha verdadera",E3223="No rechazar H0"),"Error tipo II","Decisión correcta"))</f>
        <v>Error tipo II</v>
      </c>
    </row>
    <row r="3224" customFormat="false" ht="15" hidden="false" customHeight="false" outlineLevel="0" collapsed="false">
      <c r="A3224" s="0" t="n">
        <v>3203</v>
      </c>
      <c r="B3224" s="0" t="s">
        <v>86</v>
      </c>
      <c r="C3224" s="17" t="n">
        <v>-0.477715314649478</v>
      </c>
      <c r="D3224" s="17" t="n">
        <f aca="false">(C3224-$B$4)/($B$6/SQRT($B$7))</f>
        <v>-2.38857657324739</v>
      </c>
      <c r="E3224" s="0" t="str">
        <f aca="false">IF(OR(AND($B$9="superior",D3224&gt;$B$10),AND($B$9="inferior",D3224&lt;-$B$10)),"Rechazar H0","No rechazar H0")</f>
        <v>Rechazar H0</v>
      </c>
      <c r="F3224" s="0" t="str">
        <f aca="false">IF(AND(B3224="H0 verdadera",E3224="Rechazar H0"),"Error tipo I",IF(AND(B3224="Ha verdadera",E3224="No rechazar H0"),"Error tipo II","Decisión correcta"))</f>
        <v>Decisión correcta</v>
      </c>
    </row>
    <row r="3225" customFormat="false" ht="15" hidden="false" customHeight="false" outlineLevel="0" collapsed="false">
      <c r="A3225" s="0" t="n">
        <v>3204</v>
      </c>
      <c r="B3225" s="0" t="s">
        <v>86</v>
      </c>
      <c r="C3225" s="17" t="n">
        <v>-0.646052776917069</v>
      </c>
      <c r="D3225" s="17" t="n">
        <f aca="false">(C3225-$B$4)/($B$6/SQRT($B$7))</f>
        <v>-3.23026388458534</v>
      </c>
      <c r="E3225" s="0" t="str">
        <f aca="false">IF(OR(AND($B$9="superior",D3225&gt;$B$10),AND($B$9="inferior",D3225&lt;-$B$10)),"Rechazar H0","No rechazar H0")</f>
        <v>Rechazar H0</v>
      </c>
      <c r="F3225" s="0" t="str">
        <f aca="false">IF(AND(B3225="H0 verdadera",E3225="Rechazar H0"),"Error tipo I",IF(AND(B3225="Ha verdadera",E3225="No rechazar H0"),"Error tipo II","Decisión correcta"))</f>
        <v>Decisión correcta</v>
      </c>
    </row>
    <row r="3226" customFormat="false" ht="15" hidden="false" customHeight="false" outlineLevel="0" collapsed="false">
      <c r="A3226" s="0" t="n">
        <v>3205</v>
      </c>
      <c r="B3226" s="0" t="s">
        <v>85</v>
      </c>
      <c r="C3226" s="17" t="n">
        <v>-0.308031868679693</v>
      </c>
      <c r="D3226" s="17" t="n">
        <f aca="false">(C3226-$B$4)/($B$6/SQRT($B$7))</f>
        <v>-1.54015934339846</v>
      </c>
      <c r="E3226" s="0" t="str">
        <f aca="false">IF(OR(AND($B$9="superior",D3226&gt;$B$10),AND($B$9="inferior",D3226&lt;-$B$10)),"Rechazar H0","No rechazar H0")</f>
        <v>No rechazar H0</v>
      </c>
      <c r="F3226" s="0" t="str">
        <f aca="false">IF(AND(B3226="H0 verdadera",E3226="Rechazar H0"),"Error tipo I",IF(AND(B3226="Ha verdadera",E3226="No rechazar H0"),"Error tipo II","Decisión correcta"))</f>
        <v>Decisión correcta</v>
      </c>
    </row>
    <row r="3227" customFormat="false" ht="15" hidden="false" customHeight="false" outlineLevel="0" collapsed="false">
      <c r="A3227" s="0" t="n">
        <v>3206</v>
      </c>
      <c r="B3227" s="0" t="s">
        <v>86</v>
      </c>
      <c r="C3227" s="17" t="n">
        <v>-0.449151713210442</v>
      </c>
      <c r="D3227" s="17" t="n">
        <f aca="false">(C3227-$B$4)/($B$6/SQRT($B$7))</f>
        <v>-2.24575856605221</v>
      </c>
      <c r="E3227" s="0" t="str">
        <f aca="false">IF(OR(AND($B$9="superior",D3227&gt;$B$10),AND($B$9="inferior",D3227&lt;-$B$10)),"Rechazar H0","No rechazar H0")</f>
        <v>Rechazar H0</v>
      </c>
      <c r="F3227" s="0" t="str">
        <f aca="false">IF(AND(B3227="H0 verdadera",E3227="Rechazar H0"),"Error tipo I",IF(AND(B3227="Ha verdadera",E3227="No rechazar H0"),"Error tipo II","Decisión correcta"))</f>
        <v>Decisión correcta</v>
      </c>
    </row>
    <row r="3228" customFormat="false" ht="15" hidden="false" customHeight="false" outlineLevel="0" collapsed="false">
      <c r="A3228" s="0" t="n">
        <v>3207</v>
      </c>
      <c r="B3228" s="0" t="s">
        <v>85</v>
      </c>
      <c r="C3228" s="17" t="n">
        <v>0.277650183819488</v>
      </c>
      <c r="D3228" s="17" t="n">
        <f aca="false">(C3228-$B$4)/($B$6/SQRT($B$7))</f>
        <v>1.38825091909744</v>
      </c>
      <c r="E3228" s="0" t="str">
        <f aca="false">IF(OR(AND($B$9="superior",D3228&gt;$B$10),AND($B$9="inferior",D3228&lt;-$B$10)),"Rechazar H0","No rechazar H0")</f>
        <v>No rechazar H0</v>
      </c>
      <c r="F3228" s="0" t="str">
        <f aca="false">IF(AND(B3228="H0 verdadera",E3228="Rechazar H0"),"Error tipo I",IF(AND(B3228="Ha verdadera",E3228="No rechazar H0"),"Error tipo II","Decisión correcta"))</f>
        <v>Decisión correcta</v>
      </c>
    </row>
    <row r="3229" customFormat="false" ht="15" hidden="false" customHeight="false" outlineLevel="0" collapsed="false">
      <c r="A3229" s="0" t="n">
        <v>3208</v>
      </c>
      <c r="B3229" s="0" t="s">
        <v>85</v>
      </c>
      <c r="C3229" s="17" t="n">
        <v>-0.27222082472468</v>
      </c>
      <c r="D3229" s="17" t="n">
        <f aca="false">(C3229-$B$4)/($B$6/SQRT($B$7))</f>
        <v>-1.3611041236234</v>
      </c>
      <c r="E3229" s="0" t="str">
        <f aca="false">IF(OR(AND($B$9="superior",D3229&gt;$B$10),AND($B$9="inferior",D3229&lt;-$B$10)),"Rechazar H0","No rechazar H0")</f>
        <v>No rechazar H0</v>
      </c>
      <c r="F3229" s="0" t="str">
        <f aca="false">IF(AND(B3229="H0 verdadera",E3229="Rechazar H0"),"Error tipo I",IF(AND(B3229="Ha verdadera",E3229="No rechazar H0"),"Error tipo II","Decisión correcta"))</f>
        <v>Decisión correcta</v>
      </c>
    </row>
    <row r="3230" customFormat="false" ht="15" hidden="false" customHeight="false" outlineLevel="0" collapsed="false">
      <c r="A3230" s="0" t="n">
        <v>3209</v>
      </c>
      <c r="B3230" s="0" t="s">
        <v>85</v>
      </c>
      <c r="C3230" s="17" t="n">
        <v>0.0637258819311395</v>
      </c>
      <c r="D3230" s="17" t="n">
        <f aca="false">(C3230-$B$4)/($B$6/SQRT($B$7))</f>
        <v>0.318629409655697</v>
      </c>
      <c r="E3230" s="0" t="str">
        <f aca="false">IF(OR(AND($B$9="superior",D3230&gt;$B$10),AND($B$9="inferior",D3230&lt;-$B$10)),"Rechazar H0","No rechazar H0")</f>
        <v>No rechazar H0</v>
      </c>
      <c r="F3230" s="0" t="str">
        <f aca="false">IF(AND(B3230="H0 verdadera",E3230="Rechazar H0"),"Error tipo I",IF(AND(B3230="Ha verdadera",E3230="No rechazar H0"),"Error tipo II","Decisión correcta"))</f>
        <v>Decisión correcta</v>
      </c>
    </row>
    <row r="3231" customFormat="false" ht="15" hidden="false" customHeight="false" outlineLevel="0" collapsed="false">
      <c r="A3231" s="0" t="n">
        <v>3210</v>
      </c>
      <c r="B3231" s="0" t="s">
        <v>85</v>
      </c>
      <c r="C3231" s="17" t="n">
        <v>-0.219949758799777</v>
      </c>
      <c r="D3231" s="17" t="n">
        <f aca="false">(C3231-$B$4)/($B$6/SQRT($B$7))</f>
        <v>-1.09974879399889</v>
      </c>
      <c r="E3231" s="0" t="str">
        <f aca="false">IF(OR(AND($B$9="superior",D3231&gt;$B$10),AND($B$9="inferior",D3231&lt;-$B$10)),"Rechazar H0","No rechazar H0")</f>
        <v>No rechazar H0</v>
      </c>
      <c r="F3231" s="0" t="str">
        <f aca="false">IF(AND(B3231="H0 verdadera",E3231="Rechazar H0"),"Error tipo I",IF(AND(B3231="Ha verdadera",E3231="No rechazar H0"),"Error tipo II","Decisión correcta"))</f>
        <v>Decisión correcta</v>
      </c>
    </row>
    <row r="3232" customFormat="false" ht="15" hidden="false" customHeight="false" outlineLevel="0" collapsed="false">
      <c r="A3232" s="0" t="n">
        <v>3211</v>
      </c>
      <c r="B3232" s="0" t="s">
        <v>86</v>
      </c>
      <c r="C3232" s="17" t="n">
        <v>-0.350322846495496</v>
      </c>
      <c r="D3232" s="17" t="n">
        <f aca="false">(C3232-$B$4)/($B$6/SQRT($B$7))</f>
        <v>-1.75161423247748</v>
      </c>
      <c r="E3232" s="0" t="str">
        <f aca="false">IF(OR(AND($B$9="superior",D3232&gt;$B$10),AND($B$9="inferior",D3232&lt;-$B$10)),"Rechazar H0","No rechazar H0")</f>
        <v>Rechazar H0</v>
      </c>
      <c r="F3232" s="0" t="str">
        <f aca="false">IF(AND(B3232="H0 verdadera",E3232="Rechazar H0"),"Error tipo I",IF(AND(B3232="Ha verdadera",E3232="No rechazar H0"),"Error tipo II","Decisión correcta"))</f>
        <v>Decisión correcta</v>
      </c>
    </row>
    <row r="3233" customFormat="false" ht="15" hidden="false" customHeight="false" outlineLevel="0" collapsed="false">
      <c r="A3233" s="0" t="n">
        <v>3212</v>
      </c>
      <c r="B3233" s="0" t="s">
        <v>86</v>
      </c>
      <c r="C3233" s="17" t="n">
        <v>-0.153508453033394</v>
      </c>
      <c r="D3233" s="17" t="n">
        <f aca="false">(C3233-$B$4)/($B$6/SQRT($B$7))</f>
        <v>-0.767542265166967</v>
      </c>
      <c r="E3233" s="0" t="str">
        <f aca="false">IF(OR(AND($B$9="superior",D3233&gt;$B$10),AND($B$9="inferior",D3233&lt;-$B$10)),"Rechazar H0","No rechazar H0")</f>
        <v>No rechazar H0</v>
      </c>
      <c r="F3233" s="0" t="str">
        <f aca="false">IF(AND(B3233="H0 verdadera",E3233="Rechazar H0"),"Error tipo I",IF(AND(B3233="Ha verdadera",E3233="No rechazar H0"),"Error tipo II","Decisión correcta"))</f>
        <v>Error tipo II</v>
      </c>
    </row>
    <row r="3234" customFormat="false" ht="15" hidden="false" customHeight="false" outlineLevel="0" collapsed="false">
      <c r="A3234" s="0" t="n">
        <v>3213</v>
      </c>
      <c r="B3234" s="0" t="s">
        <v>86</v>
      </c>
      <c r="C3234" s="17" t="n">
        <v>-0.405954762805159</v>
      </c>
      <c r="D3234" s="17" t="n">
        <f aca="false">(C3234-$B$4)/($B$6/SQRT($B$7))</f>
        <v>-2.02977381402579</v>
      </c>
      <c r="E3234" s="0" t="str">
        <f aca="false">IF(OR(AND($B$9="superior",D3234&gt;$B$10),AND($B$9="inferior",D3234&lt;-$B$10)),"Rechazar H0","No rechazar H0")</f>
        <v>Rechazar H0</v>
      </c>
      <c r="F3234" s="0" t="str">
        <f aca="false">IF(AND(B3234="H0 verdadera",E3234="Rechazar H0"),"Error tipo I",IF(AND(B3234="Ha verdadera",E3234="No rechazar H0"),"Error tipo II","Decisión correcta"))</f>
        <v>Decisión correcta</v>
      </c>
    </row>
    <row r="3235" customFormat="false" ht="15" hidden="false" customHeight="false" outlineLevel="0" collapsed="false">
      <c r="A3235" s="0" t="n">
        <v>3214</v>
      </c>
      <c r="B3235" s="0" t="s">
        <v>85</v>
      </c>
      <c r="C3235" s="17" t="n">
        <v>-0.255521302421167</v>
      </c>
      <c r="D3235" s="17" t="n">
        <f aca="false">(C3235-$B$4)/($B$6/SQRT($B$7))</f>
        <v>-1.27760651210584</v>
      </c>
      <c r="E3235" s="0" t="str">
        <f aca="false">IF(OR(AND($B$9="superior",D3235&gt;$B$10),AND($B$9="inferior",D3235&lt;-$B$10)),"Rechazar H0","No rechazar H0")</f>
        <v>No rechazar H0</v>
      </c>
      <c r="F3235" s="0" t="str">
        <f aca="false">IF(AND(B3235="H0 verdadera",E3235="Rechazar H0"),"Error tipo I",IF(AND(B3235="Ha verdadera",E3235="No rechazar H0"),"Error tipo II","Decisión correcta"))</f>
        <v>Decisión correcta</v>
      </c>
    </row>
    <row r="3236" customFormat="false" ht="15" hidden="false" customHeight="false" outlineLevel="0" collapsed="false">
      <c r="A3236" s="0" t="n">
        <v>3215</v>
      </c>
      <c r="B3236" s="0" t="s">
        <v>85</v>
      </c>
      <c r="C3236" s="17" t="n">
        <v>-0.0099534118332322</v>
      </c>
      <c r="D3236" s="17" t="n">
        <f aca="false">(C3236-$B$4)/($B$6/SQRT($B$7))</f>
        <v>-0.049767059166161</v>
      </c>
      <c r="E3236" s="0" t="str">
        <f aca="false">IF(OR(AND($B$9="superior",D3236&gt;$B$10),AND($B$9="inferior",D3236&lt;-$B$10)),"Rechazar H0","No rechazar H0")</f>
        <v>No rechazar H0</v>
      </c>
      <c r="F3236" s="0" t="str">
        <f aca="false">IF(AND(B3236="H0 verdadera",E3236="Rechazar H0"),"Error tipo I",IF(AND(B3236="Ha verdadera",E3236="No rechazar H0"),"Error tipo II","Decisión correcta"))</f>
        <v>Decisión correcta</v>
      </c>
    </row>
    <row r="3237" customFormat="false" ht="15" hidden="false" customHeight="false" outlineLevel="0" collapsed="false">
      <c r="A3237" s="0" t="n">
        <v>3216</v>
      </c>
      <c r="B3237" s="0" t="s">
        <v>86</v>
      </c>
      <c r="C3237" s="17" t="n">
        <v>-0.584074090972652</v>
      </c>
      <c r="D3237" s="17" t="n">
        <f aca="false">(C3237-$B$4)/($B$6/SQRT($B$7))</f>
        <v>-2.92037045486326</v>
      </c>
      <c r="E3237" s="0" t="str">
        <f aca="false">IF(OR(AND($B$9="superior",D3237&gt;$B$10),AND($B$9="inferior",D3237&lt;-$B$10)),"Rechazar H0","No rechazar H0")</f>
        <v>Rechazar H0</v>
      </c>
      <c r="F3237" s="0" t="str">
        <f aca="false">IF(AND(B3237="H0 verdadera",E3237="Rechazar H0"),"Error tipo I",IF(AND(B3237="Ha verdadera",E3237="No rechazar H0"),"Error tipo II","Decisión correcta"))</f>
        <v>Decisión correcta</v>
      </c>
    </row>
    <row r="3238" customFormat="false" ht="15" hidden="false" customHeight="false" outlineLevel="0" collapsed="false">
      <c r="A3238" s="0" t="n">
        <v>3217</v>
      </c>
      <c r="B3238" s="0" t="s">
        <v>85</v>
      </c>
      <c r="C3238" s="17" t="n">
        <v>-0.235320859387714</v>
      </c>
      <c r="D3238" s="17" t="n">
        <f aca="false">(C3238-$B$4)/($B$6/SQRT($B$7))</f>
        <v>-1.17660429693857</v>
      </c>
      <c r="E3238" s="0" t="str">
        <f aca="false">IF(OR(AND($B$9="superior",D3238&gt;$B$10),AND($B$9="inferior",D3238&lt;-$B$10)),"Rechazar H0","No rechazar H0")</f>
        <v>No rechazar H0</v>
      </c>
      <c r="F3238" s="0" t="str">
        <f aca="false">IF(AND(B3238="H0 verdadera",E3238="Rechazar H0"),"Error tipo I",IF(AND(B3238="Ha verdadera",E3238="No rechazar H0"),"Error tipo II","Decisión correcta"))</f>
        <v>Decisión correcta</v>
      </c>
    </row>
    <row r="3239" customFormat="false" ht="15" hidden="false" customHeight="false" outlineLevel="0" collapsed="false">
      <c r="A3239" s="0" t="n">
        <v>3218</v>
      </c>
      <c r="B3239" s="0" t="s">
        <v>86</v>
      </c>
      <c r="C3239" s="17" t="n">
        <v>-0.440702870144534</v>
      </c>
      <c r="D3239" s="17" t="n">
        <f aca="false">(C3239-$B$4)/($B$6/SQRT($B$7))</f>
        <v>-2.20351435072267</v>
      </c>
      <c r="E3239" s="0" t="str">
        <f aca="false">IF(OR(AND($B$9="superior",D3239&gt;$B$10),AND($B$9="inferior",D3239&lt;-$B$10)),"Rechazar H0","No rechazar H0")</f>
        <v>Rechazar H0</v>
      </c>
      <c r="F3239" s="0" t="str">
        <f aca="false">IF(AND(B3239="H0 verdadera",E3239="Rechazar H0"),"Error tipo I",IF(AND(B3239="Ha verdadera",E3239="No rechazar H0"),"Error tipo II","Decisión correcta"))</f>
        <v>Decisión correcta</v>
      </c>
    </row>
    <row r="3240" customFormat="false" ht="15" hidden="false" customHeight="false" outlineLevel="0" collapsed="false">
      <c r="A3240" s="0" t="n">
        <v>3219</v>
      </c>
      <c r="B3240" s="0" t="s">
        <v>85</v>
      </c>
      <c r="C3240" s="17" t="n">
        <v>0.492565659786129</v>
      </c>
      <c r="D3240" s="17" t="n">
        <f aca="false">(C3240-$B$4)/($B$6/SQRT($B$7))</f>
        <v>2.46282829893064</v>
      </c>
      <c r="E3240" s="0" t="str">
        <f aca="false">IF(OR(AND($B$9="superior",D3240&gt;$B$10),AND($B$9="inferior",D3240&lt;-$B$10)),"Rechazar H0","No rechazar H0")</f>
        <v>No rechazar H0</v>
      </c>
      <c r="F3240" s="0" t="str">
        <f aca="false">IF(AND(B3240="H0 verdadera",E3240="Rechazar H0"),"Error tipo I",IF(AND(B3240="Ha verdadera",E3240="No rechazar H0"),"Error tipo II","Decisión correcta"))</f>
        <v>Decisión correcta</v>
      </c>
    </row>
    <row r="3241" customFormat="false" ht="15" hidden="false" customHeight="false" outlineLevel="0" collapsed="false">
      <c r="A3241" s="0" t="n">
        <v>3220</v>
      </c>
      <c r="B3241" s="0" t="s">
        <v>86</v>
      </c>
      <c r="C3241" s="17" t="n">
        <v>-0.211419718119632</v>
      </c>
      <c r="D3241" s="17" t="n">
        <f aca="false">(C3241-$B$4)/($B$6/SQRT($B$7))</f>
        <v>-1.05709859059816</v>
      </c>
      <c r="E3241" s="0" t="str">
        <f aca="false">IF(OR(AND($B$9="superior",D3241&gt;$B$10),AND($B$9="inferior",D3241&lt;-$B$10)),"Rechazar H0","No rechazar H0")</f>
        <v>No rechazar H0</v>
      </c>
      <c r="F3241" s="0" t="str">
        <f aca="false">IF(AND(B3241="H0 verdadera",E3241="Rechazar H0"),"Error tipo I",IF(AND(B3241="Ha verdadera",E3241="No rechazar H0"),"Error tipo II","Decisión correcta"))</f>
        <v>Error tipo II</v>
      </c>
    </row>
    <row r="3242" customFormat="false" ht="15" hidden="false" customHeight="false" outlineLevel="0" collapsed="false">
      <c r="A3242" s="0" t="n">
        <v>3221</v>
      </c>
      <c r="B3242" s="0" t="s">
        <v>86</v>
      </c>
      <c r="C3242" s="17" t="n">
        <v>-0.5065266769176</v>
      </c>
      <c r="D3242" s="17" t="n">
        <f aca="false">(C3242-$B$4)/($B$6/SQRT($B$7))</f>
        <v>-2.532633384588</v>
      </c>
      <c r="E3242" s="0" t="str">
        <f aca="false">IF(OR(AND($B$9="superior",D3242&gt;$B$10),AND($B$9="inferior",D3242&lt;-$B$10)),"Rechazar H0","No rechazar H0")</f>
        <v>Rechazar H0</v>
      </c>
      <c r="F3242" s="0" t="str">
        <f aca="false">IF(AND(B3242="H0 verdadera",E3242="Rechazar H0"),"Error tipo I",IF(AND(B3242="Ha verdadera",E3242="No rechazar H0"),"Error tipo II","Decisión correcta"))</f>
        <v>Decisión correcta</v>
      </c>
    </row>
    <row r="3243" customFormat="false" ht="15" hidden="false" customHeight="false" outlineLevel="0" collapsed="false">
      <c r="A3243" s="0" t="n">
        <v>3222</v>
      </c>
      <c r="B3243" s="0" t="s">
        <v>85</v>
      </c>
      <c r="C3243" s="17" t="n">
        <v>-0.264232304017804</v>
      </c>
      <c r="D3243" s="17" t="n">
        <f aca="false">(C3243-$B$4)/($B$6/SQRT($B$7))</f>
        <v>-1.32116152008902</v>
      </c>
      <c r="E3243" s="0" t="str">
        <f aca="false">IF(OR(AND($B$9="superior",D3243&gt;$B$10),AND($B$9="inferior",D3243&lt;-$B$10)),"Rechazar H0","No rechazar H0")</f>
        <v>No rechazar H0</v>
      </c>
      <c r="F3243" s="0" t="str">
        <f aca="false">IF(AND(B3243="H0 verdadera",E3243="Rechazar H0"),"Error tipo I",IF(AND(B3243="Ha verdadera",E3243="No rechazar H0"),"Error tipo II","Decisión correcta"))</f>
        <v>Decisión correcta</v>
      </c>
    </row>
    <row r="3244" customFormat="false" ht="15" hidden="false" customHeight="false" outlineLevel="0" collapsed="false">
      <c r="A3244" s="0" t="n">
        <v>3223</v>
      </c>
      <c r="B3244" s="0" t="s">
        <v>85</v>
      </c>
      <c r="C3244" s="17" t="n">
        <v>-0.134556689717518</v>
      </c>
      <c r="D3244" s="17" t="n">
        <f aca="false">(C3244-$B$4)/($B$6/SQRT($B$7))</f>
        <v>-0.672783448587591</v>
      </c>
      <c r="E3244" s="0" t="str">
        <f aca="false">IF(OR(AND($B$9="superior",D3244&gt;$B$10),AND($B$9="inferior",D3244&lt;-$B$10)),"Rechazar H0","No rechazar H0")</f>
        <v>No rechazar H0</v>
      </c>
      <c r="F3244" s="0" t="str">
        <f aca="false">IF(AND(B3244="H0 verdadera",E3244="Rechazar H0"),"Error tipo I",IF(AND(B3244="Ha verdadera",E3244="No rechazar H0"),"Error tipo II","Decisión correcta"))</f>
        <v>Decisión correcta</v>
      </c>
    </row>
    <row r="3245" customFormat="false" ht="15" hidden="false" customHeight="false" outlineLevel="0" collapsed="false">
      <c r="A3245" s="0" t="n">
        <v>3224</v>
      </c>
      <c r="B3245" s="0" t="s">
        <v>86</v>
      </c>
      <c r="C3245" s="17" t="n">
        <v>-0.554891338918974</v>
      </c>
      <c r="D3245" s="17" t="n">
        <f aca="false">(C3245-$B$4)/($B$6/SQRT($B$7))</f>
        <v>-2.77445669459487</v>
      </c>
      <c r="E3245" s="0" t="str">
        <f aca="false">IF(OR(AND($B$9="superior",D3245&gt;$B$10),AND($B$9="inferior",D3245&lt;-$B$10)),"Rechazar H0","No rechazar H0")</f>
        <v>Rechazar H0</v>
      </c>
      <c r="F3245" s="0" t="str">
        <f aca="false">IF(AND(B3245="H0 verdadera",E3245="Rechazar H0"),"Error tipo I",IF(AND(B3245="Ha verdadera",E3245="No rechazar H0"),"Error tipo II","Decisión correcta"))</f>
        <v>Decisión correcta</v>
      </c>
    </row>
    <row r="3246" customFormat="false" ht="15" hidden="false" customHeight="false" outlineLevel="0" collapsed="false">
      <c r="A3246" s="0" t="n">
        <v>3225</v>
      </c>
      <c r="B3246" s="0" t="s">
        <v>86</v>
      </c>
      <c r="C3246" s="17" t="n">
        <v>-0.421768209486976</v>
      </c>
      <c r="D3246" s="17" t="n">
        <f aca="false">(C3246-$B$4)/($B$6/SQRT($B$7))</f>
        <v>-2.10884104743488</v>
      </c>
      <c r="E3246" s="0" t="str">
        <f aca="false">IF(OR(AND($B$9="superior",D3246&gt;$B$10),AND($B$9="inferior",D3246&lt;-$B$10)),"Rechazar H0","No rechazar H0")</f>
        <v>Rechazar H0</v>
      </c>
      <c r="F3246" s="0" t="str">
        <f aca="false">IF(AND(B3246="H0 verdadera",E3246="Rechazar H0"),"Error tipo I",IF(AND(B3246="Ha verdadera",E3246="No rechazar H0"),"Error tipo II","Decisión correcta"))</f>
        <v>Decisión correcta</v>
      </c>
    </row>
    <row r="3247" customFormat="false" ht="15" hidden="false" customHeight="false" outlineLevel="0" collapsed="false">
      <c r="A3247" s="0" t="n">
        <v>3226</v>
      </c>
      <c r="B3247" s="0" t="s">
        <v>85</v>
      </c>
      <c r="C3247" s="17" t="n">
        <v>0.0804890756946597</v>
      </c>
      <c r="D3247" s="17" t="n">
        <f aca="false">(C3247-$B$4)/($B$6/SQRT($B$7))</f>
        <v>0.402445378473298</v>
      </c>
      <c r="E3247" s="0" t="str">
        <f aca="false">IF(OR(AND($B$9="superior",D3247&gt;$B$10),AND($B$9="inferior",D3247&lt;-$B$10)),"Rechazar H0","No rechazar H0")</f>
        <v>No rechazar H0</v>
      </c>
      <c r="F3247" s="0" t="str">
        <f aca="false">IF(AND(B3247="H0 verdadera",E3247="Rechazar H0"),"Error tipo I",IF(AND(B3247="Ha verdadera",E3247="No rechazar H0"),"Error tipo II","Decisión correcta"))</f>
        <v>Decisión correcta</v>
      </c>
    </row>
    <row r="3248" customFormat="false" ht="15" hidden="false" customHeight="false" outlineLevel="0" collapsed="false">
      <c r="A3248" s="0" t="n">
        <v>3227</v>
      </c>
      <c r="B3248" s="0" t="s">
        <v>85</v>
      </c>
      <c r="C3248" s="17" t="n">
        <v>-0.0211430932744264</v>
      </c>
      <c r="D3248" s="17" t="n">
        <f aca="false">(C3248-$B$4)/($B$6/SQRT($B$7))</f>
        <v>-0.105715466372132</v>
      </c>
      <c r="E3248" s="0" t="str">
        <f aca="false">IF(OR(AND($B$9="superior",D3248&gt;$B$10),AND($B$9="inferior",D3248&lt;-$B$10)),"Rechazar H0","No rechazar H0")</f>
        <v>No rechazar H0</v>
      </c>
      <c r="F3248" s="0" t="str">
        <f aca="false">IF(AND(B3248="H0 verdadera",E3248="Rechazar H0"),"Error tipo I",IF(AND(B3248="Ha verdadera",E3248="No rechazar H0"),"Error tipo II","Decisión correcta"))</f>
        <v>Decisión correcta</v>
      </c>
    </row>
    <row r="3249" customFormat="false" ht="15" hidden="false" customHeight="false" outlineLevel="0" collapsed="false">
      <c r="A3249" s="0" t="n">
        <v>3228</v>
      </c>
      <c r="B3249" s="0" t="s">
        <v>86</v>
      </c>
      <c r="C3249" s="17" t="n">
        <v>-0.110467787671675</v>
      </c>
      <c r="D3249" s="17" t="n">
        <f aca="false">(C3249-$B$4)/($B$6/SQRT($B$7))</f>
        <v>-0.552338938358372</v>
      </c>
      <c r="E3249" s="0" t="str">
        <f aca="false">IF(OR(AND($B$9="superior",D3249&gt;$B$10),AND($B$9="inferior",D3249&lt;-$B$10)),"Rechazar H0","No rechazar H0")</f>
        <v>No rechazar H0</v>
      </c>
      <c r="F3249" s="0" t="str">
        <f aca="false">IF(AND(B3249="H0 verdadera",E3249="Rechazar H0"),"Error tipo I",IF(AND(B3249="Ha verdadera",E3249="No rechazar H0"),"Error tipo II","Decisión correcta"))</f>
        <v>Error tipo II</v>
      </c>
    </row>
    <row r="3250" customFormat="false" ht="15" hidden="false" customHeight="false" outlineLevel="0" collapsed="false">
      <c r="A3250" s="0" t="n">
        <v>3229</v>
      </c>
      <c r="B3250" s="0" t="s">
        <v>85</v>
      </c>
      <c r="C3250" s="17" t="n">
        <v>0.315106394425869</v>
      </c>
      <c r="D3250" s="17" t="n">
        <f aca="false">(C3250-$B$4)/($B$6/SQRT($B$7))</f>
        <v>1.57553197212934</v>
      </c>
      <c r="E3250" s="0" t="str">
        <f aca="false">IF(OR(AND($B$9="superior",D3250&gt;$B$10),AND($B$9="inferior",D3250&lt;-$B$10)),"Rechazar H0","No rechazar H0")</f>
        <v>No rechazar H0</v>
      </c>
      <c r="F3250" s="0" t="str">
        <f aca="false">IF(AND(B3250="H0 verdadera",E3250="Rechazar H0"),"Error tipo I",IF(AND(B3250="Ha verdadera",E3250="No rechazar H0"),"Error tipo II","Decisión correcta"))</f>
        <v>Decisión correcta</v>
      </c>
    </row>
    <row r="3251" customFormat="false" ht="15" hidden="false" customHeight="false" outlineLevel="0" collapsed="false">
      <c r="A3251" s="0" t="n">
        <v>3230</v>
      </c>
      <c r="B3251" s="0" t="s">
        <v>86</v>
      </c>
      <c r="C3251" s="17" t="n">
        <v>-0.74306742427427</v>
      </c>
      <c r="D3251" s="17" t="n">
        <f aca="false">(C3251-$B$4)/($B$6/SQRT($B$7))</f>
        <v>-3.71533712137135</v>
      </c>
      <c r="E3251" s="0" t="str">
        <f aca="false">IF(OR(AND($B$9="superior",D3251&gt;$B$10),AND($B$9="inferior",D3251&lt;-$B$10)),"Rechazar H0","No rechazar H0")</f>
        <v>Rechazar H0</v>
      </c>
      <c r="F3251" s="0" t="str">
        <f aca="false">IF(AND(B3251="H0 verdadera",E3251="Rechazar H0"),"Error tipo I",IF(AND(B3251="Ha verdadera",E3251="No rechazar H0"),"Error tipo II","Decisión correcta"))</f>
        <v>Decisión correcta</v>
      </c>
    </row>
    <row r="3252" customFormat="false" ht="15" hidden="false" customHeight="false" outlineLevel="0" collapsed="false">
      <c r="A3252" s="0" t="n">
        <v>3231</v>
      </c>
      <c r="B3252" s="0" t="s">
        <v>85</v>
      </c>
      <c r="C3252" s="17" t="n">
        <v>-0.0904246234445711</v>
      </c>
      <c r="D3252" s="17" t="n">
        <f aca="false">(C3252-$B$4)/($B$6/SQRT($B$7))</f>
        <v>-0.452123117222856</v>
      </c>
      <c r="E3252" s="0" t="str">
        <f aca="false">IF(OR(AND($B$9="superior",D3252&gt;$B$10),AND($B$9="inferior",D3252&lt;-$B$10)),"Rechazar H0","No rechazar H0")</f>
        <v>No rechazar H0</v>
      </c>
      <c r="F3252" s="0" t="str">
        <f aca="false">IF(AND(B3252="H0 verdadera",E3252="Rechazar H0"),"Error tipo I",IF(AND(B3252="Ha verdadera",E3252="No rechazar H0"),"Error tipo II","Decisión correcta"))</f>
        <v>Decisión correcta</v>
      </c>
    </row>
    <row r="3253" customFormat="false" ht="15" hidden="false" customHeight="false" outlineLevel="0" collapsed="false">
      <c r="A3253" s="0" t="n">
        <v>3232</v>
      </c>
      <c r="B3253" s="0" t="s">
        <v>86</v>
      </c>
      <c r="C3253" s="17" t="n">
        <v>-0.200293368126664</v>
      </c>
      <c r="D3253" s="17" t="n">
        <f aca="false">(C3253-$B$4)/($B$6/SQRT($B$7))</f>
        <v>-1.00146684063332</v>
      </c>
      <c r="E3253" s="0" t="str">
        <f aca="false">IF(OR(AND($B$9="superior",D3253&gt;$B$10),AND($B$9="inferior",D3253&lt;-$B$10)),"Rechazar H0","No rechazar H0")</f>
        <v>No rechazar H0</v>
      </c>
      <c r="F3253" s="0" t="str">
        <f aca="false">IF(AND(B3253="H0 verdadera",E3253="Rechazar H0"),"Error tipo I",IF(AND(B3253="Ha verdadera",E3253="No rechazar H0"),"Error tipo II","Decisión correcta"))</f>
        <v>Error tipo II</v>
      </c>
    </row>
    <row r="3254" customFormat="false" ht="15" hidden="false" customHeight="false" outlineLevel="0" collapsed="false">
      <c r="A3254" s="0" t="n">
        <v>3233</v>
      </c>
      <c r="B3254" s="0" t="s">
        <v>86</v>
      </c>
      <c r="C3254" s="17" t="n">
        <v>-0.39753230605704</v>
      </c>
      <c r="D3254" s="17" t="n">
        <f aca="false">(C3254-$B$4)/($B$6/SQRT($B$7))</f>
        <v>-1.9876615302852</v>
      </c>
      <c r="E3254" s="0" t="str">
        <f aca="false">IF(OR(AND($B$9="superior",D3254&gt;$B$10),AND($B$9="inferior",D3254&lt;-$B$10)),"Rechazar H0","No rechazar H0")</f>
        <v>Rechazar H0</v>
      </c>
      <c r="F3254" s="0" t="str">
        <f aca="false">IF(AND(B3254="H0 verdadera",E3254="Rechazar H0"),"Error tipo I",IF(AND(B3254="Ha verdadera",E3254="No rechazar H0"),"Error tipo II","Decisión correcta"))</f>
        <v>Decisión correcta</v>
      </c>
    </row>
    <row r="3255" customFormat="false" ht="15" hidden="false" customHeight="false" outlineLevel="0" collapsed="false">
      <c r="A3255" s="0" t="n">
        <v>3234</v>
      </c>
      <c r="B3255" s="0" t="s">
        <v>85</v>
      </c>
      <c r="C3255" s="17" t="n">
        <v>0.059186320123846</v>
      </c>
      <c r="D3255" s="17" t="n">
        <f aca="false">(C3255-$B$4)/($B$6/SQRT($B$7))</f>
        <v>0.29593160061923</v>
      </c>
      <c r="E3255" s="0" t="str">
        <f aca="false">IF(OR(AND($B$9="superior",D3255&gt;$B$10),AND($B$9="inferior",D3255&lt;-$B$10)),"Rechazar H0","No rechazar H0")</f>
        <v>No rechazar H0</v>
      </c>
      <c r="F3255" s="0" t="str">
        <f aca="false">IF(AND(B3255="H0 verdadera",E3255="Rechazar H0"),"Error tipo I",IF(AND(B3255="Ha verdadera",E3255="No rechazar H0"),"Error tipo II","Decisión correcta"))</f>
        <v>Decisión correcta</v>
      </c>
    </row>
    <row r="3256" customFormat="false" ht="15" hidden="false" customHeight="false" outlineLevel="0" collapsed="false">
      <c r="A3256" s="0" t="n">
        <v>3235</v>
      </c>
      <c r="B3256" s="0" t="s">
        <v>86</v>
      </c>
      <c r="C3256" s="17" t="n">
        <v>-0.504514392940899</v>
      </c>
      <c r="D3256" s="17" t="n">
        <f aca="false">(C3256-$B$4)/($B$6/SQRT($B$7))</f>
        <v>-2.5225719647045</v>
      </c>
      <c r="E3256" s="0" t="str">
        <f aca="false">IF(OR(AND($B$9="superior",D3256&gt;$B$10),AND($B$9="inferior",D3256&lt;-$B$10)),"Rechazar H0","No rechazar H0")</f>
        <v>Rechazar H0</v>
      </c>
      <c r="F3256" s="0" t="str">
        <f aca="false">IF(AND(B3256="H0 verdadera",E3256="Rechazar H0"),"Error tipo I",IF(AND(B3256="Ha verdadera",E3256="No rechazar H0"),"Error tipo II","Decisión correcta"))</f>
        <v>Decisión correcta</v>
      </c>
    </row>
    <row r="3257" customFormat="false" ht="15" hidden="false" customHeight="false" outlineLevel="0" collapsed="false">
      <c r="A3257" s="0" t="n">
        <v>3236</v>
      </c>
      <c r="B3257" s="0" t="s">
        <v>86</v>
      </c>
      <c r="C3257" s="17" t="n">
        <v>-0.46689110709564</v>
      </c>
      <c r="D3257" s="17" t="n">
        <f aca="false">(C3257-$B$4)/($B$6/SQRT($B$7))</f>
        <v>-2.3344555354782</v>
      </c>
      <c r="E3257" s="0" t="str">
        <f aca="false">IF(OR(AND($B$9="superior",D3257&gt;$B$10),AND($B$9="inferior",D3257&lt;-$B$10)),"Rechazar H0","No rechazar H0")</f>
        <v>Rechazar H0</v>
      </c>
      <c r="F3257" s="0" t="str">
        <f aca="false">IF(AND(B3257="H0 verdadera",E3257="Rechazar H0"),"Error tipo I",IF(AND(B3257="Ha verdadera",E3257="No rechazar H0"),"Error tipo II","Decisión correcta"))</f>
        <v>Decisión correcta</v>
      </c>
    </row>
    <row r="3258" customFormat="false" ht="15" hidden="false" customHeight="false" outlineLevel="0" collapsed="false">
      <c r="A3258" s="0" t="n">
        <v>3237</v>
      </c>
      <c r="B3258" s="0" t="s">
        <v>86</v>
      </c>
      <c r="C3258" s="17" t="n">
        <v>-0.3327662528196</v>
      </c>
      <c r="D3258" s="17" t="n">
        <f aca="false">(C3258-$B$4)/($B$6/SQRT($B$7))</f>
        <v>-1.663831264098</v>
      </c>
      <c r="E3258" s="0" t="str">
        <f aca="false">IF(OR(AND($B$9="superior",D3258&gt;$B$10),AND($B$9="inferior",D3258&lt;-$B$10)),"Rechazar H0","No rechazar H0")</f>
        <v>Rechazar H0</v>
      </c>
      <c r="F3258" s="0" t="str">
        <f aca="false">IF(AND(B3258="H0 verdadera",E3258="Rechazar H0"),"Error tipo I",IF(AND(B3258="Ha verdadera",E3258="No rechazar H0"),"Error tipo II","Decisión correcta"))</f>
        <v>Decisión correcta</v>
      </c>
    </row>
    <row r="3259" customFormat="false" ht="15" hidden="false" customHeight="false" outlineLevel="0" collapsed="false">
      <c r="A3259" s="0" t="n">
        <v>3238</v>
      </c>
      <c r="B3259" s="0" t="s">
        <v>85</v>
      </c>
      <c r="C3259" s="17" t="n">
        <v>0.209372121993502</v>
      </c>
      <c r="D3259" s="17" t="n">
        <f aca="false">(C3259-$B$4)/($B$6/SQRT($B$7))</f>
        <v>1.04686060996751</v>
      </c>
      <c r="E3259" s="0" t="str">
        <f aca="false">IF(OR(AND($B$9="superior",D3259&gt;$B$10),AND($B$9="inferior",D3259&lt;-$B$10)),"Rechazar H0","No rechazar H0")</f>
        <v>No rechazar H0</v>
      </c>
      <c r="F3259" s="0" t="str">
        <f aca="false">IF(AND(B3259="H0 verdadera",E3259="Rechazar H0"),"Error tipo I",IF(AND(B3259="Ha verdadera",E3259="No rechazar H0"),"Error tipo II","Decisión correcta"))</f>
        <v>Decisión correcta</v>
      </c>
    </row>
    <row r="3260" customFormat="false" ht="15" hidden="false" customHeight="false" outlineLevel="0" collapsed="false">
      <c r="A3260" s="0" t="n">
        <v>3239</v>
      </c>
      <c r="B3260" s="0" t="s">
        <v>86</v>
      </c>
      <c r="C3260" s="17" t="n">
        <v>-0.483475695697225</v>
      </c>
      <c r="D3260" s="17" t="n">
        <f aca="false">(C3260-$B$4)/($B$6/SQRT($B$7))</f>
        <v>-2.41737847848612</v>
      </c>
      <c r="E3260" s="0" t="str">
        <f aca="false">IF(OR(AND($B$9="superior",D3260&gt;$B$10),AND($B$9="inferior",D3260&lt;-$B$10)),"Rechazar H0","No rechazar H0")</f>
        <v>Rechazar H0</v>
      </c>
      <c r="F3260" s="0" t="str">
        <f aca="false">IF(AND(B3260="H0 verdadera",E3260="Rechazar H0"),"Error tipo I",IF(AND(B3260="Ha verdadera",E3260="No rechazar H0"),"Error tipo II","Decisión correcta"))</f>
        <v>Decisión correcta</v>
      </c>
    </row>
    <row r="3261" customFormat="false" ht="15" hidden="false" customHeight="false" outlineLevel="0" collapsed="false">
      <c r="A3261" s="0" t="n">
        <v>3240</v>
      </c>
      <c r="B3261" s="0" t="s">
        <v>86</v>
      </c>
      <c r="C3261" s="17" t="n">
        <v>-0.299747866270324</v>
      </c>
      <c r="D3261" s="17" t="n">
        <f aca="false">(C3261-$B$4)/($B$6/SQRT($B$7))</f>
        <v>-1.49873933135162</v>
      </c>
      <c r="E3261" s="0" t="str">
        <f aca="false">IF(OR(AND($B$9="superior",D3261&gt;$B$10),AND($B$9="inferior",D3261&lt;-$B$10)),"Rechazar H0","No rechazar H0")</f>
        <v>No rechazar H0</v>
      </c>
      <c r="F3261" s="0" t="str">
        <f aca="false">IF(AND(B3261="H0 verdadera",E3261="Rechazar H0"),"Error tipo I",IF(AND(B3261="Ha verdadera",E3261="No rechazar H0"),"Error tipo II","Decisión correcta"))</f>
        <v>Error tipo II</v>
      </c>
    </row>
    <row r="3262" customFormat="false" ht="15" hidden="false" customHeight="false" outlineLevel="0" collapsed="false">
      <c r="A3262" s="0" t="n">
        <v>3241</v>
      </c>
      <c r="B3262" s="0" t="s">
        <v>85</v>
      </c>
      <c r="C3262" s="17" t="n">
        <v>-0.276641355971967</v>
      </c>
      <c r="D3262" s="17" t="n">
        <f aca="false">(C3262-$B$4)/($B$6/SQRT($B$7))</f>
        <v>-1.38320677985984</v>
      </c>
      <c r="E3262" s="0" t="str">
        <f aca="false">IF(OR(AND($B$9="superior",D3262&gt;$B$10),AND($B$9="inferior",D3262&lt;-$B$10)),"Rechazar H0","No rechazar H0")</f>
        <v>No rechazar H0</v>
      </c>
      <c r="F3262" s="0" t="str">
        <f aca="false">IF(AND(B3262="H0 verdadera",E3262="Rechazar H0"),"Error tipo I",IF(AND(B3262="Ha verdadera",E3262="No rechazar H0"),"Error tipo II","Decisión correcta"))</f>
        <v>Decisión correcta</v>
      </c>
    </row>
    <row r="3263" customFormat="false" ht="15" hidden="false" customHeight="false" outlineLevel="0" collapsed="false">
      <c r="A3263" s="0" t="n">
        <v>3242</v>
      </c>
      <c r="B3263" s="0" t="s">
        <v>85</v>
      </c>
      <c r="C3263" s="17" t="n">
        <v>-0.0484716145449019</v>
      </c>
      <c r="D3263" s="17" t="n">
        <f aca="false">(C3263-$B$4)/($B$6/SQRT($B$7))</f>
        <v>-0.24235807272451</v>
      </c>
      <c r="E3263" s="0" t="str">
        <f aca="false">IF(OR(AND($B$9="superior",D3263&gt;$B$10),AND($B$9="inferior",D3263&lt;-$B$10)),"Rechazar H0","No rechazar H0")</f>
        <v>No rechazar H0</v>
      </c>
      <c r="F3263" s="0" t="str">
        <f aca="false">IF(AND(B3263="H0 verdadera",E3263="Rechazar H0"),"Error tipo I",IF(AND(B3263="Ha verdadera",E3263="No rechazar H0"),"Error tipo II","Decisión correcta"))</f>
        <v>Decisión correcta</v>
      </c>
    </row>
    <row r="3264" customFormat="false" ht="15" hidden="false" customHeight="false" outlineLevel="0" collapsed="false">
      <c r="A3264" s="0" t="n">
        <v>3243</v>
      </c>
      <c r="B3264" s="0" t="s">
        <v>85</v>
      </c>
      <c r="C3264" s="17" t="n">
        <v>-0.192352848079736</v>
      </c>
      <c r="D3264" s="17" t="n">
        <f aca="false">(C3264-$B$4)/($B$6/SQRT($B$7))</f>
        <v>-0.96176424039868</v>
      </c>
      <c r="E3264" s="0" t="str">
        <f aca="false">IF(OR(AND($B$9="superior",D3264&gt;$B$10),AND($B$9="inferior",D3264&lt;-$B$10)),"Rechazar H0","No rechazar H0")</f>
        <v>No rechazar H0</v>
      </c>
      <c r="F3264" s="0" t="str">
        <f aca="false">IF(AND(B3264="H0 verdadera",E3264="Rechazar H0"),"Error tipo I",IF(AND(B3264="Ha verdadera",E3264="No rechazar H0"),"Error tipo II","Decisión correcta"))</f>
        <v>Decisión correcta</v>
      </c>
    </row>
    <row r="3265" customFormat="false" ht="15" hidden="false" customHeight="false" outlineLevel="0" collapsed="false">
      <c r="A3265" s="0" t="n">
        <v>3244</v>
      </c>
      <c r="B3265" s="0" t="s">
        <v>85</v>
      </c>
      <c r="C3265" s="17" t="n">
        <v>0.0442039822827859</v>
      </c>
      <c r="D3265" s="17" t="n">
        <f aca="false">(C3265-$B$4)/($B$6/SQRT($B$7))</f>
        <v>0.221019911413929</v>
      </c>
      <c r="E3265" s="0" t="str">
        <f aca="false">IF(OR(AND($B$9="superior",D3265&gt;$B$10),AND($B$9="inferior",D3265&lt;-$B$10)),"Rechazar H0","No rechazar H0")</f>
        <v>No rechazar H0</v>
      </c>
      <c r="F3265" s="0" t="str">
        <f aca="false">IF(AND(B3265="H0 verdadera",E3265="Rechazar H0"),"Error tipo I",IF(AND(B3265="Ha verdadera",E3265="No rechazar H0"),"Error tipo II","Decisión correcta"))</f>
        <v>Decisión correcta</v>
      </c>
    </row>
    <row r="3266" customFormat="false" ht="15" hidden="false" customHeight="false" outlineLevel="0" collapsed="false">
      <c r="A3266" s="0" t="n">
        <v>3245</v>
      </c>
      <c r="B3266" s="0" t="s">
        <v>85</v>
      </c>
      <c r="C3266" s="17" t="n">
        <v>-0.186752086221575</v>
      </c>
      <c r="D3266" s="17" t="n">
        <f aca="false">(C3266-$B$4)/($B$6/SQRT($B$7))</f>
        <v>-0.933760431107875</v>
      </c>
      <c r="E3266" s="0" t="str">
        <f aca="false">IF(OR(AND($B$9="superior",D3266&gt;$B$10),AND($B$9="inferior",D3266&lt;-$B$10)),"Rechazar H0","No rechazar H0")</f>
        <v>No rechazar H0</v>
      </c>
      <c r="F3266" s="0" t="str">
        <f aca="false">IF(AND(B3266="H0 verdadera",E3266="Rechazar H0"),"Error tipo I",IF(AND(B3266="Ha verdadera",E3266="No rechazar H0"),"Error tipo II","Decisión correcta"))</f>
        <v>Decisión correcta</v>
      </c>
    </row>
    <row r="3267" customFormat="false" ht="15" hidden="false" customHeight="false" outlineLevel="0" collapsed="false">
      <c r="A3267" s="0" t="n">
        <v>3246</v>
      </c>
      <c r="B3267" s="0" t="s">
        <v>85</v>
      </c>
      <c r="C3267" s="17" t="n">
        <v>-0.121491119363916</v>
      </c>
      <c r="D3267" s="17" t="n">
        <f aca="false">(C3267-$B$4)/($B$6/SQRT($B$7))</f>
        <v>-0.607455596819578</v>
      </c>
      <c r="E3267" s="0" t="str">
        <f aca="false">IF(OR(AND($B$9="superior",D3267&gt;$B$10),AND($B$9="inferior",D3267&lt;-$B$10)),"Rechazar H0","No rechazar H0")</f>
        <v>No rechazar H0</v>
      </c>
      <c r="F3267" s="0" t="str">
        <f aca="false">IF(AND(B3267="H0 verdadera",E3267="Rechazar H0"),"Error tipo I",IF(AND(B3267="Ha verdadera",E3267="No rechazar H0"),"Error tipo II","Decisión correcta"))</f>
        <v>Decisión correcta</v>
      </c>
    </row>
    <row r="3268" customFormat="false" ht="15" hidden="false" customHeight="false" outlineLevel="0" collapsed="false">
      <c r="A3268" s="0" t="n">
        <v>3247</v>
      </c>
      <c r="B3268" s="0" t="s">
        <v>86</v>
      </c>
      <c r="C3268" s="17" t="n">
        <v>-0.20949143734573</v>
      </c>
      <c r="D3268" s="17" t="n">
        <f aca="false">(C3268-$B$4)/($B$6/SQRT($B$7))</f>
        <v>-1.04745718672865</v>
      </c>
      <c r="E3268" s="0" t="str">
        <f aca="false">IF(OR(AND($B$9="superior",D3268&gt;$B$10),AND($B$9="inferior",D3268&lt;-$B$10)),"Rechazar H0","No rechazar H0")</f>
        <v>No rechazar H0</v>
      </c>
      <c r="F3268" s="0" t="str">
        <f aca="false">IF(AND(B3268="H0 verdadera",E3268="Rechazar H0"),"Error tipo I",IF(AND(B3268="Ha verdadera",E3268="No rechazar H0"),"Error tipo II","Decisión correcta"))</f>
        <v>Error tipo II</v>
      </c>
    </row>
    <row r="3269" customFormat="false" ht="15" hidden="false" customHeight="false" outlineLevel="0" collapsed="false">
      <c r="A3269" s="0" t="n">
        <v>3248</v>
      </c>
      <c r="B3269" s="0" t="s">
        <v>86</v>
      </c>
      <c r="C3269" s="17" t="n">
        <v>-0.266746597081868</v>
      </c>
      <c r="D3269" s="17" t="n">
        <f aca="false">(C3269-$B$4)/($B$6/SQRT($B$7))</f>
        <v>-1.33373298540934</v>
      </c>
      <c r="E3269" s="0" t="str">
        <f aca="false">IF(OR(AND($B$9="superior",D3269&gt;$B$10),AND($B$9="inferior",D3269&lt;-$B$10)),"Rechazar H0","No rechazar H0")</f>
        <v>No rechazar H0</v>
      </c>
      <c r="F3269" s="0" t="str">
        <f aca="false">IF(AND(B3269="H0 verdadera",E3269="Rechazar H0"),"Error tipo I",IF(AND(B3269="Ha verdadera",E3269="No rechazar H0"),"Error tipo II","Decisión correcta"))</f>
        <v>Error tipo II</v>
      </c>
    </row>
    <row r="3270" customFormat="false" ht="15" hidden="false" customHeight="false" outlineLevel="0" collapsed="false">
      <c r="A3270" s="0" t="n">
        <v>3249</v>
      </c>
      <c r="B3270" s="0" t="s">
        <v>85</v>
      </c>
      <c r="C3270" s="17" t="n">
        <v>-0.268316385186753</v>
      </c>
      <c r="D3270" s="17" t="n">
        <f aca="false">(C3270-$B$4)/($B$6/SQRT($B$7))</f>
        <v>-1.34158192593376</v>
      </c>
      <c r="E3270" s="0" t="str">
        <f aca="false">IF(OR(AND($B$9="superior",D3270&gt;$B$10),AND($B$9="inferior",D3270&lt;-$B$10)),"Rechazar H0","No rechazar H0")</f>
        <v>No rechazar H0</v>
      </c>
      <c r="F3270" s="0" t="str">
        <f aca="false">IF(AND(B3270="H0 verdadera",E3270="Rechazar H0"),"Error tipo I",IF(AND(B3270="Ha verdadera",E3270="No rechazar H0"),"Error tipo II","Decisión correcta"))</f>
        <v>Decisión correcta</v>
      </c>
    </row>
    <row r="3271" customFormat="false" ht="15" hidden="false" customHeight="false" outlineLevel="0" collapsed="false">
      <c r="A3271" s="0" t="n">
        <v>3250</v>
      </c>
      <c r="B3271" s="0" t="s">
        <v>86</v>
      </c>
      <c r="C3271" s="17" t="n">
        <v>-0.6109507899286</v>
      </c>
      <c r="D3271" s="17" t="n">
        <f aca="false">(C3271-$B$4)/($B$6/SQRT($B$7))</f>
        <v>-3.054753949643</v>
      </c>
      <c r="E3271" s="0" t="str">
        <f aca="false">IF(OR(AND($B$9="superior",D3271&gt;$B$10),AND($B$9="inferior",D3271&lt;-$B$10)),"Rechazar H0","No rechazar H0")</f>
        <v>Rechazar H0</v>
      </c>
      <c r="F3271" s="0" t="str">
        <f aca="false">IF(AND(B3271="H0 verdadera",E3271="Rechazar H0"),"Error tipo I",IF(AND(B3271="Ha verdadera",E3271="No rechazar H0"),"Error tipo II","Decisión correcta"))</f>
        <v>Decisión correcta</v>
      </c>
    </row>
    <row r="3272" customFormat="false" ht="15" hidden="false" customHeight="false" outlineLevel="0" collapsed="false">
      <c r="A3272" s="0" t="n">
        <v>3251</v>
      </c>
      <c r="B3272" s="0" t="s">
        <v>85</v>
      </c>
      <c r="C3272" s="17" t="n">
        <v>-0.110589576493467</v>
      </c>
      <c r="D3272" s="17" t="n">
        <f aca="false">(C3272-$B$4)/($B$6/SQRT($B$7))</f>
        <v>-0.552947882467335</v>
      </c>
      <c r="E3272" s="0" t="str">
        <f aca="false">IF(OR(AND($B$9="superior",D3272&gt;$B$10),AND($B$9="inferior",D3272&lt;-$B$10)),"Rechazar H0","No rechazar H0")</f>
        <v>No rechazar H0</v>
      </c>
      <c r="F3272" s="0" t="str">
        <f aca="false">IF(AND(B3272="H0 verdadera",E3272="Rechazar H0"),"Error tipo I",IF(AND(B3272="Ha verdadera",E3272="No rechazar H0"),"Error tipo II","Decisión correcta"))</f>
        <v>Decisión correcta</v>
      </c>
    </row>
    <row r="3273" customFormat="false" ht="15" hidden="false" customHeight="false" outlineLevel="0" collapsed="false">
      <c r="A3273" s="0" t="n">
        <v>3252</v>
      </c>
      <c r="B3273" s="0" t="s">
        <v>85</v>
      </c>
      <c r="C3273" s="17" t="n">
        <v>-0.063310513280146</v>
      </c>
      <c r="D3273" s="17" t="n">
        <f aca="false">(C3273-$B$4)/($B$6/SQRT($B$7))</f>
        <v>-0.31655256640073</v>
      </c>
      <c r="E3273" s="0" t="str">
        <f aca="false">IF(OR(AND($B$9="superior",D3273&gt;$B$10),AND($B$9="inferior",D3273&lt;-$B$10)),"Rechazar H0","No rechazar H0")</f>
        <v>No rechazar H0</v>
      </c>
      <c r="F3273" s="0" t="str">
        <f aca="false">IF(AND(B3273="H0 verdadera",E3273="Rechazar H0"),"Error tipo I",IF(AND(B3273="Ha verdadera",E3273="No rechazar H0"),"Error tipo II","Decisión correcta"))</f>
        <v>Decisión correcta</v>
      </c>
    </row>
    <row r="3274" customFormat="false" ht="15" hidden="false" customHeight="false" outlineLevel="0" collapsed="false">
      <c r="A3274" s="0" t="n">
        <v>3253</v>
      </c>
      <c r="B3274" s="0" t="s">
        <v>85</v>
      </c>
      <c r="C3274" s="17" t="n">
        <v>-0.180646453483974</v>
      </c>
      <c r="D3274" s="17" t="n">
        <f aca="false">(C3274-$B$4)/($B$6/SQRT($B$7))</f>
        <v>-0.90323226741987</v>
      </c>
      <c r="E3274" s="0" t="str">
        <f aca="false">IF(OR(AND($B$9="superior",D3274&gt;$B$10),AND($B$9="inferior",D3274&lt;-$B$10)),"Rechazar H0","No rechazar H0")</f>
        <v>No rechazar H0</v>
      </c>
      <c r="F3274" s="0" t="str">
        <f aca="false">IF(AND(B3274="H0 verdadera",E3274="Rechazar H0"),"Error tipo I",IF(AND(B3274="Ha verdadera",E3274="No rechazar H0"),"Error tipo II","Decisión correcta"))</f>
        <v>Decisión correcta</v>
      </c>
    </row>
    <row r="3275" customFormat="false" ht="15" hidden="false" customHeight="false" outlineLevel="0" collapsed="false">
      <c r="A3275" s="0" t="n">
        <v>3254</v>
      </c>
      <c r="B3275" s="0" t="s">
        <v>85</v>
      </c>
      <c r="C3275" s="17" t="n">
        <v>-0.0487040358378885</v>
      </c>
      <c r="D3275" s="17" t="n">
        <f aca="false">(C3275-$B$4)/($B$6/SQRT($B$7))</f>
        <v>-0.243520179189443</v>
      </c>
      <c r="E3275" s="0" t="str">
        <f aca="false">IF(OR(AND($B$9="superior",D3275&gt;$B$10),AND($B$9="inferior",D3275&lt;-$B$10)),"Rechazar H0","No rechazar H0")</f>
        <v>No rechazar H0</v>
      </c>
      <c r="F3275" s="0" t="str">
        <f aca="false">IF(AND(B3275="H0 verdadera",E3275="Rechazar H0"),"Error tipo I",IF(AND(B3275="Ha verdadera",E3275="No rechazar H0"),"Error tipo II","Decisión correcta"))</f>
        <v>Decisión correcta</v>
      </c>
    </row>
    <row r="3276" customFormat="false" ht="15" hidden="false" customHeight="false" outlineLevel="0" collapsed="false">
      <c r="A3276" s="0" t="n">
        <v>3255</v>
      </c>
      <c r="B3276" s="0" t="s">
        <v>85</v>
      </c>
      <c r="C3276" s="17" t="n">
        <v>0.267406445696238</v>
      </c>
      <c r="D3276" s="17" t="n">
        <f aca="false">(C3276-$B$4)/($B$6/SQRT($B$7))</f>
        <v>1.33703222848119</v>
      </c>
      <c r="E3276" s="0" t="str">
        <f aca="false">IF(OR(AND($B$9="superior",D3276&gt;$B$10),AND($B$9="inferior",D3276&lt;-$B$10)),"Rechazar H0","No rechazar H0")</f>
        <v>No rechazar H0</v>
      </c>
      <c r="F3276" s="0" t="str">
        <f aca="false">IF(AND(B3276="H0 verdadera",E3276="Rechazar H0"),"Error tipo I",IF(AND(B3276="Ha verdadera",E3276="No rechazar H0"),"Error tipo II","Decisión correcta"))</f>
        <v>Decisión correcta</v>
      </c>
    </row>
    <row r="3277" customFormat="false" ht="15" hidden="false" customHeight="false" outlineLevel="0" collapsed="false">
      <c r="A3277" s="0" t="n">
        <v>3256</v>
      </c>
      <c r="B3277" s="0" t="s">
        <v>86</v>
      </c>
      <c r="C3277" s="17" t="n">
        <v>-0.637633217512724</v>
      </c>
      <c r="D3277" s="17" t="n">
        <f aca="false">(C3277-$B$4)/($B$6/SQRT($B$7))</f>
        <v>-3.18816608756362</v>
      </c>
      <c r="E3277" s="0" t="str">
        <f aca="false">IF(OR(AND($B$9="superior",D3277&gt;$B$10),AND($B$9="inferior",D3277&lt;-$B$10)),"Rechazar H0","No rechazar H0")</f>
        <v>Rechazar H0</v>
      </c>
      <c r="F3277" s="0" t="str">
        <f aca="false">IF(AND(B3277="H0 verdadera",E3277="Rechazar H0"),"Error tipo I",IF(AND(B3277="Ha verdadera",E3277="No rechazar H0"),"Error tipo II","Decisión correcta"))</f>
        <v>Decisión correcta</v>
      </c>
    </row>
    <row r="3278" customFormat="false" ht="15" hidden="false" customHeight="false" outlineLevel="0" collapsed="false">
      <c r="A3278" s="0" t="n">
        <v>3257</v>
      </c>
      <c r="B3278" s="0" t="s">
        <v>85</v>
      </c>
      <c r="C3278" s="17" t="n">
        <v>-0.605648048295197</v>
      </c>
      <c r="D3278" s="17" t="n">
        <f aca="false">(C3278-$B$4)/($B$6/SQRT($B$7))</f>
        <v>-3.02824024147598</v>
      </c>
      <c r="E3278" s="0" t="str">
        <f aca="false">IF(OR(AND($B$9="superior",D3278&gt;$B$10),AND($B$9="inferior",D3278&lt;-$B$10)),"Rechazar H0","No rechazar H0")</f>
        <v>Rechazar H0</v>
      </c>
      <c r="F3278" s="0" t="str">
        <f aca="false">IF(AND(B3278="H0 verdadera",E3278="Rechazar H0"),"Error tipo I",IF(AND(B3278="Ha verdadera",E3278="No rechazar H0"),"Error tipo II","Decisión correcta"))</f>
        <v>Error tipo I</v>
      </c>
    </row>
    <row r="3279" customFormat="false" ht="15" hidden="false" customHeight="false" outlineLevel="0" collapsed="false">
      <c r="A3279" s="0" t="n">
        <v>3258</v>
      </c>
      <c r="B3279" s="0" t="s">
        <v>86</v>
      </c>
      <c r="C3279" s="17" t="n">
        <v>-0.436263849131787</v>
      </c>
      <c r="D3279" s="17" t="n">
        <f aca="false">(C3279-$B$4)/($B$6/SQRT($B$7))</f>
        <v>-2.18131924565893</v>
      </c>
      <c r="E3279" s="0" t="str">
        <f aca="false">IF(OR(AND($B$9="superior",D3279&gt;$B$10),AND($B$9="inferior",D3279&lt;-$B$10)),"Rechazar H0","No rechazar H0")</f>
        <v>Rechazar H0</v>
      </c>
      <c r="F3279" s="0" t="str">
        <f aca="false">IF(AND(B3279="H0 verdadera",E3279="Rechazar H0"),"Error tipo I",IF(AND(B3279="Ha verdadera",E3279="No rechazar H0"),"Error tipo II","Decisión correcta"))</f>
        <v>Decisión correcta</v>
      </c>
    </row>
    <row r="3280" customFormat="false" ht="15" hidden="false" customHeight="false" outlineLevel="0" collapsed="false">
      <c r="A3280" s="0" t="n">
        <v>3259</v>
      </c>
      <c r="B3280" s="0" t="s">
        <v>86</v>
      </c>
      <c r="C3280" s="17" t="n">
        <v>-0.612114196257675</v>
      </c>
      <c r="D3280" s="17" t="n">
        <f aca="false">(C3280-$B$4)/($B$6/SQRT($B$7))</f>
        <v>-3.06057098128837</v>
      </c>
      <c r="E3280" s="0" t="str">
        <f aca="false">IF(OR(AND($B$9="superior",D3280&gt;$B$10),AND($B$9="inferior",D3280&lt;-$B$10)),"Rechazar H0","No rechazar H0")</f>
        <v>Rechazar H0</v>
      </c>
      <c r="F3280" s="0" t="str">
        <f aca="false">IF(AND(B3280="H0 verdadera",E3280="Rechazar H0"),"Error tipo I",IF(AND(B3280="Ha verdadera",E3280="No rechazar H0"),"Error tipo II","Decisión correcta"))</f>
        <v>Decisión correcta</v>
      </c>
    </row>
    <row r="3281" customFormat="false" ht="15" hidden="false" customHeight="false" outlineLevel="0" collapsed="false">
      <c r="A3281" s="0" t="n">
        <v>3260</v>
      </c>
      <c r="B3281" s="0" t="s">
        <v>86</v>
      </c>
      <c r="C3281" s="17" t="n">
        <v>-0.2366600166223</v>
      </c>
      <c r="D3281" s="17" t="n">
        <f aca="false">(C3281-$B$4)/($B$6/SQRT($B$7))</f>
        <v>-1.1833000831115</v>
      </c>
      <c r="E3281" s="0" t="str">
        <f aca="false">IF(OR(AND($B$9="superior",D3281&gt;$B$10),AND($B$9="inferior",D3281&lt;-$B$10)),"Rechazar H0","No rechazar H0")</f>
        <v>No rechazar H0</v>
      </c>
      <c r="F3281" s="0" t="str">
        <f aca="false">IF(AND(B3281="H0 verdadera",E3281="Rechazar H0"),"Error tipo I",IF(AND(B3281="Ha verdadera",E3281="No rechazar H0"),"Error tipo II","Decisión correcta"))</f>
        <v>Error tipo II</v>
      </c>
    </row>
    <row r="3282" customFormat="false" ht="15" hidden="false" customHeight="false" outlineLevel="0" collapsed="false">
      <c r="A3282" s="0" t="n">
        <v>3261</v>
      </c>
      <c r="B3282" s="0" t="s">
        <v>85</v>
      </c>
      <c r="C3282" s="17" t="n">
        <v>0.461569426288134</v>
      </c>
      <c r="D3282" s="17" t="n">
        <f aca="false">(C3282-$B$4)/($B$6/SQRT($B$7))</f>
        <v>2.30784713144067</v>
      </c>
      <c r="E3282" s="0" t="str">
        <f aca="false">IF(OR(AND($B$9="superior",D3282&gt;$B$10),AND($B$9="inferior",D3282&lt;-$B$10)),"Rechazar H0","No rechazar H0")</f>
        <v>No rechazar H0</v>
      </c>
      <c r="F3282" s="0" t="str">
        <f aca="false">IF(AND(B3282="H0 verdadera",E3282="Rechazar H0"),"Error tipo I",IF(AND(B3282="Ha verdadera",E3282="No rechazar H0"),"Error tipo II","Decisión correcta"))</f>
        <v>Decisión correcta</v>
      </c>
    </row>
    <row r="3283" customFormat="false" ht="15" hidden="false" customHeight="false" outlineLevel="0" collapsed="false">
      <c r="A3283" s="0" t="n">
        <v>3262</v>
      </c>
      <c r="B3283" s="0" t="s">
        <v>86</v>
      </c>
      <c r="C3283" s="17" t="n">
        <v>-0.377883844296334</v>
      </c>
      <c r="D3283" s="17" t="n">
        <f aca="false">(C3283-$B$4)/($B$6/SQRT($B$7))</f>
        <v>-1.88941922148167</v>
      </c>
      <c r="E3283" s="0" t="str">
        <f aca="false">IF(OR(AND($B$9="superior",D3283&gt;$B$10),AND($B$9="inferior",D3283&lt;-$B$10)),"Rechazar H0","No rechazar H0")</f>
        <v>Rechazar H0</v>
      </c>
      <c r="F3283" s="0" t="str">
        <f aca="false">IF(AND(B3283="H0 verdadera",E3283="Rechazar H0"),"Error tipo I",IF(AND(B3283="Ha verdadera",E3283="No rechazar H0"),"Error tipo II","Decisión correcta"))</f>
        <v>Decisión correcta</v>
      </c>
    </row>
    <row r="3284" customFormat="false" ht="15" hidden="false" customHeight="false" outlineLevel="0" collapsed="false">
      <c r="A3284" s="0" t="n">
        <v>3263</v>
      </c>
      <c r="B3284" s="0" t="s">
        <v>85</v>
      </c>
      <c r="C3284" s="17" t="n">
        <v>0.266650193227724</v>
      </c>
      <c r="D3284" s="17" t="n">
        <f aca="false">(C3284-$B$4)/($B$6/SQRT($B$7))</f>
        <v>1.33325096613862</v>
      </c>
      <c r="E3284" s="0" t="str">
        <f aca="false">IF(OR(AND($B$9="superior",D3284&gt;$B$10),AND($B$9="inferior",D3284&lt;-$B$10)),"Rechazar H0","No rechazar H0")</f>
        <v>No rechazar H0</v>
      </c>
      <c r="F3284" s="0" t="str">
        <f aca="false">IF(AND(B3284="H0 verdadera",E3284="Rechazar H0"),"Error tipo I",IF(AND(B3284="Ha verdadera",E3284="No rechazar H0"),"Error tipo II","Decisión correcta"))</f>
        <v>Decisión correcta</v>
      </c>
    </row>
    <row r="3285" customFormat="false" ht="15" hidden="false" customHeight="false" outlineLevel="0" collapsed="false">
      <c r="A3285" s="0" t="n">
        <v>3264</v>
      </c>
      <c r="B3285" s="0" t="s">
        <v>86</v>
      </c>
      <c r="C3285" s="17" t="n">
        <v>-0.664982407234893</v>
      </c>
      <c r="D3285" s="17" t="n">
        <f aca="false">(C3285-$B$4)/($B$6/SQRT($B$7))</f>
        <v>-3.32491203617446</v>
      </c>
      <c r="E3285" s="0" t="str">
        <f aca="false">IF(OR(AND($B$9="superior",D3285&gt;$B$10),AND($B$9="inferior",D3285&lt;-$B$10)),"Rechazar H0","No rechazar H0")</f>
        <v>Rechazar H0</v>
      </c>
      <c r="F3285" s="0" t="str">
        <f aca="false">IF(AND(B3285="H0 verdadera",E3285="Rechazar H0"),"Error tipo I",IF(AND(B3285="Ha verdadera",E3285="No rechazar H0"),"Error tipo II","Decisión correcta"))</f>
        <v>Decisión correcta</v>
      </c>
    </row>
    <row r="3286" customFormat="false" ht="15" hidden="false" customHeight="false" outlineLevel="0" collapsed="false">
      <c r="A3286" s="0" t="n">
        <v>3265</v>
      </c>
      <c r="B3286" s="0" t="s">
        <v>85</v>
      </c>
      <c r="C3286" s="17" t="n">
        <v>-0.0950428913547788</v>
      </c>
      <c r="D3286" s="17" t="n">
        <f aca="false">(C3286-$B$4)/($B$6/SQRT($B$7))</f>
        <v>-0.475214456773894</v>
      </c>
      <c r="E3286" s="0" t="str">
        <f aca="false">IF(OR(AND($B$9="superior",D3286&gt;$B$10),AND($B$9="inferior",D3286&lt;-$B$10)),"Rechazar H0","No rechazar H0")</f>
        <v>No rechazar H0</v>
      </c>
      <c r="F3286" s="0" t="str">
        <f aca="false">IF(AND(B3286="H0 verdadera",E3286="Rechazar H0"),"Error tipo I",IF(AND(B3286="Ha verdadera",E3286="No rechazar H0"),"Error tipo II","Decisión correcta"))</f>
        <v>Decisión correcta</v>
      </c>
    </row>
    <row r="3287" customFormat="false" ht="15" hidden="false" customHeight="false" outlineLevel="0" collapsed="false">
      <c r="A3287" s="0" t="n">
        <v>3266</v>
      </c>
      <c r="B3287" s="0" t="s">
        <v>85</v>
      </c>
      <c r="C3287" s="17" t="n">
        <v>-0.0988436177585926</v>
      </c>
      <c r="D3287" s="17" t="n">
        <f aca="false">(C3287-$B$4)/($B$6/SQRT($B$7))</f>
        <v>-0.494218088792963</v>
      </c>
      <c r="E3287" s="0" t="str">
        <f aca="false">IF(OR(AND($B$9="superior",D3287&gt;$B$10),AND($B$9="inferior",D3287&lt;-$B$10)),"Rechazar H0","No rechazar H0")</f>
        <v>No rechazar H0</v>
      </c>
      <c r="F3287" s="0" t="str">
        <f aca="false">IF(AND(B3287="H0 verdadera",E3287="Rechazar H0"),"Error tipo I",IF(AND(B3287="Ha verdadera",E3287="No rechazar H0"),"Error tipo II","Decisión correcta"))</f>
        <v>Decisión correcta</v>
      </c>
    </row>
    <row r="3288" customFormat="false" ht="15" hidden="false" customHeight="false" outlineLevel="0" collapsed="false">
      <c r="A3288" s="0" t="n">
        <v>3267</v>
      </c>
      <c r="B3288" s="0" t="s">
        <v>86</v>
      </c>
      <c r="C3288" s="17" t="n">
        <v>-0.55146131128091</v>
      </c>
      <c r="D3288" s="17" t="n">
        <f aca="false">(C3288-$B$4)/($B$6/SQRT($B$7))</f>
        <v>-2.75730655640455</v>
      </c>
      <c r="E3288" s="0" t="str">
        <f aca="false">IF(OR(AND($B$9="superior",D3288&gt;$B$10),AND($B$9="inferior",D3288&lt;-$B$10)),"Rechazar H0","No rechazar H0")</f>
        <v>Rechazar H0</v>
      </c>
      <c r="F3288" s="0" t="str">
        <f aca="false">IF(AND(B3288="H0 verdadera",E3288="Rechazar H0"),"Error tipo I",IF(AND(B3288="Ha verdadera",E3288="No rechazar H0"),"Error tipo II","Decisión correcta"))</f>
        <v>Decisión correcta</v>
      </c>
    </row>
    <row r="3289" customFormat="false" ht="15" hidden="false" customHeight="false" outlineLevel="0" collapsed="false">
      <c r="A3289" s="0" t="n">
        <v>3268</v>
      </c>
      <c r="B3289" s="0" t="s">
        <v>85</v>
      </c>
      <c r="C3289" s="17" t="n">
        <v>0.173133831858066</v>
      </c>
      <c r="D3289" s="17" t="n">
        <f aca="false">(C3289-$B$4)/($B$6/SQRT($B$7))</f>
        <v>0.865669159290328</v>
      </c>
      <c r="E3289" s="0" t="str">
        <f aca="false">IF(OR(AND($B$9="superior",D3289&gt;$B$10),AND($B$9="inferior",D3289&lt;-$B$10)),"Rechazar H0","No rechazar H0")</f>
        <v>No rechazar H0</v>
      </c>
      <c r="F3289" s="0" t="str">
        <f aca="false">IF(AND(B3289="H0 verdadera",E3289="Rechazar H0"),"Error tipo I",IF(AND(B3289="Ha verdadera",E3289="No rechazar H0"),"Error tipo II","Decisión correcta"))</f>
        <v>Decisión correcta</v>
      </c>
    </row>
    <row r="3290" customFormat="false" ht="15" hidden="false" customHeight="false" outlineLevel="0" collapsed="false">
      <c r="A3290" s="0" t="n">
        <v>3269</v>
      </c>
      <c r="B3290" s="0" t="s">
        <v>86</v>
      </c>
      <c r="C3290" s="17" t="n">
        <v>-0.370709933001846</v>
      </c>
      <c r="D3290" s="17" t="n">
        <f aca="false">(C3290-$B$4)/($B$6/SQRT($B$7))</f>
        <v>-1.85354966500923</v>
      </c>
      <c r="E3290" s="0" t="str">
        <f aca="false">IF(OR(AND($B$9="superior",D3290&gt;$B$10),AND($B$9="inferior",D3290&lt;-$B$10)),"Rechazar H0","No rechazar H0")</f>
        <v>Rechazar H0</v>
      </c>
      <c r="F3290" s="0" t="str">
        <f aca="false">IF(AND(B3290="H0 verdadera",E3290="Rechazar H0"),"Error tipo I",IF(AND(B3290="Ha verdadera",E3290="No rechazar H0"),"Error tipo II","Decisión correcta"))</f>
        <v>Decisión correcta</v>
      </c>
    </row>
    <row r="3291" customFormat="false" ht="15" hidden="false" customHeight="false" outlineLevel="0" collapsed="false">
      <c r="A3291" s="0" t="n">
        <v>3270</v>
      </c>
      <c r="B3291" s="0" t="s">
        <v>86</v>
      </c>
      <c r="C3291" s="17" t="n">
        <v>-0.352673892388968</v>
      </c>
      <c r="D3291" s="17" t="n">
        <f aca="false">(C3291-$B$4)/($B$6/SQRT($B$7))</f>
        <v>-1.76336946194484</v>
      </c>
      <c r="E3291" s="0" t="str">
        <f aca="false">IF(OR(AND($B$9="superior",D3291&gt;$B$10),AND($B$9="inferior",D3291&lt;-$B$10)),"Rechazar H0","No rechazar H0")</f>
        <v>Rechazar H0</v>
      </c>
      <c r="F3291" s="0" t="str">
        <f aca="false">IF(AND(B3291="H0 verdadera",E3291="Rechazar H0"),"Error tipo I",IF(AND(B3291="Ha verdadera",E3291="No rechazar H0"),"Error tipo II","Decisión correcta"))</f>
        <v>Decisión correcta</v>
      </c>
    </row>
    <row r="3292" customFormat="false" ht="15" hidden="false" customHeight="false" outlineLevel="0" collapsed="false">
      <c r="A3292" s="0" t="n">
        <v>3271</v>
      </c>
      <c r="B3292" s="0" t="s">
        <v>86</v>
      </c>
      <c r="C3292" s="17" t="n">
        <v>-0.356631116387144</v>
      </c>
      <c r="D3292" s="17" t="n">
        <f aca="false">(C3292-$B$4)/($B$6/SQRT($B$7))</f>
        <v>-1.78315558193572</v>
      </c>
      <c r="E3292" s="0" t="str">
        <f aca="false">IF(OR(AND($B$9="superior",D3292&gt;$B$10),AND($B$9="inferior",D3292&lt;-$B$10)),"Rechazar H0","No rechazar H0")</f>
        <v>Rechazar H0</v>
      </c>
      <c r="F3292" s="0" t="str">
        <f aca="false">IF(AND(B3292="H0 verdadera",E3292="Rechazar H0"),"Error tipo I",IF(AND(B3292="Ha verdadera",E3292="No rechazar H0"),"Error tipo II","Decisión correcta"))</f>
        <v>Decisión correcta</v>
      </c>
    </row>
    <row r="3293" customFormat="false" ht="15" hidden="false" customHeight="false" outlineLevel="0" collapsed="false">
      <c r="A3293" s="0" t="n">
        <v>3272</v>
      </c>
      <c r="B3293" s="0" t="s">
        <v>86</v>
      </c>
      <c r="C3293" s="17" t="n">
        <v>-0.404483103003312</v>
      </c>
      <c r="D3293" s="17" t="n">
        <f aca="false">(C3293-$B$4)/($B$6/SQRT($B$7))</f>
        <v>-2.02241551501656</v>
      </c>
      <c r="E3293" s="0" t="str">
        <f aca="false">IF(OR(AND($B$9="superior",D3293&gt;$B$10),AND($B$9="inferior",D3293&lt;-$B$10)),"Rechazar H0","No rechazar H0")</f>
        <v>Rechazar H0</v>
      </c>
      <c r="F3293" s="0" t="str">
        <f aca="false">IF(AND(B3293="H0 verdadera",E3293="Rechazar H0"),"Error tipo I",IF(AND(B3293="Ha verdadera",E3293="No rechazar H0"),"Error tipo II","Decisión correcta"))</f>
        <v>Decisión correcta</v>
      </c>
    </row>
    <row r="3294" customFormat="false" ht="15" hidden="false" customHeight="false" outlineLevel="0" collapsed="false">
      <c r="A3294" s="0" t="n">
        <v>3273</v>
      </c>
      <c r="B3294" s="0" t="s">
        <v>85</v>
      </c>
      <c r="C3294" s="17" t="n">
        <v>0.0804706572283363</v>
      </c>
      <c r="D3294" s="17" t="n">
        <f aca="false">(C3294-$B$4)/($B$6/SQRT($B$7))</f>
        <v>0.402353286141682</v>
      </c>
      <c r="E3294" s="0" t="str">
        <f aca="false">IF(OR(AND($B$9="superior",D3294&gt;$B$10),AND($B$9="inferior",D3294&lt;-$B$10)),"Rechazar H0","No rechazar H0")</f>
        <v>No rechazar H0</v>
      </c>
      <c r="F3294" s="0" t="str">
        <f aca="false">IF(AND(B3294="H0 verdadera",E3294="Rechazar H0"),"Error tipo I",IF(AND(B3294="Ha verdadera",E3294="No rechazar H0"),"Error tipo II","Decisión correcta"))</f>
        <v>Decisión correcta</v>
      </c>
    </row>
    <row r="3295" customFormat="false" ht="15" hidden="false" customHeight="false" outlineLevel="0" collapsed="false">
      <c r="A3295" s="0" t="n">
        <v>3274</v>
      </c>
      <c r="B3295" s="0" t="s">
        <v>85</v>
      </c>
      <c r="C3295" s="17" t="n">
        <v>0.323339782614871</v>
      </c>
      <c r="D3295" s="17" t="n">
        <f aca="false">(C3295-$B$4)/($B$6/SQRT($B$7))</f>
        <v>1.61669891307436</v>
      </c>
      <c r="E3295" s="0" t="str">
        <f aca="false">IF(OR(AND($B$9="superior",D3295&gt;$B$10),AND($B$9="inferior",D3295&lt;-$B$10)),"Rechazar H0","No rechazar H0")</f>
        <v>No rechazar H0</v>
      </c>
      <c r="F3295" s="0" t="str">
        <f aca="false">IF(AND(B3295="H0 verdadera",E3295="Rechazar H0"),"Error tipo I",IF(AND(B3295="Ha verdadera",E3295="No rechazar H0"),"Error tipo II","Decisión correcta"))</f>
        <v>Decisión correcta</v>
      </c>
    </row>
    <row r="3296" customFormat="false" ht="15" hidden="false" customHeight="false" outlineLevel="0" collapsed="false">
      <c r="A3296" s="0" t="n">
        <v>3275</v>
      </c>
      <c r="B3296" s="0" t="s">
        <v>85</v>
      </c>
      <c r="C3296" s="17" t="n">
        <v>0.2250587808622</v>
      </c>
      <c r="D3296" s="17" t="n">
        <f aca="false">(C3296-$B$4)/($B$6/SQRT($B$7))</f>
        <v>1.125293904311</v>
      </c>
      <c r="E3296" s="0" t="str">
        <f aca="false">IF(OR(AND($B$9="superior",D3296&gt;$B$10),AND($B$9="inferior",D3296&lt;-$B$10)),"Rechazar H0","No rechazar H0")</f>
        <v>No rechazar H0</v>
      </c>
      <c r="F3296" s="0" t="str">
        <f aca="false">IF(AND(B3296="H0 verdadera",E3296="Rechazar H0"),"Error tipo I",IF(AND(B3296="Ha verdadera",E3296="No rechazar H0"),"Error tipo II","Decisión correcta"))</f>
        <v>Decisión correcta</v>
      </c>
    </row>
    <row r="3297" customFormat="false" ht="15" hidden="false" customHeight="false" outlineLevel="0" collapsed="false">
      <c r="A3297" s="0" t="n">
        <v>3276</v>
      </c>
      <c r="B3297" s="0" t="s">
        <v>86</v>
      </c>
      <c r="C3297" s="17" t="n">
        <v>-0.15981616575184</v>
      </c>
      <c r="D3297" s="17" t="n">
        <f aca="false">(C3297-$B$4)/($B$6/SQRT($B$7))</f>
        <v>-0.7990808287592</v>
      </c>
      <c r="E3297" s="0" t="str">
        <f aca="false">IF(OR(AND($B$9="superior",D3297&gt;$B$10),AND($B$9="inferior",D3297&lt;-$B$10)),"Rechazar H0","No rechazar H0")</f>
        <v>No rechazar H0</v>
      </c>
      <c r="F3297" s="0" t="str">
        <f aca="false">IF(AND(B3297="H0 verdadera",E3297="Rechazar H0"),"Error tipo I",IF(AND(B3297="Ha verdadera",E3297="No rechazar H0"),"Error tipo II","Decisión correcta"))</f>
        <v>Error tipo II</v>
      </c>
    </row>
    <row r="3298" customFormat="false" ht="15" hidden="false" customHeight="false" outlineLevel="0" collapsed="false">
      <c r="A3298" s="0" t="n">
        <v>3277</v>
      </c>
      <c r="B3298" s="0" t="s">
        <v>86</v>
      </c>
      <c r="C3298" s="17" t="n">
        <v>-0.254186814801344</v>
      </c>
      <c r="D3298" s="17" t="n">
        <f aca="false">(C3298-$B$4)/($B$6/SQRT($B$7))</f>
        <v>-1.27093407400672</v>
      </c>
      <c r="E3298" s="0" t="str">
        <f aca="false">IF(OR(AND($B$9="superior",D3298&gt;$B$10),AND($B$9="inferior",D3298&lt;-$B$10)),"Rechazar H0","No rechazar H0")</f>
        <v>No rechazar H0</v>
      </c>
      <c r="F3298" s="0" t="str">
        <f aca="false">IF(AND(B3298="H0 verdadera",E3298="Rechazar H0"),"Error tipo I",IF(AND(B3298="Ha verdadera",E3298="No rechazar H0"),"Error tipo II","Decisión correcta"))</f>
        <v>Error tipo II</v>
      </c>
    </row>
    <row r="3299" customFormat="false" ht="15" hidden="false" customHeight="false" outlineLevel="0" collapsed="false">
      <c r="A3299" s="0" t="n">
        <v>3278</v>
      </c>
      <c r="B3299" s="0" t="s">
        <v>85</v>
      </c>
      <c r="C3299" s="17" t="n">
        <v>-0.228290805349494</v>
      </c>
      <c r="D3299" s="17" t="n">
        <f aca="false">(C3299-$B$4)/($B$6/SQRT($B$7))</f>
        <v>-1.14145402674747</v>
      </c>
      <c r="E3299" s="0" t="str">
        <f aca="false">IF(OR(AND($B$9="superior",D3299&gt;$B$10),AND($B$9="inferior",D3299&lt;-$B$10)),"Rechazar H0","No rechazar H0")</f>
        <v>No rechazar H0</v>
      </c>
      <c r="F3299" s="0" t="str">
        <f aca="false">IF(AND(B3299="H0 verdadera",E3299="Rechazar H0"),"Error tipo I",IF(AND(B3299="Ha verdadera",E3299="No rechazar H0"),"Error tipo II","Decisión correcta"))</f>
        <v>Decisión correcta</v>
      </c>
    </row>
    <row r="3300" customFormat="false" ht="15" hidden="false" customHeight="false" outlineLevel="0" collapsed="false">
      <c r="A3300" s="0" t="n">
        <v>3279</v>
      </c>
      <c r="B3300" s="0" t="s">
        <v>85</v>
      </c>
      <c r="C3300" s="17" t="n">
        <v>0.113427407379277</v>
      </c>
      <c r="D3300" s="17" t="n">
        <f aca="false">(C3300-$B$4)/($B$6/SQRT($B$7))</f>
        <v>0.567137036896386</v>
      </c>
      <c r="E3300" s="0" t="str">
        <f aca="false">IF(OR(AND($B$9="superior",D3300&gt;$B$10),AND($B$9="inferior",D3300&lt;-$B$10)),"Rechazar H0","No rechazar H0")</f>
        <v>No rechazar H0</v>
      </c>
      <c r="F3300" s="0" t="str">
        <f aca="false">IF(AND(B3300="H0 verdadera",E3300="Rechazar H0"),"Error tipo I",IF(AND(B3300="Ha verdadera",E3300="No rechazar H0"),"Error tipo II","Decisión correcta"))</f>
        <v>Decisión correcta</v>
      </c>
    </row>
    <row r="3301" customFormat="false" ht="15" hidden="false" customHeight="false" outlineLevel="0" collapsed="false">
      <c r="A3301" s="0" t="n">
        <v>3280</v>
      </c>
      <c r="B3301" s="0" t="s">
        <v>86</v>
      </c>
      <c r="C3301" s="17" t="n">
        <v>-0.628672423374392</v>
      </c>
      <c r="D3301" s="17" t="n">
        <f aca="false">(C3301-$B$4)/($B$6/SQRT($B$7))</f>
        <v>-3.14336211687196</v>
      </c>
      <c r="E3301" s="0" t="str">
        <f aca="false">IF(OR(AND($B$9="superior",D3301&gt;$B$10),AND($B$9="inferior",D3301&lt;-$B$10)),"Rechazar H0","No rechazar H0")</f>
        <v>Rechazar H0</v>
      </c>
      <c r="F3301" s="0" t="str">
        <f aca="false">IF(AND(B3301="H0 verdadera",E3301="Rechazar H0"),"Error tipo I",IF(AND(B3301="Ha verdadera",E3301="No rechazar H0"),"Error tipo II","Decisión correcta"))</f>
        <v>Decisión correcta</v>
      </c>
    </row>
    <row r="3302" customFormat="false" ht="15" hidden="false" customHeight="false" outlineLevel="0" collapsed="false">
      <c r="A3302" s="0" t="n">
        <v>3281</v>
      </c>
      <c r="B3302" s="0" t="s">
        <v>86</v>
      </c>
      <c r="C3302" s="17" t="n">
        <v>-0.405321849096787</v>
      </c>
      <c r="D3302" s="17" t="n">
        <f aca="false">(C3302-$B$4)/($B$6/SQRT($B$7))</f>
        <v>-2.02660924548394</v>
      </c>
      <c r="E3302" s="0" t="str">
        <f aca="false">IF(OR(AND($B$9="superior",D3302&gt;$B$10),AND($B$9="inferior",D3302&lt;-$B$10)),"Rechazar H0","No rechazar H0")</f>
        <v>Rechazar H0</v>
      </c>
      <c r="F3302" s="0" t="str">
        <f aca="false">IF(AND(B3302="H0 verdadera",E3302="Rechazar H0"),"Error tipo I",IF(AND(B3302="Ha verdadera",E3302="No rechazar H0"),"Error tipo II","Decisión correcta"))</f>
        <v>Decisión correcta</v>
      </c>
    </row>
    <row r="3303" customFormat="false" ht="15" hidden="false" customHeight="false" outlineLevel="0" collapsed="false">
      <c r="A3303" s="0" t="n">
        <v>3282</v>
      </c>
      <c r="B3303" s="0" t="s">
        <v>85</v>
      </c>
      <c r="C3303" s="17" t="n">
        <v>0.0958550554136617</v>
      </c>
      <c r="D3303" s="17" t="n">
        <f aca="false">(C3303-$B$4)/($B$6/SQRT($B$7))</f>
        <v>0.479275277068309</v>
      </c>
      <c r="E3303" s="0" t="str">
        <f aca="false">IF(OR(AND($B$9="superior",D3303&gt;$B$10),AND($B$9="inferior",D3303&lt;-$B$10)),"Rechazar H0","No rechazar H0")</f>
        <v>No rechazar H0</v>
      </c>
      <c r="F3303" s="0" t="str">
        <f aca="false">IF(AND(B3303="H0 verdadera",E3303="Rechazar H0"),"Error tipo I",IF(AND(B3303="Ha verdadera",E3303="No rechazar H0"),"Error tipo II","Decisión correcta"))</f>
        <v>Decisión correcta</v>
      </c>
    </row>
    <row r="3304" customFormat="false" ht="15" hidden="false" customHeight="false" outlineLevel="0" collapsed="false">
      <c r="A3304" s="0" t="n">
        <v>3283</v>
      </c>
      <c r="B3304" s="0" t="s">
        <v>85</v>
      </c>
      <c r="C3304" s="17" t="n">
        <v>-0.293214034809105</v>
      </c>
      <c r="D3304" s="17" t="n">
        <f aca="false">(C3304-$B$4)/($B$6/SQRT($B$7))</f>
        <v>-1.46607017404552</v>
      </c>
      <c r="E3304" s="0" t="str">
        <f aca="false">IF(OR(AND($B$9="superior",D3304&gt;$B$10),AND($B$9="inferior",D3304&lt;-$B$10)),"Rechazar H0","No rechazar H0")</f>
        <v>No rechazar H0</v>
      </c>
      <c r="F3304" s="0" t="str">
        <f aca="false">IF(AND(B3304="H0 verdadera",E3304="Rechazar H0"),"Error tipo I",IF(AND(B3304="Ha verdadera",E3304="No rechazar H0"),"Error tipo II","Decisión correcta"))</f>
        <v>Decisión correcta</v>
      </c>
    </row>
    <row r="3305" customFormat="false" ht="15" hidden="false" customHeight="false" outlineLevel="0" collapsed="false">
      <c r="A3305" s="0" t="n">
        <v>3284</v>
      </c>
      <c r="B3305" s="0" t="s">
        <v>86</v>
      </c>
      <c r="C3305" s="17" t="n">
        <v>-0.0135780064554779</v>
      </c>
      <c r="D3305" s="17" t="n">
        <f aca="false">(C3305-$B$4)/($B$6/SQRT($B$7))</f>
        <v>-0.0678900322773897</v>
      </c>
      <c r="E3305" s="0" t="str">
        <f aca="false">IF(OR(AND($B$9="superior",D3305&gt;$B$10),AND($B$9="inferior",D3305&lt;-$B$10)),"Rechazar H0","No rechazar H0")</f>
        <v>No rechazar H0</v>
      </c>
      <c r="F3305" s="0" t="str">
        <f aca="false">IF(AND(B3305="H0 verdadera",E3305="Rechazar H0"),"Error tipo I",IF(AND(B3305="Ha verdadera",E3305="No rechazar H0"),"Error tipo II","Decisión correcta"))</f>
        <v>Error tipo II</v>
      </c>
    </row>
    <row r="3306" customFormat="false" ht="15" hidden="false" customHeight="false" outlineLevel="0" collapsed="false">
      <c r="A3306" s="0" t="n">
        <v>3285</v>
      </c>
      <c r="B3306" s="0" t="s">
        <v>86</v>
      </c>
      <c r="C3306" s="17" t="n">
        <v>-0.224865760532068</v>
      </c>
      <c r="D3306" s="17" t="n">
        <f aca="false">(C3306-$B$4)/($B$6/SQRT($B$7))</f>
        <v>-1.12432880266034</v>
      </c>
      <c r="E3306" s="0" t="str">
        <f aca="false">IF(OR(AND($B$9="superior",D3306&gt;$B$10),AND($B$9="inferior",D3306&lt;-$B$10)),"Rechazar H0","No rechazar H0")</f>
        <v>No rechazar H0</v>
      </c>
      <c r="F3306" s="0" t="str">
        <f aca="false">IF(AND(B3306="H0 verdadera",E3306="Rechazar H0"),"Error tipo I",IF(AND(B3306="Ha verdadera",E3306="No rechazar H0"),"Error tipo II","Decisión correcta"))</f>
        <v>Error tipo II</v>
      </c>
    </row>
    <row r="3307" customFormat="false" ht="15" hidden="false" customHeight="false" outlineLevel="0" collapsed="false">
      <c r="A3307" s="0" t="n">
        <v>3286</v>
      </c>
      <c r="B3307" s="0" t="s">
        <v>86</v>
      </c>
      <c r="C3307" s="17" t="n">
        <v>-0.524098684707881</v>
      </c>
      <c r="D3307" s="17" t="n">
        <f aca="false">(C3307-$B$4)/($B$6/SQRT($B$7))</f>
        <v>-2.62049342353941</v>
      </c>
      <c r="E3307" s="0" t="str">
        <f aca="false">IF(OR(AND($B$9="superior",D3307&gt;$B$10),AND($B$9="inferior",D3307&lt;-$B$10)),"Rechazar H0","No rechazar H0")</f>
        <v>Rechazar H0</v>
      </c>
      <c r="F3307" s="0" t="str">
        <f aca="false">IF(AND(B3307="H0 verdadera",E3307="Rechazar H0"),"Error tipo I",IF(AND(B3307="Ha verdadera",E3307="No rechazar H0"),"Error tipo II","Decisión correcta"))</f>
        <v>Decisión correcta</v>
      </c>
    </row>
    <row r="3308" customFormat="false" ht="15" hidden="false" customHeight="false" outlineLevel="0" collapsed="false">
      <c r="A3308" s="0" t="n">
        <v>3287</v>
      </c>
      <c r="B3308" s="0" t="s">
        <v>86</v>
      </c>
      <c r="C3308" s="17" t="n">
        <v>-0.0992230121052643</v>
      </c>
      <c r="D3308" s="17" t="n">
        <f aca="false">(C3308-$B$4)/($B$6/SQRT($B$7))</f>
        <v>-0.496115060526321</v>
      </c>
      <c r="E3308" s="0" t="str">
        <f aca="false">IF(OR(AND($B$9="superior",D3308&gt;$B$10),AND($B$9="inferior",D3308&lt;-$B$10)),"Rechazar H0","No rechazar H0")</f>
        <v>No rechazar H0</v>
      </c>
      <c r="F3308" s="0" t="str">
        <f aca="false">IF(AND(B3308="H0 verdadera",E3308="Rechazar H0"),"Error tipo I",IF(AND(B3308="Ha verdadera",E3308="No rechazar H0"),"Error tipo II","Decisión correcta"))</f>
        <v>Error tipo II</v>
      </c>
    </row>
    <row r="3309" customFormat="false" ht="15" hidden="false" customHeight="false" outlineLevel="0" collapsed="false">
      <c r="A3309" s="0" t="n">
        <v>3288</v>
      </c>
      <c r="B3309" s="0" t="s">
        <v>85</v>
      </c>
      <c r="C3309" s="17" t="n">
        <v>-0.178976873360705</v>
      </c>
      <c r="D3309" s="17" t="n">
        <f aca="false">(C3309-$B$4)/($B$6/SQRT($B$7))</f>
        <v>-0.894884366803525</v>
      </c>
      <c r="E3309" s="0" t="str">
        <f aca="false">IF(OR(AND($B$9="superior",D3309&gt;$B$10),AND($B$9="inferior",D3309&lt;-$B$10)),"Rechazar H0","No rechazar H0")</f>
        <v>No rechazar H0</v>
      </c>
      <c r="F3309" s="0" t="str">
        <f aca="false">IF(AND(B3309="H0 verdadera",E3309="Rechazar H0"),"Error tipo I",IF(AND(B3309="Ha verdadera",E3309="No rechazar H0"),"Error tipo II","Decisión correcta"))</f>
        <v>Decisión correcta</v>
      </c>
    </row>
    <row r="3310" customFormat="false" ht="15" hidden="false" customHeight="false" outlineLevel="0" collapsed="false">
      <c r="A3310" s="0" t="n">
        <v>3289</v>
      </c>
      <c r="B3310" s="0" t="s">
        <v>86</v>
      </c>
      <c r="C3310" s="17" t="n">
        <v>-0.716510929612349</v>
      </c>
      <c r="D3310" s="17" t="n">
        <f aca="false">(C3310-$B$4)/($B$6/SQRT($B$7))</f>
        <v>-3.58255464806174</v>
      </c>
      <c r="E3310" s="0" t="str">
        <f aca="false">IF(OR(AND($B$9="superior",D3310&gt;$B$10),AND($B$9="inferior",D3310&lt;-$B$10)),"Rechazar H0","No rechazar H0")</f>
        <v>Rechazar H0</v>
      </c>
      <c r="F3310" s="0" t="str">
        <f aca="false">IF(AND(B3310="H0 verdadera",E3310="Rechazar H0"),"Error tipo I",IF(AND(B3310="Ha verdadera",E3310="No rechazar H0"),"Error tipo II","Decisión correcta"))</f>
        <v>Decisión correcta</v>
      </c>
    </row>
    <row r="3311" customFormat="false" ht="15" hidden="false" customHeight="false" outlineLevel="0" collapsed="false">
      <c r="A3311" s="0" t="n">
        <v>3290</v>
      </c>
      <c r="B3311" s="0" t="s">
        <v>85</v>
      </c>
      <c r="C3311" s="17" t="n">
        <v>0.168503881934412</v>
      </c>
      <c r="D3311" s="17" t="n">
        <f aca="false">(C3311-$B$4)/($B$6/SQRT($B$7))</f>
        <v>0.842519409672062</v>
      </c>
      <c r="E3311" s="0" t="str">
        <f aca="false">IF(OR(AND($B$9="superior",D3311&gt;$B$10),AND($B$9="inferior",D3311&lt;-$B$10)),"Rechazar H0","No rechazar H0")</f>
        <v>No rechazar H0</v>
      </c>
      <c r="F3311" s="0" t="str">
        <f aca="false">IF(AND(B3311="H0 verdadera",E3311="Rechazar H0"),"Error tipo I",IF(AND(B3311="Ha verdadera",E3311="No rechazar H0"),"Error tipo II","Decisión correcta"))</f>
        <v>Decisión correcta</v>
      </c>
    </row>
    <row r="3312" customFormat="false" ht="15" hidden="false" customHeight="false" outlineLevel="0" collapsed="false">
      <c r="A3312" s="0" t="n">
        <v>3291</v>
      </c>
      <c r="B3312" s="0" t="s">
        <v>85</v>
      </c>
      <c r="C3312" s="17" t="n">
        <v>-0.0487269271651146</v>
      </c>
      <c r="D3312" s="17" t="n">
        <f aca="false">(C3312-$B$4)/($B$6/SQRT($B$7))</f>
        <v>-0.243634635825573</v>
      </c>
      <c r="E3312" s="0" t="str">
        <f aca="false">IF(OR(AND($B$9="superior",D3312&gt;$B$10),AND($B$9="inferior",D3312&lt;-$B$10)),"Rechazar H0","No rechazar H0")</f>
        <v>No rechazar H0</v>
      </c>
      <c r="F3312" s="0" t="str">
        <f aca="false">IF(AND(B3312="H0 verdadera",E3312="Rechazar H0"),"Error tipo I",IF(AND(B3312="Ha verdadera",E3312="No rechazar H0"),"Error tipo II","Decisión correcta"))</f>
        <v>Decisión correcta</v>
      </c>
    </row>
    <row r="3313" customFormat="false" ht="15" hidden="false" customHeight="false" outlineLevel="0" collapsed="false">
      <c r="A3313" s="0" t="n">
        <v>3292</v>
      </c>
      <c r="B3313" s="0" t="s">
        <v>86</v>
      </c>
      <c r="C3313" s="17" t="n">
        <v>-0.228868654009928</v>
      </c>
      <c r="D3313" s="17" t="n">
        <f aca="false">(C3313-$B$4)/($B$6/SQRT($B$7))</f>
        <v>-1.14434327004964</v>
      </c>
      <c r="E3313" s="0" t="str">
        <f aca="false">IF(OR(AND($B$9="superior",D3313&gt;$B$10),AND($B$9="inferior",D3313&lt;-$B$10)),"Rechazar H0","No rechazar H0")</f>
        <v>No rechazar H0</v>
      </c>
      <c r="F3313" s="0" t="str">
        <f aca="false">IF(AND(B3313="H0 verdadera",E3313="Rechazar H0"),"Error tipo I",IF(AND(B3313="Ha verdadera",E3313="No rechazar H0"),"Error tipo II","Decisión correcta"))</f>
        <v>Error tipo II</v>
      </c>
    </row>
    <row r="3314" customFormat="false" ht="15" hidden="false" customHeight="false" outlineLevel="0" collapsed="false">
      <c r="A3314" s="0" t="n">
        <v>3293</v>
      </c>
      <c r="B3314" s="0" t="s">
        <v>86</v>
      </c>
      <c r="C3314" s="17" t="n">
        <v>-0.217049001133773</v>
      </c>
      <c r="D3314" s="17" t="n">
        <f aca="false">(C3314-$B$4)/($B$6/SQRT($B$7))</f>
        <v>-1.08524500566886</v>
      </c>
      <c r="E3314" s="0" t="str">
        <f aca="false">IF(OR(AND($B$9="superior",D3314&gt;$B$10),AND($B$9="inferior",D3314&lt;-$B$10)),"Rechazar H0","No rechazar H0")</f>
        <v>No rechazar H0</v>
      </c>
      <c r="F3314" s="0" t="str">
        <f aca="false">IF(AND(B3314="H0 verdadera",E3314="Rechazar H0"),"Error tipo I",IF(AND(B3314="Ha verdadera",E3314="No rechazar H0"),"Error tipo II","Decisión correcta"))</f>
        <v>Error tipo II</v>
      </c>
    </row>
    <row r="3315" customFormat="false" ht="15" hidden="false" customHeight="false" outlineLevel="0" collapsed="false">
      <c r="A3315" s="0" t="n">
        <v>3294</v>
      </c>
      <c r="B3315" s="0" t="s">
        <v>86</v>
      </c>
      <c r="C3315" s="17" t="n">
        <v>-0.494047178399381</v>
      </c>
      <c r="D3315" s="17" t="n">
        <f aca="false">(C3315-$B$4)/($B$6/SQRT($B$7))</f>
        <v>-2.47023589199691</v>
      </c>
      <c r="E3315" s="0" t="str">
        <f aca="false">IF(OR(AND($B$9="superior",D3315&gt;$B$10),AND($B$9="inferior",D3315&lt;-$B$10)),"Rechazar H0","No rechazar H0")</f>
        <v>Rechazar H0</v>
      </c>
      <c r="F3315" s="0" t="str">
        <f aca="false">IF(AND(B3315="H0 verdadera",E3315="Rechazar H0"),"Error tipo I",IF(AND(B3315="Ha verdadera",E3315="No rechazar H0"),"Error tipo II","Decisión correcta"))</f>
        <v>Decisión correcta</v>
      </c>
    </row>
    <row r="3316" customFormat="false" ht="15" hidden="false" customHeight="false" outlineLevel="0" collapsed="false">
      <c r="A3316" s="0" t="n">
        <v>3295</v>
      </c>
      <c r="B3316" s="0" t="s">
        <v>85</v>
      </c>
      <c r="C3316" s="17" t="n">
        <v>-0.0910018979440742</v>
      </c>
      <c r="D3316" s="17" t="n">
        <f aca="false">(C3316-$B$4)/($B$6/SQRT($B$7))</f>
        <v>-0.455009489720371</v>
      </c>
      <c r="E3316" s="0" t="str">
        <f aca="false">IF(OR(AND($B$9="superior",D3316&gt;$B$10),AND($B$9="inferior",D3316&lt;-$B$10)),"Rechazar H0","No rechazar H0")</f>
        <v>No rechazar H0</v>
      </c>
      <c r="F3316" s="0" t="str">
        <f aca="false">IF(AND(B3316="H0 verdadera",E3316="Rechazar H0"),"Error tipo I",IF(AND(B3316="Ha verdadera",E3316="No rechazar H0"),"Error tipo II","Decisión correcta"))</f>
        <v>Decisión correcta</v>
      </c>
    </row>
    <row r="3317" customFormat="false" ht="15" hidden="false" customHeight="false" outlineLevel="0" collapsed="false">
      <c r="A3317" s="0" t="n">
        <v>3296</v>
      </c>
      <c r="B3317" s="0" t="s">
        <v>86</v>
      </c>
      <c r="C3317" s="17" t="n">
        <v>-0.558640161793159</v>
      </c>
      <c r="D3317" s="17" t="n">
        <f aca="false">(C3317-$B$4)/($B$6/SQRT($B$7))</f>
        <v>-2.7932008089658</v>
      </c>
      <c r="E3317" s="0" t="str">
        <f aca="false">IF(OR(AND($B$9="superior",D3317&gt;$B$10),AND($B$9="inferior",D3317&lt;-$B$10)),"Rechazar H0","No rechazar H0")</f>
        <v>Rechazar H0</v>
      </c>
      <c r="F3317" s="0" t="str">
        <f aca="false">IF(AND(B3317="H0 verdadera",E3317="Rechazar H0"),"Error tipo I",IF(AND(B3317="Ha verdadera",E3317="No rechazar H0"),"Error tipo II","Decisión correcta"))</f>
        <v>Decisión correcta</v>
      </c>
    </row>
    <row r="3318" customFormat="false" ht="15" hidden="false" customHeight="false" outlineLevel="0" collapsed="false">
      <c r="A3318" s="0" t="n">
        <v>3297</v>
      </c>
      <c r="B3318" s="0" t="s">
        <v>86</v>
      </c>
      <c r="C3318" s="17" t="n">
        <v>-0.199872466861243</v>
      </c>
      <c r="D3318" s="17" t="n">
        <f aca="false">(C3318-$B$4)/($B$6/SQRT($B$7))</f>
        <v>-0.999362334306213</v>
      </c>
      <c r="E3318" s="0" t="str">
        <f aca="false">IF(OR(AND($B$9="superior",D3318&gt;$B$10),AND($B$9="inferior",D3318&lt;-$B$10)),"Rechazar H0","No rechazar H0")</f>
        <v>No rechazar H0</v>
      </c>
      <c r="F3318" s="0" t="str">
        <f aca="false">IF(AND(B3318="H0 verdadera",E3318="Rechazar H0"),"Error tipo I",IF(AND(B3318="Ha verdadera",E3318="No rechazar H0"),"Error tipo II","Decisión correcta"))</f>
        <v>Error tipo II</v>
      </c>
    </row>
    <row r="3319" customFormat="false" ht="15" hidden="false" customHeight="false" outlineLevel="0" collapsed="false">
      <c r="A3319" s="0" t="n">
        <v>3298</v>
      </c>
      <c r="B3319" s="0" t="s">
        <v>86</v>
      </c>
      <c r="C3319" s="17" t="n">
        <v>0.0480915627852816</v>
      </c>
      <c r="D3319" s="17" t="n">
        <f aca="false">(C3319-$B$4)/($B$6/SQRT($B$7))</f>
        <v>0.240457813926408</v>
      </c>
      <c r="E3319" s="0" t="str">
        <f aca="false">IF(OR(AND($B$9="superior",D3319&gt;$B$10),AND($B$9="inferior",D3319&lt;-$B$10)),"Rechazar H0","No rechazar H0")</f>
        <v>No rechazar H0</v>
      </c>
      <c r="F3319" s="0" t="str">
        <f aca="false">IF(AND(B3319="H0 verdadera",E3319="Rechazar H0"),"Error tipo I",IF(AND(B3319="Ha verdadera",E3319="No rechazar H0"),"Error tipo II","Decisión correcta"))</f>
        <v>Error tipo II</v>
      </c>
    </row>
    <row r="3320" customFormat="false" ht="15" hidden="false" customHeight="false" outlineLevel="0" collapsed="false">
      <c r="A3320" s="0" t="n">
        <v>3299</v>
      </c>
      <c r="B3320" s="0" t="s">
        <v>85</v>
      </c>
      <c r="C3320" s="17" t="n">
        <v>-0.0496966220947894</v>
      </c>
      <c r="D3320" s="17" t="n">
        <f aca="false">(C3320-$B$4)/($B$6/SQRT($B$7))</f>
        <v>-0.248483110473947</v>
      </c>
      <c r="E3320" s="0" t="str">
        <f aca="false">IF(OR(AND($B$9="superior",D3320&gt;$B$10),AND($B$9="inferior",D3320&lt;-$B$10)),"Rechazar H0","No rechazar H0")</f>
        <v>No rechazar H0</v>
      </c>
      <c r="F3320" s="0" t="str">
        <f aca="false">IF(AND(B3320="H0 verdadera",E3320="Rechazar H0"),"Error tipo I",IF(AND(B3320="Ha verdadera",E3320="No rechazar H0"),"Error tipo II","Decisión correcta"))</f>
        <v>Decisión correcta</v>
      </c>
    </row>
    <row r="3321" customFormat="false" ht="15" hidden="false" customHeight="false" outlineLevel="0" collapsed="false">
      <c r="A3321" s="0" t="n">
        <v>3300</v>
      </c>
      <c r="B3321" s="0" t="s">
        <v>85</v>
      </c>
      <c r="C3321" s="17" t="n">
        <v>0.018455128002222</v>
      </c>
      <c r="D3321" s="17" t="n">
        <f aca="false">(C3321-$B$4)/($B$6/SQRT($B$7))</f>
        <v>0.09227564001111</v>
      </c>
      <c r="E3321" s="0" t="str">
        <f aca="false">IF(OR(AND($B$9="superior",D3321&gt;$B$10),AND($B$9="inferior",D3321&lt;-$B$10)),"Rechazar H0","No rechazar H0")</f>
        <v>No rechazar H0</v>
      </c>
      <c r="F3321" s="0" t="str">
        <f aca="false">IF(AND(B3321="H0 verdadera",E3321="Rechazar H0"),"Error tipo I",IF(AND(B3321="Ha verdadera",E3321="No rechazar H0"),"Error tipo II","Decisión correcta"))</f>
        <v>Decisión correcta</v>
      </c>
    </row>
    <row r="3322" customFormat="false" ht="15" hidden="false" customHeight="false" outlineLevel="0" collapsed="false">
      <c r="A3322" s="0" t="n">
        <v>3301</v>
      </c>
      <c r="B3322" s="0" t="s">
        <v>85</v>
      </c>
      <c r="C3322" s="17" t="n">
        <v>-0.17638461813783</v>
      </c>
      <c r="D3322" s="17" t="n">
        <f aca="false">(C3322-$B$4)/($B$6/SQRT($B$7))</f>
        <v>-0.88192309068915</v>
      </c>
      <c r="E3322" s="0" t="str">
        <f aca="false">IF(OR(AND($B$9="superior",D3322&gt;$B$10),AND($B$9="inferior",D3322&lt;-$B$10)),"Rechazar H0","No rechazar H0")</f>
        <v>No rechazar H0</v>
      </c>
      <c r="F3322" s="0" t="str">
        <f aca="false">IF(AND(B3322="H0 verdadera",E3322="Rechazar H0"),"Error tipo I",IF(AND(B3322="Ha verdadera",E3322="No rechazar H0"),"Error tipo II","Decisión correcta"))</f>
        <v>Decisión correcta</v>
      </c>
    </row>
    <row r="3323" customFormat="false" ht="15" hidden="false" customHeight="false" outlineLevel="0" collapsed="false">
      <c r="A3323" s="0" t="n">
        <v>3302</v>
      </c>
      <c r="B3323" s="0" t="s">
        <v>85</v>
      </c>
      <c r="C3323" s="17" t="n">
        <v>-0.583178338114636</v>
      </c>
      <c r="D3323" s="17" t="n">
        <f aca="false">(C3323-$B$4)/($B$6/SQRT($B$7))</f>
        <v>-2.91589169057318</v>
      </c>
      <c r="E3323" s="0" t="str">
        <f aca="false">IF(OR(AND($B$9="superior",D3323&gt;$B$10),AND($B$9="inferior",D3323&lt;-$B$10)),"Rechazar H0","No rechazar H0")</f>
        <v>Rechazar H0</v>
      </c>
      <c r="F3323" s="0" t="str">
        <f aca="false">IF(AND(B3323="H0 verdadera",E3323="Rechazar H0"),"Error tipo I",IF(AND(B3323="Ha verdadera",E3323="No rechazar H0"),"Error tipo II","Decisión correcta"))</f>
        <v>Error tipo I</v>
      </c>
    </row>
    <row r="3324" customFormat="false" ht="15" hidden="false" customHeight="false" outlineLevel="0" collapsed="false">
      <c r="A3324" s="0" t="n">
        <v>3303</v>
      </c>
      <c r="B3324" s="0" t="s">
        <v>85</v>
      </c>
      <c r="C3324" s="17" t="n">
        <v>0.00781859228766817</v>
      </c>
      <c r="D3324" s="17" t="n">
        <f aca="false">(C3324-$B$4)/($B$6/SQRT($B$7))</f>
        <v>0.0390929614383408</v>
      </c>
      <c r="E3324" s="0" t="str">
        <f aca="false">IF(OR(AND($B$9="superior",D3324&gt;$B$10),AND($B$9="inferior",D3324&lt;-$B$10)),"Rechazar H0","No rechazar H0")</f>
        <v>No rechazar H0</v>
      </c>
      <c r="F3324" s="0" t="str">
        <f aca="false">IF(AND(B3324="H0 verdadera",E3324="Rechazar H0"),"Error tipo I",IF(AND(B3324="Ha verdadera",E3324="No rechazar H0"),"Error tipo II","Decisión correcta"))</f>
        <v>Decisión correcta</v>
      </c>
    </row>
    <row r="3325" customFormat="false" ht="15" hidden="false" customHeight="false" outlineLevel="0" collapsed="false">
      <c r="A3325" s="0" t="n">
        <v>3304</v>
      </c>
      <c r="B3325" s="0" t="s">
        <v>85</v>
      </c>
      <c r="C3325" s="17" t="n">
        <v>0.221696770118061</v>
      </c>
      <c r="D3325" s="17" t="n">
        <f aca="false">(C3325-$B$4)/($B$6/SQRT($B$7))</f>
        <v>1.1084838505903</v>
      </c>
      <c r="E3325" s="0" t="str">
        <f aca="false">IF(OR(AND($B$9="superior",D3325&gt;$B$10),AND($B$9="inferior",D3325&lt;-$B$10)),"Rechazar H0","No rechazar H0")</f>
        <v>No rechazar H0</v>
      </c>
      <c r="F3325" s="0" t="str">
        <f aca="false">IF(AND(B3325="H0 verdadera",E3325="Rechazar H0"),"Error tipo I",IF(AND(B3325="Ha verdadera",E3325="No rechazar H0"),"Error tipo II","Decisión correcta"))</f>
        <v>Decisión correcta</v>
      </c>
    </row>
    <row r="3326" customFormat="false" ht="15" hidden="false" customHeight="false" outlineLevel="0" collapsed="false">
      <c r="A3326" s="0" t="n">
        <v>3305</v>
      </c>
      <c r="B3326" s="0" t="s">
        <v>86</v>
      </c>
      <c r="C3326" s="17" t="n">
        <v>-0.234215610758269</v>
      </c>
      <c r="D3326" s="17" t="n">
        <f aca="false">(C3326-$B$4)/($B$6/SQRT($B$7))</f>
        <v>-1.17107805379135</v>
      </c>
      <c r="E3326" s="0" t="str">
        <f aca="false">IF(OR(AND($B$9="superior",D3326&gt;$B$10),AND($B$9="inferior",D3326&lt;-$B$10)),"Rechazar H0","No rechazar H0")</f>
        <v>No rechazar H0</v>
      </c>
      <c r="F3326" s="0" t="str">
        <f aca="false">IF(AND(B3326="H0 verdadera",E3326="Rechazar H0"),"Error tipo I",IF(AND(B3326="Ha verdadera",E3326="No rechazar H0"),"Error tipo II","Decisión correcta"))</f>
        <v>Error tipo II</v>
      </c>
    </row>
    <row r="3327" customFormat="false" ht="15" hidden="false" customHeight="false" outlineLevel="0" collapsed="false">
      <c r="A3327" s="0" t="n">
        <v>3306</v>
      </c>
      <c r="B3327" s="0" t="s">
        <v>85</v>
      </c>
      <c r="C3327" s="17" t="n">
        <v>0.245202408950381</v>
      </c>
      <c r="D3327" s="17" t="n">
        <f aca="false">(C3327-$B$4)/($B$6/SQRT($B$7))</f>
        <v>1.22601204475191</v>
      </c>
      <c r="E3327" s="0" t="str">
        <f aca="false">IF(OR(AND($B$9="superior",D3327&gt;$B$10),AND($B$9="inferior",D3327&lt;-$B$10)),"Rechazar H0","No rechazar H0")</f>
        <v>No rechazar H0</v>
      </c>
      <c r="F3327" s="0" t="str">
        <f aca="false">IF(AND(B3327="H0 verdadera",E3327="Rechazar H0"),"Error tipo I",IF(AND(B3327="Ha verdadera",E3327="No rechazar H0"),"Error tipo II","Decisión correcta"))</f>
        <v>Decisión correcta</v>
      </c>
    </row>
    <row r="3328" customFormat="false" ht="15" hidden="false" customHeight="false" outlineLevel="0" collapsed="false">
      <c r="A3328" s="0" t="n">
        <v>3307</v>
      </c>
      <c r="B3328" s="0" t="s">
        <v>85</v>
      </c>
      <c r="C3328" s="17" t="n">
        <v>0.120094486249717</v>
      </c>
      <c r="D3328" s="17" t="n">
        <f aca="false">(C3328-$B$4)/($B$6/SQRT($B$7))</f>
        <v>0.600472431248585</v>
      </c>
      <c r="E3328" s="0" t="str">
        <f aca="false">IF(OR(AND($B$9="superior",D3328&gt;$B$10),AND($B$9="inferior",D3328&lt;-$B$10)),"Rechazar H0","No rechazar H0")</f>
        <v>No rechazar H0</v>
      </c>
      <c r="F3328" s="0" t="str">
        <f aca="false">IF(AND(B3328="H0 verdadera",E3328="Rechazar H0"),"Error tipo I",IF(AND(B3328="Ha verdadera",E3328="No rechazar H0"),"Error tipo II","Decisión correcta"))</f>
        <v>Decisión correcta</v>
      </c>
    </row>
    <row r="3329" customFormat="false" ht="15" hidden="false" customHeight="false" outlineLevel="0" collapsed="false">
      <c r="A3329" s="0" t="n">
        <v>3308</v>
      </c>
      <c r="B3329" s="0" t="s">
        <v>85</v>
      </c>
      <c r="C3329" s="17" t="n">
        <v>-0.0995668050105886</v>
      </c>
      <c r="D3329" s="17" t="n">
        <f aca="false">(C3329-$B$4)/($B$6/SQRT($B$7))</f>
        <v>-0.497834025052943</v>
      </c>
      <c r="E3329" s="0" t="str">
        <f aca="false">IF(OR(AND($B$9="superior",D3329&gt;$B$10),AND($B$9="inferior",D3329&lt;-$B$10)),"Rechazar H0","No rechazar H0")</f>
        <v>No rechazar H0</v>
      </c>
      <c r="F3329" s="0" t="str">
        <f aca="false">IF(AND(B3329="H0 verdadera",E3329="Rechazar H0"),"Error tipo I",IF(AND(B3329="Ha verdadera",E3329="No rechazar H0"),"Error tipo II","Decisión correcta"))</f>
        <v>Decisión correcta</v>
      </c>
    </row>
    <row r="3330" customFormat="false" ht="15" hidden="false" customHeight="false" outlineLevel="0" collapsed="false">
      <c r="A3330" s="0" t="n">
        <v>3309</v>
      </c>
      <c r="B3330" s="0" t="s">
        <v>85</v>
      </c>
      <c r="C3330" s="17" t="n">
        <v>-0.183269523021092</v>
      </c>
      <c r="D3330" s="17" t="n">
        <f aca="false">(C3330-$B$4)/($B$6/SQRT($B$7))</f>
        <v>-0.91634761510546</v>
      </c>
      <c r="E3330" s="0" t="str">
        <f aca="false">IF(OR(AND($B$9="superior",D3330&gt;$B$10),AND($B$9="inferior",D3330&lt;-$B$10)),"Rechazar H0","No rechazar H0")</f>
        <v>No rechazar H0</v>
      </c>
      <c r="F3330" s="0" t="str">
        <f aca="false">IF(AND(B3330="H0 verdadera",E3330="Rechazar H0"),"Error tipo I",IF(AND(B3330="Ha verdadera",E3330="No rechazar H0"),"Error tipo II","Decisión correcta"))</f>
        <v>Decisión correcta</v>
      </c>
    </row>
    <row r="3331" customFormat="false" ht="15" hidden="false" customHeight="false" outlineLevel="0" collapsed="false">
      <c r="A3331" s="0" t="n">
        <v>3310</v>
      </c>
      <c r="B3331" s="0" t="s">
        <v>86</v>
      </c>
      <c r="C3331" s="17" t="n">
        <v>-0.63667542016561</v>
      </c>
      <c r="D3331" s="17" t="n">
        <f aca="false">(C3331-$B$4)/($B$6/SQRT($B$7))</f>
        <v>-3.18337710082805</v>
      </c>
      <c r="E3331" s="0" t="str">
        <f aca="false">IF(OR(AND($B$9="superior",D3331&gt;$B$10),AND($B$9="inferior",D3331&lt;-$B$10)),"Rechazar H0","No rechazar H0")</f>
        <v>Rechazar H0</v>
      </c>
      <c r="F3331" s="0" t="str">
        <f aca="false">IF(AND(B3331="H0 verdadera",E3331="Rechazar H0"),"Error tipo I",IF(AND(B3331="Ha verdadera",E3331="No rechazar H0"),"Error tipo II","Decisión correcta"))</f>
        <v>Decisión correcta</v>
      </c>
    </row>
    <row r="3332" customFormat="false" ht="15" hidden="false" customHeight="false" outlineLevel="0" collapsed="false">
      <c r="A3332" s="0" t="n">
        <v>3311</v>
      </c>
      <c r="B3332" s="0" t="s">
        <v>85</v>
      </c>
      <c r="C3332" s="17" t="n">
        <v>-0.0429084745951273</v>
      </c>
      <c r="D3332" s="17" t="n">
        <f aca="false">(C3332-$B$4)/($B$6/SQRT($B$7))</f>
        <v>-0.214542372975637</v>
      </c>
      <c r="E3332" s="0" t="str">
        <f aca="false">IF(OR(AND($B$9="superior",D3332&gt;$B$10),AND($B$9="inferior",D3332&lt;-$B$10)),"Rechazar H0","No rechazar H0")</f>
        <v>No rechazar H0</v>
      </c>
      <c r="F3332" s="0" t="str">
        <f aca="false">IF(AND(B3332="H0 verdadera",E3332="Rechazar H0"),"Error tipo I",IF(AND(B3332="Ha verdadera",E3332="No rechazar H0"),"Error tipo II","Decisión correcta"))</f>
        <v>Decisión correcta</v>
      </c>
    </row>
    <row r="3333" customFormat="false" ht="15" hidden="false" customHeight="false" outlineLevel="0" collapsed="false">
      <c r="A3333" s="0" t="n">
        <v>3312</v>
      </c>
      <c r="B3333" s="0" t="s">
        <v>85</v>
      </c>
      <c r="C3333" s="17" t="n">
        <v>-0.153084900946671</v>
      </c>
      <c r="D3333" s="17" t="n">
        <f aca="false">(C3333-$B$4)/($B$6/SQRT($B$7))</f>
        <v>-0.765424504733357</v>
      </c>
      <c r="E3333" s="0" t="str">
        <f aca="false">IF(OR(AND($B$9="superior",D3333&gt;$B$10),AND($B$9="inferior",D3333&lt;-$B$10)),"Rechazar H0","No rechazar H0")</f>
        <v>No rechazar H0</v>
      </c>
      <c r="F3333" s="0" t="str">
        <f aca="false">IF(AND(B3333="H0 verdadera",E3333="Rechazar H0"),"Error tipo I",IF(AND(B3333="Ha verdadera",E3333="No rechazar H0"),"Error tipo II","Decisión correcta"))</f>
        <v>Decisión correcta</v>
      </c>
    </row>
    <row r="3334" customFormat="false" ht="15" hidden="false" customHeight="false" outlineLevel="0" collapsed="false">
      <c r="A3334" s="0" t="n">
        <v>3313</v>
      </c>
      <c r="B3334" s="0" t="s">
        <v>86</v>
      </c>
      <c r="C3334" s="17" t="n">
        <v>-0.517246932604107</v>
      </c>
      <c r="D3334" s="17" t="n">
        <f aca="false">(C3334-$B$4)/($B$6/SQRT($B$7))</f>
        <v>-2.58623466302053</v>
      </c>
      <c r="E3334" s="0" t="str">
        <f aca="false">IF(OR(AND($B$9="superior",D3334&gt;$B$10),AND($B$9="inferior",D3334&lt;-$B$10)),"Rechazar H0","No rechazar H0")</f>
        <v>Rechazar H0</v>
      </c>
      <c r="F3334" s="0" t="str">
        <f aca="false">IF(AND(B3334="H0 verdadera",E3334="Rechazar H0"),"Error tipo I",IF(AND(B3334="Ha verdadera",E3334="No rechazar H0"),"Error tipo II","Decisión correcta"))</f>
        <v>Decisión correcta</v>
      </c>
    </row>
    <row r="3335" customFormat="false" ht="15" hidden="false" customHeight="false" outlineLevel="0" collapsed="false">
      <c r="A3335" s="0" t="n">
        <v>3314</v>
      </c>
      <c r="B3335" s="0" t="s">
        <v>85</v>
      </c>
      <c r="C3335" s="17" t="n">
        <v>-0.281258312400903</v>
      </c>
      <c r="D3335" s="17" t="n">
        <f aca="false">(C3335-$B$4)/($B$6/SQRT($B$7))</f>
        <v>-1.40629156200451</v>
      </c>
      <c r="E3335" s="0" t="str">
        <f aca="false">IF(OR(AND($B$9="superior",D3335&gt;$B$10),AND($B$9="inferior",D3335&lt;-$B$10)),"Rechazar H0","No rechazar H0")</f>
        <v>No rechazar H0</v>
      </c>
      <c r="F3335" s="0" t="str">
        <f aca="false">IF(AND(B3335="H0 verdadera",E3335="Rechazar H0"),"Error tipo I",IF(AND(B3335="Ha verdadera",E3335="No rechazar H0"),"Error tipo II","Decisión correcta"))</f>
        <v>Decisión correcta</v>
      </c>
    </row>
    <row r="3336" customFormat="false" ht="15" hidden="false" customHeight="false" outlineLevel="0" collapsed="false">
      <c r="A3336" s="0" t="n">
        <v>3315</v>
      </c>
      <c r="B3336" s="0" t="s">
        <v>85</v>
      </c>
      <c r="C3336" s="17" t="n">
        <v>-0.093623831385933</v>
      </c>
      <c r="D3336" s="17" t="n">
        <f aca="false">(C3336-$B$4)/($B$6/SQRT($B$7))</f>
        <v>-0.468119156929665</v>
      </c>
      <c r="E3336" s="0" t="str">
        <f aca="false">IF(OR(AND($B$9="superior",D3336&gt;$B$10),AND($B$9="inferior",D3336&lt;-$B$10)),"Rechazar H0","No rechazar H0")</f>
        <v>No rechazar H0</v>
      </c>
      <c r="F3336" s="0" t="str">
        <f aca="false">IF(AND(B3336="H0 verdadera",E3336="Rechazar H0"),"Error tipo I",IF(AND(B3336="Ha verdadera",E3336="No rechazar H0"),"Error tipo II","Decisión correcta"))</f>
        <v>Decisión correcta</v>
      </c>
    </row>
    <row r="3337" customFormat="false" ht="15" hidden="false" customHeight="false" outlineLevel="0" collapsed="false">
      <c r="A3337" s="0" t="n">
        <v>3316</v>
      </c>
      <c r="B3337" s="0" t="s">
        <v>86</v>
      </c>
      <c r="C3337" s="17" t="n">
        <v>-0.714379783390659</v>
      </c>
      <c r="D3337" s="17" t="n">
        <f aca="false">(C3337-$B$4)/($B$6/SQRT($B$7))</f>
        <v>-3.5718989169533</v>
      </c>
      <c r="E3337" s="0" t="str">
        <f aca="false">IF(OR(AND($B$9="superior",D3337&gt;$B$10),AND($B$9="inferior",D3337&lt;-$B$10)),"Rechazar H0","No rechazar H0")</f>
        <v>Rechazar H0</v>
      </c>
      <c r="F3337" s="0" t="str">
        <f aca="false">IF(AND(B3337="H0 verdadera",E3337="Rechazar H0"),"Error tipo I",IF(AND(B3337="Ha verdadera",E3337="No rechazar H0"),"Error tipo II","Decisión correcta"))</f>
        <v>Decisión correcta</v>
      </c>
    </row>
    <row r="3338" customFormat="false" ht="15" hidden="false" customHeight="false" outlineLevel="0" collapsed="false">
      <c r="A3338" s="0" t="n">
        <v>3317</v>
      </c>
      <c r="B3338" s="0" t="s">
        <v>86</v>
      </c>
      <c r="C3338" s="17" t="n">
        <v>-0.304223267725247</v>
      </c>
      <c r="D3338" s="17" t="n">
        <f aca="false">(C3338-$B$4)/($B$6/SQRT($B$7))</f>
        <v>-1.52111633862623</v>
      </c>
      <c r="E3338" s="0" t="str">
        <f aca="false">IF(OR(AND($B$9="superior",D3338&gt;$B$10),AND($B$9="inferior",D3338&lt;-$B$10)),"Rechazar H0","No rechazar H0")</f>
        <v>No rechazar H0</v>
      </c>
      <c r="F3338" s="0" t="str">
        <f aca="false">IF(AND(B3338="H0 verdadera",E3338="Rechazar H0"),"Error tipo I",IF(AND(B3338="Ha verdadera",E3338="No rechazar H0"),"Error tipo II","Decisión correcta"))</f>
        <v>Error tipo II</v>
      </c>
    </row>
    <row r="3339" customFormat="false" ht="15" hidden="false" customHeight="false" outlineLevel="0" collapsed="false">
      <c r="A3339" s="0" t="n">
        <v>3318</v>
      </c>
      <c r="B3339" s="0" t="s">
        <v>85</v>
      </c>
      <c r="C3339" s="17" t="n">
        <v>0.314716038174537</v>
      </c>
      <c r="D3339" s="17" t="n">
        <f aca="false">(C3339-$B$4)/($B$6/SQRT($B$7))</f>
        <v>1.57358019087269</v>
      </c>
      <c r="E3339" s="0" t="str">
        <f aca="false">IF(OR(AND($B$9="superior",D3339&gt;$B$10),AND($B$9="inferior",D3339&lt;-$B$10)),"Rechazar H0","No rechazar H0")</f>
        <v>No rechazar H0</v>
      </c>
      <c r="F3339" s="0" t="str">
        <f aca="false">IF(AND(B3339="H0 verdadera",E3339="Rechazar H0"),"Error tipo I",IF(AND(B3339="Ha verdadera",E3339="No rechazar H0"),"Error tipo II","Decisión correcta"))</f>
        <v>Decisión correcta</v>
      </c>
    </row>
    <row r="3340" customFormat="false" ht="15" hidden="false" customHeight="false" outlineLevel="0" collapsed="false">
      <c r="A3340" s="0" t="n">
        <v>3319</v>
      </c>
      <c r="B3340" s="0" t="s">
        <v>86</v>
      </c>
      <c r="C3340" s="17" t="n">
        <v>-0.334119218529861</v>
      </c>
      <c r="D3340" s="17" t="n">
        <f aca="false">(C3340-$B$4)/($B$6/SQRT($B$7))</f>
        <v>-1.6705960926493</v>
      </c>
      <c r="E3340" s="0" t="str">
        <f aca="false">IF(OR(AND($B$9="superior",D3340&gt;$B$10),AND($B$9="inferior",D3340&lt;-$B$10)),"Rechazar H0","No rechazar H0")</f>
        <v>Rechazar H0</v>
      </c>
      <c r="F3340" s="0" t="str">
        <f aca="false">IF(AND(B3340="H0 verdadera",E3340="Rechazar H0"),"Error tipo I",IF(AND(B3340="Ha verdadera",E3340="No rechazar H0"),"Error tipo II","Decisión correcta"))</f>
        <v>Decisión correcta</v>
      </c>
    </row>
    <row r="3341" customFormat="false" ht="15" hidden="false" customHeight="false" outlineLevel="0" collapsed="false">
      <c r="A3341" s="0" t="n">
        <v>3320</v>
      </c>
      <c r="B3341" s="0" t="s">
        <v>85</v>
      </c>
      <c r="C3341" s="17" t="n">
        <v>0.0727015107169186</v>
      </c>
      <c r="D3341" s="17" t="n">
        <f aca="false">(C3341-$B$4)/($B$6/SQRT($B$7))</f>
        <v>0.363507553584593</v>
      </c>
      <c r="E3341" s="0" t="str">
        <f aca="false">IF(OR(AND($B$9="superior",D3341&gt;$B$10),AND($B$9="inferior",D3341&lt;-$B$10)),"Rechazar H0","No rechazar H0")</f>
        <v>No rechazar H0</v>
      </c>
      <c r="F3341" s="0" t="str">
        <f aca="false">IF(AND(B3341="H0 verdadera",E3341="Rechazar H0"),"Error tipo I",IF(AND(B3341="Ha verdadera",E3341="No rechazar H0"),"Error tipo II","Decisión correcta"))</f>
        <v>Decisión correcta</v>
      </c>
    </row>
    <row r="3342" customFormat="false" ht="15" hidden="false" customHeight="false" outlineLevel="0" collapsed="false">
      <c r="A3342" s="0" t="n">
        <v>3321</v>
      </c>
      <c r="B3342" s="0" t="s">
        <v>86</v>
      </c>
      <c r="C3342" s="17" t="n">
        <v>-0.484180252251512</v>
      </c>
      <c r="D3342" s="17" t="n">
        <f aca="false">(C3342-$B$4)/($B$6/SQRT($B$7))</f>
        <v>-2.42090126125756</v>
      </c>
      <c r="E3342" s="0" t="str">
        <f aca="false">IF(OR(AND($B$9="superior",D3342&gt;$B$10),AND($B$9="inferior",D3342&lt;-$B$10)),"Rechazar H0","No rechazar H0")</f>
        <v>Rechazar H0</v>
      </c>
      <c r="F3342" s="0" t="str">
        <f aca="false">IF(AND(B3342="H0 verdadera",E3342="Rechazar H0"),"Error tipo I",IF(AND(B3342="Ha verdadera",E3342="No rechazar H0"),"Error tipo II","Decisión correcta"))</f>
        <v>Decisión correcta</v>
      </c>
    </row>
    <row r="3343" customFormat="false" ht="15" hidden="false" customHeight="false" outlineLevel="0" collapsed="false">
      <c r="A3343" s="0" t="n">
        <v>3322</v>
      </c>
      <c r="B3343" s="0" t="s">
        <v>86</v>
      </c>
      <c r="C3343" s="17" t="n">
        <v>-0.238036385734176</v>
      </c>
      <c r="D3343" s="17" t="n">
        <f aca="false">(C3343-$B$4)/($B$6/SQRT($B$7))</f>
        <v>-1.19018192867088</v>
      </c>
      <c r="E3343" s="0" t="str">
        <f aca="false">IF(OR(AND($B$9="superior",D3343&gt;$B$10),AND($B$9="inferior",D3343&lt;-$B$10)),"Rechazar H0","No rechazar H0")</f>
        <v>No rechazar H0</v>
      </c>
      <c r="F3343" s="0" t="str">
        <f aca="false">IF(AND(B3343="H0 verdadera",E3343="Rechazar H0"),"Error tipo I",IF(AND(B3343="Ha verdadera",E3343="No rechazar H0"),"Error tipo II","Decisión correcta"))</f>
        <v>Error tipo II</v>
      </c>
    </row>
    <row r="3344" customFormat="false" ht="15" hidden="false" customHeight="false" outlineLevel="0" collapsed="false">
      <c r="A3344" s="0" t="n">
        <v>3323</v>
      </c>
      <c r="B3344" s="0" t="s">
        <v>85</v>
      </c>
      <c r="C3344" s="17" t="n">
        <v>-0.149216033712622</v>
      </c>
      <c r="D3344" s="17" t="n">
        <f aca="false">(C3344-$B$4)/($B$6/SQRT($B$7))</f>
        <v>-0.746080168563109</v>
      </c>
      <c r="E3344" s="0" t="str">
        <f aca="false">IF(OR(AND($B$9="superior",D3344&gt;$B$10),AND($B$9="inferior",D3344&lt;-$B$10)),"Rechazar H0","No rechazar H0")</f>
        <v>No rechazar H0</v>
      </c>
      <c r="F3344" s="0" t="str">
        <f aca="false">IF(AND(B3344="H0 verdadera",E3344="Rechazar H0"),"Error tipo I",IF(AND(B3344="Ha verdadera",E3344="No rechazar H0"),"Error tipo II","Decisión correcta"))</f>
        <v>Decisión correcta</v>
      </c>
    </row>
    <row r="3345" customFormat="false" ht="15" hidden="false" customHeight="false" outlineLevel="0" collapsed="false">
      <c r="A3345" s="0" t="n">
        <v>3324</v>
      </c>
      <c r="B3345" s="0" t="s">
        <v>85</v>
      </c>
      <c r="C3345" s="17" t="n">
        <v>-0.296480903077051</v>
      </c>
      <c r="D3345" s="17" t="n">
        <f aca="false">(C3345-$B$4)/($B$6/SQRT($B$7))</f>
        <v>-1.48240451538525</v>
      </c>
      <c r="E3345" s="0" t="str">
        <f aca="false">IF(OR(AND($B$9="superior",D3345&gt;$B$10),AND($B$9="inferior",D3345&lt;-$B$10)),"Rechazar H0","No rechazar H0")</f>
        <v>No rechazar H0</v>
      </c>
      <c r="F3345" s="0" t="str">
        <f aca="false">IF(AND(B3345="H0 verdadera",E3345="Rechazar H0"),"Error tipo I",IF(AND(B3345="Ha verdadera",E3345="No rechazar H0"),"Error tipo II","Decisión correcta"))</f>
        <v>Decisión correcta</v>
      </c>
    </row>
    <row r="3346" customFormat="false" ht="15" hidden="false" customHeight="false" outlineLevel="0" collapsed="false">
      <c r="A3346" s="0" t="n">
        <v>3325</v>
      </c>
      <c r="B3346" s="0" t="s">
        <v>85</v>
      </c>
      <c r="C3346" s="17" t="n">
        <v>0.0426268151641078</v>
      </c>
      <c r="D3346" s="17" t="n">
        <f aca="false">(C3346-$B$4)/($B$6/SQRT($B$7))</f>
        <v>0.213134075820539</v>
      </c>
      <c r="E3346" s="0" t="str">
        <f aca="false">IF(OR(AND($B$9="superior",D3346&gt;$B$10),AND($B$9="inferior",D3346&lt;-$B$10)),"Rechazar H0","No rechazar H0")</f>
        <v>No rechazar H0</v>
      </c>
      <c r="F3346" s="0" t="str">
        <f aca="false">IF(AND(B3346="H0 verdadera",E3346="Rechazar H0"),"Error tipo I",IF(AND(B3346="Ha verdadera",E3346="No rechazar H0"),"Error tipo II","Decisión correcta"))</f>
        <v>Decisión correcta</v>
      </c>
    </row>
    <row r="3347" customFormat="false" ht="15" hidden="false" customHeight="false" outlineLevel="0" collapsed="false">
      <c r="A3347" s="0" t="n">
        <v>3326</v>
      </c>
      <c r="B3347" s="0" t="s">
        <v>85</v>
      </c>
      <c r="C3347" s="17" t="n">
        <v>0.0222422393551259</v>
      </c>
      <c r="D3347" s="17" t="n">
        <f aca="false">(C3347-$B$4)/($B$6/SQRT($B$7))</f>
        <v>0.111211196775629</v>
      </c>
      <c r="E3347" s="0" t="str">
        <f aca="false">IF(OR(AND($B$9="superior",D3347&gt;$B$10),AND($B$9="inferior",D3347&lt;-$B$10)),"Rechazar H0","No rechazar H0")</f>
        <v>No rechazar H0</v>
      </c>
      <c r="F3347" s="0" t="str">
        <f aca="false">IF(AND(B3347="H0 verdadera",E3347="Rechazar H0"),"Error tipo I",IF(AND(B3347="Ha verdadera",E3347="No rechazar H0"),"Error tipo II","Decisión correcta"))</f>
        <v>Decisión correcta</v>
      </c>
    </row>
    <row r="3348" customFormat="false" ht="15" hidden="false" customHeight="false" outlineLevel="0" collapsed="false">
      <c r="A3348" s="0" t="n">
        <v>3327</v>
      </c>
      <c r="B3348" s="0" t="s">
        <v>85</v>
      </c>
      <c r="C3348" s="17" t="n">
        <v>0.0738461322158867</v>
      </c>
      <c r="D3348" s="17" t="n">
        <f aca="false">(C3348-$B$4)/($B$6/SQRT($B$7))</f>
        <v>0.369230661079434</v>
      </c>
      <c r="E3348" s="0" t="str">
        <f aca="false">IF(OR(AND($B$9="superior",D3348&gt;$B$10),AND($B$9="inferior",D3348&lt;-$B$10)),"Rechazar H0","No rechazar H0")</f>
        <v>No rechazar H0</v>
      </c>
      <c r="F3348" s="0" t="str">
        <f aca="false">IF(AND(B3348="H0 verdadera",E3348="Rechazar H0"),"Error tipo I",IF(AND(B3348="Ha verdadera",E3348="No rechazar H0"),"Error tipo II","Decisión correcta"))</f>
        <v>Decisión correcta</v>
      </c>
    </row>
    <row r="3349" customFormat="false" ht="15" hidden="false" customHeight="false" outlineLevel="0" collapsed="false">
      <c r="A3349" s="0" t="n">
        <v>3328</v>
      </c>
      <c r="B3349" s="0" t="s">
        <v>85</v>
      </c>
      <c r="C3349" s="17" t="n">
        <v>0.117185824300811</v>
      </c>
      <c r="D3349" s="17" t="n">
        <f aca="false">(C3349-$B$4)/($B$6/SQRT($B$7))</f>
        <v>0.585929121504054</v>
      </c>
      <c r="E3349" s="0" t="str">
        <f aca="false">IF(OR(AND($B$9="superior",D3349&gt;$B$10),AND($B$9="inferior",D3349&lt;-$B$10)),"Rechazar H0","No rechazar H0")</f>
        <v>No rechazar H0</v>
      </c>
      <c r="F3349" s="0" t="str">
        <f aca="false">IF(AND(B3349="H0 verdadera",E3349="Rechazar H0"),"Error tipo I",IF(AND(B3349="Ha verdadera",E3349="No rechazar H0"),"Error tipo II","Decisión correcta"))</f>
        <v>Decisión correcta</v>
      </c>
    </row>
    <row r="3350" customFormat="false" ht="15" hidden="false" customHeight="false" outlineLevel="0" collapsed="false">
      <c r="A3350" s="0" t="n">
        <v>3329</v>
      </c>
      <c r="B3350" s="0" t="s">
        <v>85</v>
      </c>
      <c r="C3350" s="17" t="n">
        <v>0.0620999934118395</v>
      </c>
      <c r="D3350" s="17" t="n">
        <f aca="false">(C3350-$B$4)/($B$6/SQRT($B$7))</f>
        <v>0.310499967059198</v>
      </c>
      <c r="E3350" s="0" t="str">
        <f aca="false">IF(OR(AND($B$9="superior",D3350&gt;$B$10),AND($B$9="inferior",D3350&lt;-$B$10)),"Rechazar H0","No rechazar H0")</f>
        <v>No rechazar H0</v>
      </c>
      <c r="F3350" s="0" t="str">
        <f aca="false">IF(AND(B3350="H0 verdadera",E3350="Rechazar H0"),"Error tipo I",IF(AND(B3350="Ha verdadera",E3350="No rechazar H0"),"Error tipo II","Decisión correcta"))</f>
        <v>Decisión correcta</v>
      </c>
    </row>
    <row r="3351" customFormat="false" ht="15" hidden="false" customHeight="false" outlineLevel="0" collapsed="false">
      <c r="A3351" s="0" t="n">
        <v>3330</v>
      </c>
      <c r="B3351" s="0" t="s">
        <v>85</v>
      </c>
      <c r="C3351" s="17" t="n">
        <v>0.0986497226003008</v>
      </c>
      <c r="D3351" s="17" t="n">
        <f aca="false">(C3351-$B$4)/($B$6/SQRT($B$7))</f>
        <v>0.493248613001504</v>
      </c>
      <c r="E3351" s="0" t="str">
        <f aca="false">IF(OR(AND($B$9="superior",D3351&gt;$B$10),AND($B$9="inferior",D3351&lt;-$B$10)),"Rechazar H0","No rechazar H0")</f>
        <v>No rechazar H0</v>
      </c>
      <c r="F3351" s="0" t="str">
        <f aca="false">IF(AND(B3351="H0 verdadera",E3351="Rechazar H0"),"Error tipo I",IF(AND(B3351="Ha verdadera",E3351="No rechazar H0"),"Error tipo II","Decisión correcta"))</f>
        <v>Decisión correcta</v>
      </c>
    </row>
    <row r="3352" customFormat="false" ht="15" hidden="false" customHeight="false" outlineLevel="0" collapsed="false">
      <c r="A3352" s="0" t="n">
        <v>3331</v>
      </c>
      <c r="B3352" s="0" t="s">
        <v>86</v>
      </c>
      <c r="C3352" s="17" t="n">
        <v>-0.30582914508509</v>
      </c>
      <c r="D3352" s="17" t="n">
        <f aca="false">(C3352-$B$4)/($B$6/SQRT($B$7))</f>
        <v>-1.52914572542545</v>
      </c>
      <c r="E3352" s="0" t="str">
        <f aca="false">IF(OR(AND($B$9="superior",D3352&gt;$B$10),AND($B$9="inferior",D3352&lt;-$B$10)),"Rechazar H0","No rechazar H0")</f>
        <v>No rechazar H0</v>
      </c>
      <c r="F3352" s="0" t="str">
        <f aca="false">IF(AND(B3352="H0 verdadera",E3352="Rechazar H0"),"Error tipo I",IF(AND(B3352="Ha verdadera",E3352="No rechazar H0"),"Error tipo II","Decisión correcta"))</f>
        <v>Error tipo II</v>
      </c>
    </row>
    <row r="3353" customFormat="false" ht="15" hidden="false" customHeight="false" outlineLevel="0" collapsed="false">
      <c r="A3353" s="0" t="n">
        <v>3332</v>
      </c>
      <c r="B3353" s="0" t="s">
        <v>85</v>
      </c>
      <c r="C3353" s="17" t="n">
        <v>0.176981276314812</v>
      </c>
      <c r="D3353" s="17" t="n">
        <f aca="false">(C3353-$B$4)/($B$6/SQRT($B$7))</f>
        <v>0.884906381574059</v>
      </c>
      <c r="E3353" s="0" t="str">
        <f aca="false">IF(OR(AND($B$9="superior",D3353&gt;$B$10),AND($B$9="inferior",D3353&lt;-$B$10)),"Rechazar H0","No rechazar H0")</f>
        <v>No rechazar H0</v>
      </c>
      <c r="F3353" s="0" t="str">
        <f aca="false">IF(AND(B3353="H0 verdadera",E3353="Rechazar H0"),"Error tipo I",IF(AND(B3353="Ha verdadera",E3353="No rechazar H0"),"Error tipo II","Decisión correcta"))</f>
        <v>Decisión correcta</v>
      </c>
    </row>
    <row r="3354" customFormat="false" ht="15" hidden="false" customHeight="false" outlineLevel="0" collapsed="false">
      <c r="A3354" s="0" t="n">
        <v>3333</v>
      </c>
      <c r="B3354" s="0" t="s">
        <v>85</v>
      </c>
      <c r="C3354" s="17" t="n">
        <v>0.278157299823824</v>
      </c>
      <c r="D3354" s="17" t="n">
        <f aca="false">(C3354-$B$4)/($B$6/SQRT($B$7))</f>
        <v>1.39078649911912</v>
      </c>
      <c r="E3354" s="0" t="str">
        <f aca="false">IF(OR(AND($B$9="superior",D3354&gt;$B$10),AND($B$9="inferior",D3354&lt;-$B$10)),"Rechazar H0","No rechazar H0")</f>
        <v>No rechazar H0</v>
      </c>
      <c r="F3354" s="0" t="str">
        <f aca="false">IF(AND(B3354="H0 verdadera",E3354="Rechazar H0"),"Error tipo I",IF(AND(B3354="Ha verdadera",E3354="No rechazar H0"),"Error tipo II","Decisión correcta"))</f>
        <v>Decisión correcta</v>
      </c>
    </row>
    <row r="3355" customFormat="false" ht="15" hidden="false" customHeight="false" outlineLevel="0" collapsed="false">
      <c r="A3355" s="0" t="n">
        <v>3334</v>
      </c>
      <c r="B3355" s="0" t="s">
        <v>85</v>
      </c>
      <c r="C3355" s="17" t="n">
        <v>-0.0761808693537222</v>
      </c>
      <c r="D3355" s="17" t="n">
        <f aca="false">(C3355-$B$4)/($B$6/SQRT($B$7))</f>
        <v>-0.380904346768611</v>
      </c>
      <c r="E3355" s="0" t="str">
        <f aca="false">IF(OR(AND($B$9="superior",D3355&gt;$B$10),AND($B$9="inferior",D3355&lt;-$B$10)),"Rechazar H0","No rechazar H0")</f>
        <v>No rechazar H0</v>
      </c>
      <c r="F3355" s="0" t="str">
        <f aca="false">IF(AND(B3355="H0 verdadera",E3355="Rechazar H0"),"Error tipo I",IF(AND(B3355="Ha verdadera",E3355="No rechazar H0"),"Error tipo II","Decisión correcta"))</f>
        <v>Decisión correcta</v>
      </c>
    </row>
    <row r="3356" customFormat="false" ht="15" hidden="false" customHeight="false" outlineLevel="0" collapsed="false">
      <c r="A3356" s="0" t="n">
        <v>3335</v>
      </c>
      <c r="B3356" s="0" t="s">
        <v>86</v>
      </c>
      <c r="C3356" s="17" t="n">
        <v>-0.260068149623767</v>
      </c>
      <c r="D3356" s="17" t="n">
        <f aca="false">(C3356-$B$4)/($B$6/SQRT($B$7))</f>
        <v>-1.30034074811883</v>
      </c>
      <c r="E3356" s="0" t="str">
        <f aca="false">IF(OR(AND($B$9="superior",D3356&gt;$B$10),AND($B$9="inferior",D3356&lt;-$B$10)),"Rechazar H0","No rechazar H0")</f>
        <v>No rechazar H0</v>
      </c>
      <c r="F3356" s="0" t="str">
        <f aca="false">IF(AND(B3356="H0 verdadera",E3356="Rechazar H0"),"Error tipo I",IF(AND(B3356="Ha verdadera",E3356="No rechazar H0"),"Error tipo II","Decisión correcta"))</f>
        <v>Error tipo II</v>
      </c>
    </row>
    <row r="3357" customFormat="false" ht="15" hidden="false" customHeight="false" outlineLevel="0" collapsed="false">
      <c r="A3357" s="0" t="n">
        <v>3336</v>
      </c>
      <c r="B3357" s="0" t="s">
        <v>86</v>
      </c>
      <c r="C3357" s="17" t="n">
        <v>-0.327291405576402</v>
      </c>
      <c r="D3357" s="17" t="n">
        <f aca="false">(C3357-$B$4)/($B$6/SQRT($B$7))</f>
        <v>-1.63645702788201</v>
      </c>
      <c r="E3357" s="0" t="str">
        <f aca="false">IF(OR(AND($B$9="superior",D3357&gt;$B$10),AND($B$9="inferior",D3357&lt;-$B$10)),"Rechazar H0","No rechazar H0")</f>
        <v>No rechazar H0</v>
      </c>
      <c r="F3357" s="0" t="str">
        <f aca="false">IF(AND(B3357="H0 verdadera",E3357="Rechazar H0"),"Error tipo I",IF(AND(B3357="Ha verdadera",E3357="No rechazar H0"),"Error tipo II","Decisión correcta"))</f>
        <v>Error tipo II</v>
      </c>
    </row>
    <row r="3358" customFormat="false" ht="15" hidden="false" customHeight="false" outlineLevel="0" collapsed="false">
      <c r="A3358" s="0" t="n">
        <v>3337</v>
      </c>
      <c r="B3358" s="0" t="s">
        <v>85</v>
      </c>
      <c r="C3358" s="17" t="n">
        <v>0.0393014275361352</v>
      </c>
      <c r="D3358" s="17" t="n">
        <f aca="false">(C3358-$B$4)/($B$6/SQRT($B$7))</f>
        <v>0.196507137680676</v>
      </c>
      <c r="E3358" s="0" t="str">
        <f aca="false">IF(OR(AND($B$9="superior",D3358&gt;$B$10),AND($B$9="inferior",D3358&lt;-$B$10)),"Rechazar H0","No rechazar H0")</f>
        <v>No rechazar H0</v>
      </c>
      <c r="F3358" s="0" t="str">
        <f aca="false">IF(AND(B3358="H0 verdadera",E3358="Rechazar H0"),"Error tipo I",IF(AND(B3358="Ha verdadera",E3358="No rechazar H0"),"Error tipo II","Decisión correcta"))</f>
        <v>Decisión correcta</v>
      </c>
    </row>
    <row r="3359" customFormat="false" ht="15" hidden="false" customHeight="false" outlineLevel="0" collapsed="false">
      <c r="A3359" s="0" t="n">
        <v>3338</v>
      </c>
      <c r="B3359" s="0" t="s">
        <v>85</v>
      </c>
      <c r="C3359" s="17" t="n">
        <v>0.0158205196239789</v>
      </c>
      <c r="D3359" s="17" t="n">
        <f aca="false">(C3359-$B$4)/($B$6/SQRT($B$7))</f>
        <v>0.0791025981198943</v>
      </c>
      <c r="E3359" s="0" t="str">
        <f aca="false">IF(OR(AND($B$9="superior",D3359&gt;$B$10),AND($B$9="inferior",D3359&lt;-$B$10)),"Rechazar H0","No rechazar H0")</f>
        <v>No rechazar H0</v>
      </c>
      <c r="F3359" s="0" t="str">
        <f aca="false">IF(AND(B3359="H0 verdadera",E3359="Rechazar H0"),"Error tipo I",IF(AND(B3359="Ha verdadera",E3359="No rechazar H0"),"Error tipo II","Decisión correcta"))</f>
        <v>Decisión correcta</v>
      </c>
    </row>
    <row r="3360" customFormat="false" ht="15" hidden="false" customHeight="false" outlineLevel="0" collapsed="false">
      <c r="A3360" s="0" t="n">
        <v>3339</v>
      </c>
      <c r="B3360" s="0" t="s">
        <v>86</v>
      </c>
      <c r="C3360" s="17" t="n">
        <v>0.149382449958283</v>
      </c>
      <c r="D3360" s="17" t="n">
        <f aca="false">(C3360-$B$4)/($B$6/SQRT($B$7))</f>
        <v>0.746912249791413</v>
      </c>
      <c r="E3360" s="0" t="str">
        <f aca="false">IF(OR(AND($B$9="superior",D3360&gt;$B$10),AND($B$9="inferior",D3360&lt;-$B$10)),"Rechazar H0","No rechazar H0")</f>
        <v>No rechazar H0</v>
      </c>
      <c r="F3360" s="0" t="str">
        <f aca="false">IF(AND(B3360="H0 verdadera",E3360="Rechazar H0"),"Error tipo I",IF(AND(B3360="Ha verdadera",E3360="No rechazar H0"),"Error tipo II","Decisión correcta"))</f>
        <v>Error tipo II</v>
      </c>
    </row>
    <row r="3361" customFormat="false" ht="15" hidden="false" customHeight="false" outlineLevel="0" collapsed="false">
      <c r="A3361" s="0" t="n">
        <v>3340</v>
      </c>
      <c r="B3361" s="0" t="s">
        <v>86</v>
      </c>
      <c r="C3361" s="17" t="n">
        <v>-0.504578084301719</v>
      </c>
      <c r="D3361" s="17" t="n">
        <f aca="false">(C3361-$B$4)/($B$6/SQRT($B$7))</f>
        <v>-2.5228904215086</v>
      </c>
      <c r="E3361" s="0" t="str">
        <f aca="false">IF(OR(AND($B$9="superior",D3361&gt;$B$10),AND($B$9="inferior",D3361&lt;-$B$10)),"Rechazar H0","No rechazar H0")</f>
        <v>Rechazar H0</v>
      </c>
      <c r="F3361" s="0" t="str">
        <f aca="false">IF(AND(B3361="H0 verdadera",E3361="Rechazar H0"),"Error tipo I",IF(AND(B3361="Ha verdadera",E3361="No rechazar H0"),"Error tipo II","Decisión correcta"))</f>
        <v>Decisión correcta</v>
      </c>
    </row>
    <row r="3362" customFormat="false" ht="15" hidden="false" customHeight="false" outlineLevel="0" collapsed="false">
      <c r="A3362" s="0" t="n">
        <v>3341</v>
      </c>
      <c r="B3362" s="0" t="s">
        <v>85</v>
      </c>
      <c r="C3362" s="17" t="n">
        <v>0.072388748371515</v>
      </c>
      <c r="D3362" s="17" t="n">
        <f aca="false">(C3362-$B$4)/($B$6/SQRT($B$7))</f>
        <v>0.361943741857575</v>
      </c>
      <c r="E3362" s="0" t="str">
        <f aca="false">IF(OR(AND($B$9="superior",D3362&gt;$B$10),AND($B$9="inferior",D3362&lt;-$B$10)),"Rechazar H0","No rechazar H0")</f>
        <v>No rechazar H0</v>
      </c>
      <c r="F3362" s="0" t="str">
        <f aca="false">IF(AND(B3362="H0 verdadera",E3362="Rechazar H0"),"Error tipo I",IF(AND(B3362="Ha verdadera",E3362="No rechazar H0"),"Error tipo II","Decisión correcta"))</f>
        <v>Decisión correcta</v>
      </c>
    </row>
    <row r="3363" customFormat="false" ht="15" hidden="false" customHeight="false" outlineLevel="0" collapsed="false">
      <c r="A3363" s="0" t="n">
        <v>3342</v>
      </c>
      <c r="B3363" s="0" t="s">
        <v>85</v>
      </c>
      <c r="C3363" s="17" t="n">
        <v>0.0981456634886611</v>
      </c>
      <c r="D3363" s="17" t="n">
        <f aca="false">(C3363-$B$4)/($B$6/SQRT($B$7))</f>
        <v>0.490728317443306</v>
      </c>
      <c r="E3363" s="0" t="str">
        <f aca="false">IF(OR(AND($B$9="superior",D3363&gt;$B$10),AND($B$9="inferior",D3363&lt;-$B$10)),"Rechazar H0","No rechazar H0")</f>
        <v>No rechazar H0</v>
      </c>
      <c r="F3363" s="0" t="str">
        <f aca="false">IF(AND(B3363="H0 verdadera",E3363="Rechazar H0"),"Error tipo I",IF(AND(B3363="Ha verdadera",E3363="No rechazar H0"),"Error tipo II","Decisión correcta"))</f>
        <v>Decisión correcta</v>
      </c>
    </row>
    <row r="3364" customFormat="false" ht="15" hidden="false" customHeight="false" outlineLevel="0" collapsed="false">
      <c r="A3364" s="0" t="n">
        <v>3343</v>
      </c>
      <c r="B3364" s="0" t="s">
        <v>86</v>
      </c>
      <c r="C3364" s="17" t="n">
        <v>-0.217136064233032</v>
      </c>
      <c r="D3364" s="17" t="n">
        <f aca="false">(C3364-$B$4)/($B$6/SQRT($B$7))</f>
        <v>-1.08568032116516</v>
      </c>
      <c r="E3364" s="0" t="str">
        <f aca="false">IF(OR(AND($B$9="superior",D3364&gt;$B$10),AND($B$9="inferior",D3364&lt;-$B$10)),"Rechazar H0","No rechazar H0")</f>
        <v>No rechazar H0</v>
      </c>
      <c r="F3364" s="0" t="str">
        <f aca="false">IF(AND(B3364="H0 verdadera",E3364="Rechazar H0"),"Error tipo I",IF(AND(B3364="Ha verdadera",E3364="No rechazar H0"),"Error tipo II","Decisión correcta"))</f>
        <v>Error tipo II</v>
      </c>
    </row>
    <row r="3365" customFormat="false" ht="15" hidden="false" customHeight="false" outlineLevel="0" collapsed="false">
      <c r="A3365" s="0" t="n">
        <v>3344</v>
      </c>
      <c r="B3365" s="0" t="s">
        <v>85</v>
      </c>
      <c r="C3365" s="17" t="n">
        <v>-0.110437267238185</v>
      </c>
      <c r="D3365" s="17" t="n">
        <f aca="false">(C3365-$B$4)/($B$6/SQRT($B$7))</f>
        <v>-0.552186336190927</v>
      </c>
      <c r="E3365" s="0" t="str">
        <f aca="false">IF(OR(AND($B$9="superior",D3365&gt;$B$10),AND($B$9="inferior",D3365&lt;-$B$10)),"Rechazar H0","No rechazar H0")</f>
        <v>No rechazar H0</v>
      </c>
      <c r="F3365" s="0" t="str">
        <f aca="false">IF(AND(B3365="H0 verdadera",E3365="Rechazar H0"),"Error tipo I",IF(AND(B3365="Ha verdadera",E3365="No rechazar H0"),"Error tipo II","Decisión correcta"))</f>
        <v>Decisión correcta</v>
      </c>
    </row>
    <row r="3366" customFormat="false" ht="15" hidden="false" customHeight="false" outlineLevel="0" collapsed="false">
      <c r="A3366" s="0" t="n">
        <v>3345</v>
      </c>
      <c r="B3366" s="0" t="s">
        <v>86</v>
      </c>
      <c r="C3366" s="17" t="n">
        <v>-0.288312041626803</v>
      </c>
      <c r="D3366" s="17" t="n">
        <f aca="false">(C3366-$B$4)/($B$6/SQRT($B$7))</f>
        <v>-1.44156020813401</v>
      </c>
      <c r="E3366" s="0" t="str">
        <f aca="false">IF(OR(AND($B$9="superior",D3366&gt;$B$10),AND($B$9="inferior",D3366&lt;-$B$10)),"Rechazar H0","No rechazar H0")</f>
        <v>No rechazar H0</v>
      </c>
      <c r="F3366" s="0" t="str">
        <f aca="false">IF(AND(B3366="H0 verdadera",E3366="Rechazar H0"),"Error tipo I",IF(AND(B3366="Ha verdadera",E3366="No rechazar H0"),"Error tipo II","Decisión correcta"))</f>
        <v>Error tipo II</v>
      </c>
    </row>
    <row r="3367" customFormat="false" ht="15" hidden="false" customHeight="false" outlineLevel="0" collapsed="false">
      <c r="A3367" s="0" t="n">
        <v>3346</v>
      </c>
      <c r="B3367" s="0" t="s">
        <v>86</v>
      </c>
      <c r="C3367" s="17" t="n">
        <v>-0.812539747781391</v>
      </c>
      <c r="D3367" s="17" t="n">
        <f aca="false">(C3367-$B$4)/($B$6/SQRT($B$7))</f>
        <v>-4.06269873890696</v>
      </c>
      <c r="E3367" s="0" t="str">
        <f aca="false">IF(OR(AND($B$9="superior",D3367&gt;$B$10),AND($B$9="inferior",D3367&lt;-$B$10)),"Rechazar H0","No rechazar H0")</f>
        <v>Rechazar H0</v>
      </c>
      <c r="F3367" s="0" t="str">
        <f aca="false">IF(AND(B3367="H0 verdadera",E3367="Rechazar H0"),"Error tipo I",IF(AND(B3367="Ha verdadera",E3367="No rechazar H0"),"Error tipo II","Decisión correcta"))</f>
        <v>Decisión correcta</v>
      </c>
    </row>
    <row r="3368" customFormat="false" ht="15" hidden="false" customHeight="false" outlineLevel="0" collapsed="false">
      <c r="A3368" s="0" t="n">
        <v>3347</v>
      </c>
      <c r="B3368" s="0" t="s">
        <v>86</v>
      </c>
      <c r="C3368" s="17" t="n">
        <v>-0.176384062252472</v>
      </c>
      <c r="D3368" s="17" t="n">
        <f aca="false">(C3368-$B$4)/($B$6/SQRT($B$7))</f>
        <v>-0.881920311262358</v>
      </c>
      <c r="E3368" s="0" t="str">
        <f aca="false">IF(OR(AND($B$9="superior",D3368&gt;$B$10),AND($B$9="inferior",D3368&lt;-$B$10)),"Rechazar H0","No rechazar H0")</f>
        <v>No rechazar H0</v>
      </c>
      <c r="F3368" s="0" t="str">
        <f aca="false">IF(AND(B3368="H0 verdadera",E3368="Rechazar H0"),"Error tipo I",IF(AND(B3368="Ha verdadera",E3368="No rechazar H0"),"Error tipo II","Decisión correcta"))</f>
        <v>Error tipo II</v>
      </c>
    </row>
    <row r="3369" customFormat="false" ht="15" hidden="false" customHeight="false" outlineLevel="0" collapsed="false">
      <c r="A3369" s="0" t="n">
        <v>3348</v>
      </c>
      <c r="B3369" s="0" t="s">
        <v>86</v>
      </c>
      <c r="C3369" s="17" t="n">
        <v>-0.592243678415836</v>
      </c>
      <c r="D3369" s="17" t="n">
        <f aca="false">(C3369-$B$4)/($B$6/SQRT($B$7))</f>
        <v>-2.96121839207918</v>
      </c>
      <c r="E3369" s="0" t="str">
        <f aca="false">IF(OR(AND($B$9="superior",D3369&gt;$B$10),AND($B$9="inferior",D3369&lt;-$B$10)),"Rechazar H0","No rechazar H0")</f>
        <v>Rechazar H0</v>
      </c>
      <c r="F3369" s="0" t="str">
        <f aca="false">IF(AND(B3369="H0 verdadera",E3369="Rechazar H0"),"Error tipo I",IF(AND(B3369="Ha verdadera",E3369="No rechazar H0"),"Error tipo II","Decisión correcta"))</f>
        <v>Decisión correcta</v>
      </c>
    </row>
    <row r="3370" customFormat="false" ht="15" hidden="false" customHeight="false" outlineLevel="0" collapsed="false">
      <c r="A3370" s="0" t="n">
        <v>3349</v>
      </c>
      <c r="B3370" s="0" t="s">
        <v>86</v>
      </c>
      <c r="C3370" s="17" t="n">
        <v>-0.246683143036086</v>
      </c>
      <c r="D3370" s="17" t="n">
        <f aca="false">(C3370-$B$4)/($B$6/SQRT($B$7))</f>
        <v>-1.23341571518043</v>
      </c>
      <c r="E3370" s="0" t="str">
        <f aca="false">IF(OR(AND($B$9="superior",D3370&gt;$B$10),AND($B$9="inferior",D3370&lt;-$B$10)),"Rechazar H0","No rechazar H0")</f>
        <v>No rechazar H0</v>
      </c>
      <c r="F3370" s="0" t="str">
        <f aca="false">IF(AND(B3370="H0 verdadera",E3370="Rechazar H0"),"Error tipo I",IF(AND(B3370="Ha verdadera",E3370="No rechazar H0"),"Error tipo II","Decisión correcta"))</f>
        <v>Error tipo II</v>
      </c>
    </row>
    <row r="3371" customFormat="false" ht="15" hidden="false" customHeight="false" outlineLevel="0" collapsed="false">
      <c r="A3371" s="0" t="n">
        <v>3350</v>
      </c>
      <c r="B3371" s="0" t="s">
        <v>85</v>
      </c>
      <c r="C3371" s="17" t="n">
        <v>-0.100229520306367</v>
      </c>
      <c r="D3371" s="17" t="n">
        <f aca="false">(C3371-$B$4)/($B$6/SQRT($B$7))</f>
        <v>-0.501147601531837</v>
      </c>
      <c r="E3371" s="0" t="str">
        <f aca="false">IF(OR(AND($B$9="superior",D3371&gt;$B$10),AND($B$9="inferior",D3371&lt;-$B$10)),"Rechazar H0","No rechazar H0")</f>
        <v>No rechazar H0</v>
      </c>
      <c r="F3371" s="0" t="str">
        <f aca="false">IF(AND(B3371="H0 verdadera",E3371="Rechazar H0"),"Error tipo I",IF(AND(B3371="Ha verdadera",E3371="No rechazar H0"),"Error tipo II","Decisión correcta"))</f>
        <v>Decisión correcta</v>
      </c>
    </row>
    <row r="3372" customFormat="false" ht="15" hidden="false" customHeight="false" outlineLevel="0" collapsed="false">
      <c r="A3372" s="0" t="n">
        <v>3351</v>
      </c>
      <c r="B3372" s="0" t="s">
        <v>86</v>
      </c>
      <c r="C3372" s="17" t="n">
        <v>-0.253058400016767</v>
      </c>
      <c r="D3372" s="17" t="n">
        <f aca="false">(C3372-$B$4)/($B$6/SQRT($B$7))</f>
        <v>-1.26529200008384</v>
      </c>
      <c r="E3372" s="0" t="str">
        <f aca="false">IF(OR(AND($B$9="superior",D3372&gt;$B$10),AND($B$9="inferior",D3372&lt;-$B$10)),"Rechazar H0","No rechazar H0")</f>
        <v>No rechazar H0</v>
      </c>
      <c r="F3372" s="0" t="str">
        <f aca="false">IF(AND(B3372="H0 verdadera",E3372="Rechazar H0"),"Error tipo I",IF(AND(B3372="Ha verdadera",E3372="No rechazar H0"),"Error tipo II","Decisión correcta"))</f>
        <v>Error tipo II</v>
      </c>
    </row>
    <row r="3373" customFormat="false" ht="15" hidden="false" customHeight="false" outlineLevel="0" collapsed="false">
      <c r="A3373" s="0" t="n">
        <v>3352</v>
      </c>
      <c r="B3373" s="0" t="s">
        <v>85</v>
      </c>
      <c r="C3373" s="17" t="n">
        <v>-0.0876103565316521</v>
      </c>
      <c r="D3373" s="17" t="n">
        <f aca="false">(C3373-$B$4)/($B$6/SQRT($B$7))</f>
        <v>-0.43805178265826</v>
      </c>
      <c r="E3373" s="0" t="str">
        <f aca="false">IF(OR(AND($B$9="superior",D3373&gt;$B$10),AND($B$9="inferior",D3373&lt;-$B$10)),"Rechazar H0","No rechazar H0")</f>
        <v>No rechazar H0</v>
      </c>
      <c r="F3373" s="0" t="str">
        <f aca="false">IF(AND(B3373="H0 verdadera",E3373="Rechazar H0"),"Error tipo I",IF(AND(B3373="Ha verdadera",E3373="No rechazar H0"),"Error tipo II","Decisión correcta"))</f>
        <v>Decisión correcta</v>
      </c>
    </row>
    <row r="3374" customFormat="false" ht="15" hidden="false" customHeight="false" outlineLevel="0" collapsed="false">
      <c r="A3374" s="0" t="n">
        <v>3353</v>
      </c>
      <c r="B3374" s="0" t="s">
        <v>85</v>
      </c>
      <c r="C3374" s="17" t="n">
        <v>0.465051075742006</v>
      </c>
      <c r="D3374" s="17" t="n">
        <f aca="false">(C3374-$B$4)/($B$6/SQRT($B$7))</f>
        <v>2.32525537871003</v>
      </c>
      <c r="E3374" s="0" t="str">
        <f aca="false">IF(OR(AND($B$9="superior",D3374&gt;$B$10),AND($B$9="inferior",D3374&lt;-$B$10)),"Rechazar H0","No rechazar H0")</f>
        <v>No rechazar H0</v>
      </c>
      <c r="F3374" s="0" t="str">
        <f aca="false">IF(AND(B3374="H0 verdadera",E3374="Rechazar H0"),"Error tipo I",IF(AND(B3374="Ha verdadera",E3374="No rechazar H0"),"Error tipo II","Decisión correcta"))</f>
        <v>Decisión correcta</v>
      </c>
    </row>
    <row r="3375" customFormat="false" ht="15" hidden="false" customHeight="false" outlineLevel="0" collapsed="false">
      <c r="A3375" s="0" t="n">
        <v>3354</v>
      </c>
      <c r="B3375" s="0" t="s">
        <v>86</v>
      </c>
      <c r="C3375" s="17" t="n">
        <v>-0.25577826062993</v>
      </c>
      <c r="D3375" s="17" t="n">
        <f aca="false">(C3375-$B$4)/($B$6/SQRT($B$7))</f>
        <v>-1.27889130314965</v>
      </c>
      <c r="E3375" s="0" t="str">
        <f aca="false">IF(OR(AND($B$9="superior",D3375&gt;$B$10),AND($B$9="inferior",D3375&lt;-$B$10)),"Rechazar H0","No rechazar H0")</f>
        <v>No rechazar H0</v>
      </c>
      <c r="F3375" s="0" t="str">
        <f aca="false">IF(AND(B3375="H0 verdadera",E3375="Rechazar H0"),"Error tipo I",IF(AND(B3375="Ha verdadera",E3375="No rechazar H0"),"Error tipo II","Decisión correcta"))</f>
        <v>Error tipo II</v>
      </c>
    </row>
    <row r="3376" customFormat="false" ht="15" hidden="false" customHeight="false" outlineLevel="0" collapsed="false">
      <c r="A3376" s="0" t="n">
        <v>3355</v>
      </c>
      <c r="B3376" s="0" t="s">
        <v>86</v>
      </c>
      <c r="C3376" s="17" t="n">
        <v>-0.518148228640881</v>
      </c>
      <c r="D3376" s="17" t="n">
        <f aca="false">(C3376-$B$4)/($B$6/SQRT($B$7))</f>
        <v>-2.5907411432044</v>
      </c>
      <c r="E3376" s="0" t="str">
        <f aca="false">IF(OR(AND($B$9="superior",D3376&gt;$B$10),AND($B$9="inferior",D3376&lt;-$B$10)),"Rechazar H0","No rechazar H0")</f>
        <v>Rechazar H0</v>
      </c>
      <c r="F3376" s="0" t="str">
        <f aca="false">IF(AND(B3376="H0 verdadera",E3376="Rechazar H0"),"Error tipo I",IF(AND(B3376="Ha verdadera",E3376="No rechazar H0"),"Error tipo II","Decisión correcta"))</f>
        <v>Decisión correcta</v>
      </c>
    </row>
    <row r="3377" customFormat="false" ht="15" hidden="false" customHeight="false" outlineLevel="0" collapsed="false">
      <c r="A3377" s="0" t="n">
        <v>3356</v>
      </c>
      <c r="B3377" s="0" t="s">
        <v>86</v>
      </c>
      <c r="C3377" s="17" t="n">
        <v>-0.0440799474959208</v>
      </c>
      <c r="D3377" s="17" t="n">
        <f aca="false">(C3377-$B$4)/($B$6/SQRT($B$7))</f>
        <v>-0.220399737479604</v>
      </c>
      <c r="E3377" s="0" t="str">
        <f aca="false">IF(OR(AND($B$9="superior",D3377&gt;$B$10),AND($B$9="inferior",D3377&lt;-$B$10)),"Rechazar H0","No rechazar H0")</f>
        <v>No rechazar H0</v>
      </c>
      <c r="F3377" s="0" t="str">
        <f aca="false">IF(AND(B3377="H0 verdadera",E3377="Rechazar H0"),"Error tipo I",IF(AND(B3377="Ha verdadera",E3377="No rechazar H0"),"Error tipo II","Decisión correcta"))</f>
        <v>Error tipo II</v>
      </c>
    </row>
    <row r="3378" customFormat="false" ht="15" hidden="false" customHeight="false" outlineLevel="0" collapsed="false">
      <c r="A3378" s="0" t="n">
        <v>3357</v>
      </c>
      <c r="B3378" s="0" t="s">
        <v>86</v>
      </c>
      <c r="C3378" s="17" t="n">
        <v>-0.111983726358421</v>
      </c>
      <c r="D3378" s="17" t="n">
        <f aca="false">(C3378-$B$4)/($B$6/SQRT($B$7))</f>
        <v>-0.559918631792103</v>
      </c>
      <c r="E3378" s="0" t="str">
        <f aca="false">IF(OR(AND($B$9="superior",D3378&gt;$B$10),AND($B$9="inferior",D3378&lt;-$B$10)),"Rechazar H0","No rechazar H0")</f>
        <v>No rechazar H0</v>
      </c>
      <c r="F3378" s="0" t="str">
        <f aca="false">IF(AND(B3378="H0 verdadera",E3378="Rechazar H0"),"Error tipo I",IF(AND(B3378="Ha verdadera",E3378="No rechazar H0"),"Error tipo II","Decisión correcta"))</f>
        <v>Error tipo II</v>
      </c>
    </row>
    <row r="3379" customFormat="false" ht="15" hidden="false" customHeight="false" outlineLevel="0" collapsed="false">
      <c r="A3379" s="0" t="n">
        <v>3358</v>
      </c>
      <c r="B3379" s="0" t="s">
        <v>85</v>
      </c>
      <c r="C3379" s="17" t="n">
        <v>-0.556063093516208</v>
      </c>
      <c r="D3379" s="17" t="n">
        <f aca="false">(C3379-$B$4)/($B$6/SQRT($B$7))</f>
        <v>-2.78031546758104</v>
      </c>
      <c r="E3379" s="0" t="str">
        <f aca="false">IF(OR(AND($B$9="superior",D3379&gt;$B$10),AND($B$9="inferior",D3379&lt;-$B$10)),"Rechazar H0","No rechazar H0")</f>
        <v>Rechazar H0</v>
      </c>
      <c r="F3379" s="0" t="str">
        <f aca="false">IF(AND(B3379="H0 verdadera",E3379="Rechazar H0"),"Error tipo I",IF(AND(B3379="Ha verdadera",E3379="No rechazar H0"),"Error tipo II","Decisión correcta"))</f>
        <v>Error tipo I</v>
      </c>
    </row>
    <row r="3380" customFormat="false" ht="15" hidden="false" customHeight="false" outlineLevel="0" collapsed="false">
      <c r="A3380" s="0" t="n">
        <v>3359</v>
      </c>
      <c r="B3380" s="0" t="s">
        <v>85</v>
      </c>
      <c r="C3380" s="17" t="n">
        <v>0.0744280581555169</v>
      </c>
      <c r="D3380" s="17" t="n">
        <f aca="false">(C3380-$B$4)/($B$6/SQRT($B$7))</f>
        <v>0.372140290777585</v>
      </c>
      <c r="E3380" s="0" t="str">
        <f aca="false">IF(OR(AND($B$9="superior",D3380&gt;$B$10),AND($B$9="inferior",D3380&lt;-$B$10)),"Rechazar H0","No rechazar H0")</f>
        <v>No rechazar H0</v>
      </c>
      <c r="F3380" s="0" t="str">
        <f aca="false">IF(AND(B3380="H0 verdadera",E3380="Rechazar H0"),"Error tipo I",IF(AND(B3380="Ha verdadera",E3380="No rechazar H0"),"Error tipo II","Decisión correcta"))</f>
        <v>Decisión correcta</v>
      </c>
    </row>
    <row r="3381" customFormat="false" ht="15" hidden="false" customHeight="false" outlineLevel="0" collapsed="false">
      <c r="A3381" s="0" t="n">
        <v>3360</v>
      </c>
      <c r="B3381" s="0" t="s">
        <v>86</v>
      </c>
      <c r="C3381" s="17" t="n">
        <v>-0.315952987778899</v>
      </c>
      <c r="D3381" s="17" t="n">
        <f aca="false">(C3381-$B$4)/($B$6/SQRT($B$7))</f>
        <v>-1.57976493889449</v>
      </c>
      <c r="E3381" s="0" t="str">
        <f aca="false">IF(OR(AND($B$9="superior",D3381&gt;$B$10),AND($B$9="inferior",D3381&lt;-$B$10)),"Rechazar H0","No rechazar H0")</f>
        <v>No rechazar H0</v>
      </c>
      <c r="F3381" s="0" t="str">
        <f aca="false">IF(AND(B3381="H0 verdadera",E3381="Rechazar H0"),"Error tipo I",IF(AND(B3381="Ha verdadera",E3381="No rechazar H0"),"Error tipo II","Decisión correcta"))</f>
        <v>Error tipo II</v>
      </c>
    </row>
    <row r="3382" customFormat="false" ht="15" hidden="false" customHeight="false" outlineLevel="0" collapsed="false">
      <c r="A3382" s="0" t="n">
        <v>3361</v>
      </c>
      <c r="B3382" s="0" t="s">
        <v>85</v>
      </c>
      <c r="C3382" s="17" t="n">
        <v>-0.0570007593971285</v>
      </c>
      <c r="D3382" s="17" t="n">
        <f aca="false">(C3382-$B$4)/($B$6/SQRT($B$7))</f>
        <v>-0.285003796985643</v>
      </c>
      <c r="E3382" s="0" t="str">
        <f aca="false">IF(OR(AND($B$9="superior",D3382&gt;$B$10),AND($B$9="inferior",D3382&lt;-$B$10)),"Rechazar H0","No rechazar H0")</f>
        <v>No rechazar H0</v>
      </c>
      <c r="F3382" s="0" t="str">
        <f aca="false">IF(AND(B3382="H0 verdadera",E3382="Rechazar H0"),"Error tipo I",IF(AND(B3382="Ha verdadera",E3382="No rechazar H0"),"Error tipo II","Decisión correcta"))</f>
        <v>Decisión correcta</v>
      </c>
    </row>
    <row r="3383" customFormat="false" ht="15" hidden="false" customHeight="false" outlineLevel="0" collapsed="false">
      <c r="A3383" s="0" t="n">
        <v>3362</v>
      </c>
      <c r="B3383" s="0" t="s">
        <v>85</v>
      </c>
      <c r="C3383" s="17" t="n">
        <v>0.0687272349390981</v>
      </c>
      <c r="D3383" s="17" t="n">
        <f aca="false">(C3383-$B$4)/($B$6/SQRT($B$7))</f>
        <v>0.34363617469549</v>
      </c>
      <c r="E3383" s="0" t="str">
        <f aca="false">IF(OR(AND($B$9="superior",D3383&gt;$B$10),AND($B$9="inferior",D3383&lt;-$B$10)),"Rechazar H0","No rechazar H0")</f>
        <v>No rechazar H0</v>
      </c>
      <c r="F3383" s="0" t="str">
        <f aca="false">IF(AND(B3383="H0 verdadera",E3383="Rechazar H0"),"Error tipo I",IF(AND(B3383="Ha verdadera",E3383="No rechazar H0"),"Error tipo II","Decisión correcta"))</f>
        <v>Decisión correcta</v>
      </c>
    </row>
    <row r="3384" customFormat="false" ht="15" hidden="false" customHeight="false" outlineLevel="0" collapsed="false">
      <c r="A3384" s="0" t="n">
        <v>3363</v>
      </c>
      <c r="B3384" s="0" t="s">
        <v>86</v>
      </c>
      <c r="C3384" s="17" t="n">
        <v>-0.340875167987594</v>
      </c>
      <c r="D3384" s="17" t="n">
        <f aca="false">(C3384-$B$4)/($B$6/SQRT($B$7))</f>
        <v>-1.70437583993797</v>
      </c>
      <c r="E3384" s="0" t="str">
        <f aca="false">IF(OR(AND($B$9="superior",D3384&gt;$B$10),AND($B$9="inferior",D3384&lt;-$B$10)),"Rechazar H0","No rechazar H0")</f>
        <v>Rechazar H0</v>
      </c>
      <c r="F3384" s="0" t="str">
        <f aca="false">IF(AND(B3384="H0 verdadera",E3384="Rechazar H0"),"Error tipo I",IF(AND(B3384="Ha verdadera",E3384="No rechazar H0"),"Error tipo II","Decisión correcta"))</f>
        <v>Decisión correcta</v>
      </c>
    </row>
    <row r="3385" customFormat="false" ht="15" hidden="false" customHeight="false" outlineLevel="0" collapsed="false">
      <c r="A3385" s="0" t="n">
        <v>3364</v>
      </c>
      <c r="B3385" s="0" t="s">
        <v>86</v>
      </c>
      <c r="C3385" s="17" t="n">
        <v>-0.0750367497889894</v>
      </c>
      <c r="D3385" s="17" t="n">
        <f aca="false">(C3385-$B$4)/($B$6/SQRT($B$7))</f>
        <v>-0.375183748944947</v>
      </c>
      <c r="E3385" s="0" t="str">
        <f aca="false">IF(OR(AND($B$9="superior",D3385&gt;$B$10),AND($B$9="inferior",D3385&lt;-$B$10)),"Rechazar H0","No rechazar H0")</f>
        <v>No rechazar H0</v>
      </c>
      <c r="F3385" s="0" t="str">
        <f aca="false">IF(AND(B3385="H0 verdadera",E3385="Rechazar H0"),"Error tipo I",IF(AND(B3385="Ha verdadera",E3385="No rechazar H0"),"Error tipo II","Decisión correcta"))</f>
        <v>Error tipo II</v>
      </c>
    </row>
    <row r="3386" customFormat="false" ht="15" hidden="false" customHeight="false" outlineLevel="0" collapsed="false">
      <c r="A3386" s="0" t="n">
        <v>3365</v>
      </c>
      <c r="B3386" s="0" t="s">
        <v>85</v>
      </c>
      <c r="C3386" s="17" t="n">
        <v>0.201446912788274</v>
      </c>
      <c r="D3386" s="17" t="n">
        <f aca="false">(C3386-$B$4)/($B$6/SQRT($B$7))</f>
        <v>1.00723456394137</v>
      </c>
      <c r="E3386" s="0" t="str">
        <f aca="false">IF(OR(AND($B$9="superior",D3386&gt;$B$10),AND($B$9="inferior",D3386&lt;-$B$10)),"Rechazar H0","No rechazar H0")</f>
        <v>No rechazar H0</v>
      </c>
      <c r="F3386" s="0" t="str">
        <f aca="false">IF(AND(B3386="H0 verdadera",E3386="Rechazar H0"),"Error tipo I",IF(AND(B3386="Ha verdadera",E3386="No rechazar H0"),"Error tipo II","Decisión correcta"))</f>
        <v>Decisión correcta</v>
      </c>
    </row>
    <row r="3387" customFormat="false" ht="15" hidden="false" customHeight="false" outlineLevel="0" collapsed="false">
      <c r="A3387" s="0" t="n">
        <v>3366</v>
      </c>
      <c r="B3387" s="0" t="s">
        <v>85</v>
      </c>
      <c r="C3387" s="17" t="n">
        <v>-0.406988430850998</v>
      </c>
      <c r="D3387" s="17" t="n">
        <f aca="false">(C3387-$B$4)/($B$6/SQRT($B$7))</f>
        <v>-2.03494215425499</v>
      </c>
      <c r="E3387" s="0" t="str">
        <f aca="false">IF(OR(AND($B$9="superior",D3387&gt;$B$10),AND($B$9="inferior",D3387&lt;-$B$10)),"Rechazar H0","No rechazar H0")</f>
        <v>Rechazar H0</v>
      </c>
      <c r="F3387" s="0" t="str">
        <f aca="false">IF(AND(B3387="H0 verdadera",E3387="Rechazar H0"),"Error tipo I",IF(AND(B3387="Ha verdadera",E3387="No rechazar H0"),"Error tipo II","Decisión correcta"))</f>
        <v>Error tipo I</v>
      </c>
    </row>
    <row r="3388" customFormat="false" ht="15" hidden="false" customHeight="false" outlineLevel="0" collapsed="false">
      <c r="A3388" s="0" t="n">
        <v>3367</v>
      </c>
      <c r="B3388" s="0" t="s">
        <v>85</v>
      </c>
      <c r="C3388" s="17" t="n">
        <v>-0.228558068596371</v>
      </c>
      <c r="D3388" s="17" t="n">
        <f aca="false">(C3388-$B$4)/($B$6/SQRT($B$7))</f>
        <v>-1.14279034298186</v>
      </c>
      <c r="E3388" s="0" t="str">
        <f aca="false">IF(OR(AND($B$9="superior",D3388&gt;$B$10),AND($B$9="inferior",D3388&lt;-$B$10)),"Rechazar H0","No rechazar H0")</f>
        <v>No rechazar H0</v>
      </c>
      <c r="F3388" s="0" t="str">
        <f aca="false">IF(AND(B3388="H0 verdadera",E3388="Rechazar H0"),"Error tipo I",IF(AND(B3388="Ha verdadera",E3388="No rechazar H0"),"Error tipo II","Decisión correcta"))</f>
        <v>Decisión correcta</v>
      </c>
    </row>
    <row r="3389" customFormat="false" ht="15" hidden="false" customHeight="false" outlineLevel="0" collapsed="false">
      <c r="A3389" s="0" t="n">
        <v>3368</v>
      </c>
      <c r="B3389" s="0" t="s">
        <v>86</v>
      </c>
      <c r="C3389" s="17" t="n">
        <v>-0.148687271456836</v>
      </c>
      <c r="D3389" s="17" t="n">
        <f aca="false">(C3389-$B$4)/($B$6/SQRT($B$7))</f>
        <v>-0.743436357284181</v>
      </c>
      <c r="E3389" s="0" t="str">
        <f aca="false">IF(OR(AND($B$9="superior",D3389&gt;$B$10),AND($B$9="inferior",D3389&lt;-$B$10)),"Rechazar H0","No rechazar H0")</f>
        <v>No rechazar H0</v>
      </c>
      <c r="F3389" s="0" t="str">
        <f aca="false">IF(AND(B3389="H0 verdadera",E3389="Rechazar H0"),"Error tipo I",IF(AND(B3389="Ha verdadera",E3389="No rechazar H0"),"Error tipo II","Decisión correcta"))</f>
        <v>Error tipo II</v>
      </c>
    </row>
    <row r="3390" customFormat="false" ht="15" hidden="false" customHeight="false" outlineLevel="0" collapsed="false">
      <c r="A3390" s="0" t="n">
        <v>3369</v>
      </c>
      <c r="B3390" s="0" t="s">
        <v>86</v>
      </c>
      <c r="C3390" s="17" t="n">
        <v>-0.788812331298328</v>
      </c>
      <c r="D3390" s="17" t="n">
        <f aca="false">(C3390-$B$4)/($B$6/SQRT($B$7))</f>
        <v>-3.94406165649164</v>
      </c>
      <c r="E3390" s="0" t="str">
        <f aca="false">IF(OR(AND($B$9="superior",D3390&gt;$B$10),AND($B$9="inferior",D3390&lt;-$B$10)),"Rechazar H0","No rechazar H0")</f>
        <v>Rechazar H0</v>
      </c>
      <c r="F3390" s="0" t="str">
        <f aca="false">IF(AND(B3390="H0 verdadera",E3390="Rechazar H0"),"Error tipo I",IF(AND(B3390="Ha verdadera",E3390="No rechazar H0"),"Error tipo II","Decisión correcta"))</f>
        <v>Decisión correcta</v>
      </c>
    </row>
    <row r="3391" customFormat="false" ht="15" hidden="false" customHeight="false" outlineLevel="0" collapsed="false">
      <c r="A3391" s="0" t="n">
        <v>3370</v>
      </c>
      <c r="B3391" s="0" t="s">
        <v>86</v>
      </c>
      <c r="C3391" s="17" t="n">
        <v>-0.169719926559995</v>
      </c>
      <c r="D3391" s="17" t="n">
        <f aca="false">(C3391-$B$4)/($B$6/SQRT($B$7))</f>
        <v>-0.848599632799976</v>
      </c>
      <c r="E3391" s="0" t="str">
        <f aca="false">IF(OR(AND($B$9="superior",D3391&gt;$B$10),AND($B$9="inferior",D3391&lt;-$B$10)),"Rechazar H0","No rechazar H0")</f>
        <v>No rechazar H0</v>
      </c>
      <c r="F3391" s="0" t="str">
        <f aca="false">IF(AND(B3391="H0 verdadera",E3391="Rechazar H0"),"Error tipo I",IF(AND(B3391="Ha verdadera",E3391="No rechazar H0"),"Error tipo II","Decisión correcta"))</f>
        <v>Error tipo II</v>
      </c>
    </row>
    <row r="3392" customFormat="false" ht="15" hidden="false" customHeight="false" outlineLevel="0" collapsed="false">
      <c r="A3392" s="0" t="n">
        <v>3371</v>
      </c>
      <c r="B3392" s="0" t="s">
        <v>85</v>
      </c>
      <c r="C3392" s="17" t="n">
        <v>-0.0528607447259767</v>
      </c>
      <c r="D3392" s="17" t="n">
        <f aca="false">(C3392-$B$4)/($B$6/SQRT($B$7))</f>
        <v>-0.264303723629883</v>
      </c>
      <c r="E3392" s="0" t="str">
        <f aca="false">IF(OR(AND($B$9="superior",D3392&gt;$B$10),AND($B$9="inferior",D3392&lt;-$B$10)),"Rechazar H0","No rechazar H0")</f>
        <v>No rechazar H0</v>
      </c>
      <c r="F3392" s="0" t="str">
        <f aca="false">IF(AND(B3392="H0 verdadera",E3392="Rechazar H0"),"Error tipo I",IF(AND(B3392="Ha verdadera",E3392="No rechazar H0"),"Error tipo II","Decisión correcta"))</f>
        <v>Decisión correcta</v>
      </c>
    </row>
    <row r="3393" customFormat="false" ht="15" hidden="false" customHeight="false" outlineLevel="0" collapsed="false">
      <c r="A3393" s="0" t="n">
        <v>3372</v>
      </c>
      <c r="B3393" s="0" t="s">
        <v>85</v>
      </c>
      <c r="C3393" s="17" t="n">
        <v>0.2608563584526</v>
      </c>
      <c r="D3393" s="17" t="n">
        <f aca="false">(C3393-$B$4)/($B$6/SQRT($B$7))</f>
        <v>1.304281792263</v>
      </c>
      <c r="E3393" s="0" t="str">
        <f aca="false">IF(OR(AND($B$9="superior",D3393&gt;$B$10),AND($B$9="inferior",D3393&lt;-$B$10)),"Rechazar H0","No rechazar H0")</f>
        <v>No rechazar H0</v>
      </c>
      <c r="F3393" s="0" t="str">
        <f aca="false">IF(AND(B3393="H0 verdadera",E3393="Rechazar H0"),"Error tipo I",IF(AND(B3393="Ha verdadera",E3393="No rechazar H0"),"Error tipo II","Decisión correcta"))</f>
        <v>Decisión correcta</v>
      </c>
    </row>
    <row r="3394" customFormat="false" ht="15" hidden="false" customHeight="false" outlineLevel="0" collapsed="false">
      <c r="A3394" s="0" t="n">
        <v>3373</v>
      </c>
      <c r="B3394" s="0" t="s">
        <v>85</v>
      </c>
      <c r="C3394" s="17" t="n">
        <v>0.0629987420190488</v>
      </c>
      <c r="D3394" s="17" t="n">
        <f aca="false">(C3394-$B$4)/($B$6/SQRT($B$7))</f>
        <v>0.314993710095244</v>
      </c>
      <c r="E3394" s="0" t="str">
        <f aca="false">IF(OR(AND($B$9="superior",D3394&gt;$B$10),AND($B$9="inferior",D3394&lt;-$B$10)),"Rechazar H0","No rechazar H0")</f>
        <v>No rechazar H0</v>
      </c>
      <c r="F3394" s="0" t="str">
        <f aca="false">IF(AND(B3394="H0 verdadera",E3394="Rechazar H0"),"Error tipo I",IF(AND(B3394="Ha verdadera",E3394="No rechazar H0"),"Error tipo II","Decisión correcta"))</f>
        <v>Decisión correcta</v>
      </c>
    </row>
    <row r="3395" customFormat="false" ht="15" hidden="false" customHeight="false" outlineLevel="0" collapsed="false">
      <c r="A3395" s="0" t="n">
        <v>3374</v>
      </c>
      <c r="B3395" s="0" t="s">
        <v>85</v>
      </c>
      <c r="C3395" s="17" t="n">
        <v>0.030538689205421</v>
      </c>
      <c r="D3395" s="17" t="n">
        <f aca="false">(C3395-$B$4)/($B$6/SQRT($B$7))</f>
        <v>0.152693446027105</v>
      </c>
      <c r="E3395" s="0" t="str">
        <f aca="false">IF(OR(AND($B$9="superior",D3395&gt;$B$10),AND($B$9="inferior",D3395&lt;-$B$10)),"Rechazar H0","No rechazar H0")</f>
        <v>No rechazar H0</v>
      </c>
      <c r="F3395" s="0" t="str">
        <f aca="false">IF(AND(B3395="H0 verdadera",E3395="Rechazar H0"),"Error tipo I",IF(AND(B3395="Ha verdadera",E3395="No rechazar H0"),"Error tipo II","Decisión correcta"))</f>
        <v>Decisión correcta</v>
      </c>
    </row>
    <row r="3396" customFormat="false" ht="15" hidden="false" customHeight="false" outlineLevel="0" collapsed="false">
      <c r="A3396" s="0" t="n">
        <v>3375</v>
      </c>
      <c r="B3396" s="0" t="s">
        <v>86</v>
      </c>
      <c r="C3396" s="17" t="n">
        <v>-0.365928968930595</v>
      </c>
      <c r="D3396" s="17" t="n">
        <f aca="false">(C3396-$B$4)/($B$6/SQRT($B$7))</f>
        <v>-1.82964484465297</v>
      </c>
      <c r="E3396" s="0" t="str">
        <f aca="false">IF(OR(AND($B$9="superior",D3396&gt;$B$10),AND($B$9="inferior",D3396&lt;-$B$10)),"Rechazar H0","No rechazar H0")</f>
        <v>Rechazar H0</v>
      </c>
      <c r="F3396" s="0" t="str">
        <f aca="false">IF(AND(B3396="H0 verdadera",E3396="Rechazar H0"),"Error tipo I",IF(AND(B3396="Ha verdadera",E3396="No rechazar H0"),"Error tipo II","Decisión correcta"))</f>
        <v>Decisión correcta</v>
      </c>
    </row>
    <row r="3397" customFormat="false" ht="15" hidden="false" customHeight="false" outlineLevel="0" collapsed="false">
      <c r="A3397" s="0" t="n">
        <v>3376</v>
      </c>
      <c r="B3397" s="0" t="s">
        <v>85</v>
      </c>
      <c r="C3397" s="17" t="n">
        <v>-0.475309580138984</v>
      </c>
      <c r="D3397" s="17" t="n">
        <f aca="false">(C3397-$B$4)/($B$6/SQRT($B$7))</f>
        <v>-2.37654790069492</v>
      </c>
      <c r="E3397" s="0" t="str">
        <f aca="false">IF(OR(AND($B$9="superior",D3397&gt;$B$10),AND($B$9="inferior",D3397&lt;-$B$10)),"Rechazar H0","No rechazar H0")</f>
        <v>Rechazar H0</v>
      </c>
      <c r="F3397" s="0" t="str">
        <f aca="false">IF(AND(B3397="H0 verdadera",E3397="Rechazar H0"),"Error tipo I",IF(AND(B3397="Ha verdadera",E3397="No rechazar H0"),"Error tipo II","Decisión correcta"))</f>
        <v>Error tipo I</v>
      </c>
    </row>
    <row r="3398" customFormat="false" ht="15" hidden="false" customHeight="false" outlineLevel="0" collapsed="false">
      <c r="A3398" s="0" t="n">
        <v>3377</v>
      </c>
      <c r="B3398" s="0" t="s">
        <v>85</v>
      </c>
      <c r="C3398" s="17" t="n">
        <v>0.0628956574003561</v>
      </c>
      <c r="D3398" s="17" t="n">
        <f aca="false">(C3398-$B$4)/($B$6/SQRT($B$7))</f>
        <v>0.314478287001781</v>
      </c>
      <c r="E3398" s="0" t="str">
        <f aca="false">IF(OR(AND($B$9="superior",D3398&gt;$B$10),AND($B$9="inferior",D3398&lt;-$B$10)),"Rechazar H0","No rechazar H0")</f>
        <v>No rechazar H0</v>
      </c>
      <c r="F3398" s="0" t="str">
        <f aca="false">IF(AND(B3398="H0 verdadera",E3398="Rechazar H0"),"Error tipo I",IF(AND(B3398="Ha verdadera",E3398="No rechazar H0"),"Error tipo II","Decisión correcta"))</f>
        <v>Decisión correcta</v>
      </c>
    </row>
    <row r="3399" customFormat="false" ht="15" hidden="false" customHeight="false" outlineLevel="0" collapsed="false">
      <c r="A3399" s="0" t="n">
        <v>3378</v>
      </c>
      <c r="B3399" s="0" t="s">
        <v>85</v>
      </c>
      <c r="C3399" s="17" t="n">
        <v>-0.166243829644871</v>
      </c>
      <c r="D3399" s="17" t="n">
        <f aca="false">(C3399-$B$4)/($B$6/SQRT($B$7))</f>
        <v>-0.831219148224354</v>
      </c>
      <c r="E3399" s="0" t="str">
        <f aca="false">IF(OR(AND($B$9="superior",D3399&gt;$B$10),AND($B$9="inferior",D3399&lt;-$B$10)),"Rechazar H0","No rechazar H0")</f>
        <v>No rechazar H0</v>
      </c>
      <c r="F3399" s="0" t="str">
        <f aca="false">IF(AND(B3399="H0 verdadera",E3399="Rechazar H0"),"Error tipo I",IF(AND(B3399="Ha verdadera",E3399="No rechazar H0"),"Error tipo II","Decisión correcta"))</f>
        <v>Decisión correcta</v>
      </c>
    </row>
    <row r="3400" customFormat="false" ht="15" hidden="false" customHeight="false" outlineLevel="0" collapsed="false">
      <c r="A3400" s="0" t="n">
        <v>3379</v>
      </c>
      <c r="B3400" s="0" t="s">
        <v>86</v>
      </c>
      <c r="C3400" s="17" t="n">
        <v>-0.374245100755623</v>
      </c>
      <c r="D3400" s="17" t="n">
        <f aca="false">(C3400-$B$4)/($B$6/SQRT($B$7))</f>
        <v>-1.87122550377811</v>
      </c>
      <c r="E3400" s="0" t="str">
        <f aca="false">IF(OR(AND($B$9="superior",D3400&gt;$B$10),AND($B$9="inferior",D3400&lt;-$B$10)),"Rechazar H0","No rechazar H0")</f>
        <v>Rechazar H0</v>
      </c>
      <c r="F3400" s="0" t="str">
        <f aca="false">IF(AND(B3400="H0 verdadera",E3400="Rechazar H0"),"Error tipo I",IF(AND(B3400="Ha verdadera",E3400="No rechazar H0"),"Error tipo II","Decisión correcta"))</f>
        <v>Decisión correcta</v>
      </c>
    </row>
    <row r="3401" customFormat="false" ht="15" hidden="false" customHeight="false" outlineLevel="0" collapsed="false">
      <c r="A3401" s="0" t="n">
        <v>3380</v>
      </c>
      <c r="B3401" s="0" t="s">
        <v>85</v>
      </c>
      <c r="C3401" s="17" t="n">
        <v>0.162030947466293</v>
      </c>
      <c r="D3401" s="17" t="n">
        <f aca="false">(C3401-$B$4)/($B$6/SQRT($B$7))</f>
        <v>0.810154737331464</v>
      </c>
      <c r="E3401" s="0" t="str">
        <f aca="false">IF(OR(AND($B$9="superior",D3401&gt;$B$10),AND($B$9="inferior",D3401&lt;-$B$10)),"Rechazar H0","No rechazar H0")</f>
        <v>No rechazar H0</v>
      </c>
      <c r="F3401" s="0" t="str">
        <f aca="false">IF(AND(B3401="H0 verdadera",E3401="Rechazar H0"),"Error tipo I",IF(AND(B3401="Ha verdadera",E3401="No rechazar H0"),"Error tipo II","Decisión correcta"))</f>
        <v>Decisión correcta</v>
      </c>
    </row>
    <row r="3402" customFormat="false" ht="15" hidden="false" customHeight="false" outlineLevel="0" collapsed="false">
      <c r="A3402" s="0" t="n">
        <v>3381</v>
      </c>
      <c r="B3402" s="0" t="s">
        <v>85</v>
      </c>
      <c r="C3402" s="17" t="n">
        <v>0.470047061321617</v>
      </c>
      <c r="D3402" s="17" t="n">
        <f aca="false">(C3402-$B$4)/($B$6/SQRT($B$7))</f>
        <v>2.35023530660808</v>
      </c>
      <c r="E3402" s="0" t="str">
        <f aca="false">IF(OR(AND($B$9="superior",D3402&gt;$B$10),AND($B$9="inferior",D3402&lt;-$B$10)),"Rechazar H0","No rechazar H0")</f>
        <v>No rechazar H0</v>
      </c>
      <c r="F3402" s="0" t="str">
        <f aca="false">IF(AND(B3402="H0 verdadera",E3402="Rechazar H0"),"Error tipo I",IF(AND(B3402="Ha verdadera",E3402="No rechazar H0"),"Error tipo II","Decisión correcta"))</f>
        <v>Decisión correcta</v>
      </c>
    </row>
    <row r="3403" customFormat="false" ht="15" hidden="false" customHeight="false" outlineLevel="0" collapsed="false">
      <c r="A3403" s="0" t="n">
        <v>3382</v>
      </c>
      <c r="B3403" s="0" t="s">
        <v>85</v>
      </c>
      <c r="C3403" s="17" t="n">
        <v>-0.161779741109329</v>
      </c>
      <c r="D3403" s="17" t="n">
        <f aca="false">(C3403-$B$4)/($B$6/SQRT($B$7))</f>
        <v>-0.808898705546647</v>
      </c>
      <c r="E3403" s="0" t="str">
        <f aca="false">IF(OR(AND($B$9="superior",D3403&gt;$B$10),AND($B$9="inferior",D3403&lt;-$B$10)),"Rechazar H0","No rechazar H0")</f>
        <v>No rechazar H0</v>
      </c>
      <c r="F3403" s="0" t="str">
        <f aca="false">IF(AND(B3403="H0 verdadera",E3403="Rechazar H0"),"Error tipo I",IF(AND(B3403="Ha verdadera",E3403="No rechazar H0"),"Error tipo II","Decisión correcta"))</f>
        <v>Decisión correcta</v>
      </c>
    </row>
    <row r="3404" customFormat="false" ht="15" hidden="false" customHeight="false" outlineLevel="0" collapsed="false">
      <c r="A3404" s="0" t="n">
        <v>3383</v>
      </c>
      <c r="B3404" s="0" t="s">
        <v>85</v>
      </c>
      <c r="C3404" s="17" t="n">
        <v>-0.133602122052722</v>
      </c>
      <c r="D3404" s="17" t="n">
        <f aca="false">(C3404-$B$4)/($B$6/SQRT($B$7))</f>
        <v>-0.668010610263611</v>
      </c>
      <c r="E3404" s="0" t="str">
        <f aca="false">IF(OR(AND($B$9="superior",D3404&gt;$B$10),AND($B$9="inferior",D3404&lt;-$B$10)),"Rechazar H0","No rechazar H0")</f>
        <v>No rechazar H0</v>
      </c>
      <c r="F3404" s="0" t="str">
        <f aca="false">IF(AND(B3404="H0 verdadera",E3404="Rechazar H0"),"Error tipo I",IF(AND(B3404="Ha verdadera",E3404="No rechazar H0"),"Error tipo II","Decisión correcta"))</f>
        <v>Decisión correcta</v>
      </c>
    </row>
    <row r="3405" customFormat="false" ht="15" hidden="false" customHeight="false" outlineLevel="0" collapsed="false">
      <c r="A3405" s="0" t="n">
        <v>3384</v>
      </c>
      <c r="B3405" s="0" t="s">
        <v>86</v>
      </c>
      <c r="C3405" s="17" t="n">
        <v>-0.356549145419483</v>
      </c>
      <c r="D3405" s="17" t="n">
        <f aca="false">(C3405-$B$4)/($B$6/SQRT($B$7))</f>
        <v>-1.78274572709741</v>
      </c>
      <c r="E3405" s="0" t="str">
        <f aca="false">IF(OR(AND($B$9="superior",D3405&gt;$B$10),AND($B$9="inferior",D3405&lt;-$B$10)),"Rechazar H0","No rechazar H0")</f>
        <v>Rechazar H0</v>
      </c>
      <c r="F3405" s="0" t="str">
        <f aca="false">IF(AND(B3405="H0 verdadera",E3405="Rechazar H0"),"Error tipo I",IF(AND(B3405="Ha verdadera",E3405="No rechazar H0"),"Error tipo II","Decisión correcta"))</f>
        <v>Decisión correcta</v>
      </c>
    </row>
    <row r="3406" customFormat="false" ht="15" hidden="false" customHeight="false" outlineLevel="0" collapsed="false">
      <c r="A3406" s="0" t="n">
        <v>3385</v>
      </c>
      <c r="B3406" s="0" t="s">
        <v>85</v>
      </c>
      <c r="C3406" s="17" t="n">
        <v>-0.260792357808985</v>
      </c>
      <c r="D3406" s="17" t="n">
        <f aca="false">(C3406-$B$4)/($B$6/SQRT($B$7))</f>
        <v>-1.30396178904492</v>
      </c>
      <c r="E3406" s="0" t="str">
        <f aca="false">IF(OR(AND($B$9="superior",D3406&gt;$B$10),AND($B$9="inferior",D3406&lt;-$B$10)),"Rechazar H0","No rechazar H0")</f>
        <v>No rechazar H0</v>
      </c>
      <c r="F3406" s="0" t="str">
        <f aca="false">IF(AND(B3406="H0 verdadera",E3406="Rechazar H0"),"Error tipo I",IF(AND(B3406="Ha verdadera",E3406="No rechazar H0"),"Error tipo II","Decisión correcta"))</f>
        <v>Decisión correcta</v>
      </c>
    </row>
    <row r="3407" customFormat="false" ht="15" hidden="false" customHeight="false" outlineLevel="0" collapsed="false">
      <c r="A3407" s="0" t="n">
        <v>3386</v>
      </c>
      <c r="B3407" s="0" t="s">
        <v>86</v>
      </c>
      <c r="C3407" s="17" t="n">
        <v>-0.516758404306854</v>
      </c>
      <c r="D3407" s="17" t="n">
        <f aca="false">(C3407-$B$4)/($B$6/SQRT($B$7))</f>
        <v>-2.58379202153427</v>
      </c>
      <c r="E3407" s="0" t="str">
        <f aca="false">IF(OR(AND($B$9="superior",D3407&gt;$B$10),AND($B$9="inferior",D3407&lt;-$B$10)),"Rechazar H0","No rechazar H0")</f>
        <v>Rechazar H0</v>
      </c>
      <c r="F3407" s="0" t="str">
        <f aca="false">IF(AND(B3407="H0 verdadera",E3407="Rechazar H0"),"Error tipo I",IF(AND(B3407="Ha verdadera",E3407="No rechazar H0"),"Error tipo II","Decisión correcta"))</f>
        <v>Decisión correcta</v>
      </c>
    </row>
    <row r="3408" customFormat="false" ht="15" hidden="false" customHeight="false" outlineLevel="0" collapsed="false">
      <c r="A3408" s="0" t="n">
        <v>3387</v>
      </c>
      <c r="B3408" s="0" t="s">
        <v>86</v>
      </c>
      <c r="C3408" s="17" t="n">
        <v>-0.381601405110629</v>
      </c>
      <c r="D3408" s="17" t="n">
        <f aca="false">(C3408-$B$4)/($B$6/SQRT($B$7))</f>
        <v>-1.90800702555314</v>
      </c>
      <c r="E3408" s="0" t="str">
        <f aca="false">IF(OR(AND($B$9="superior",D3408&gt;$B$10),AND($B$9="inferior",D3408&lt;-$B$10)),"Rechazar H0","No rechazar H0")</f>
        <v>Rechazar H0</v>
      </c>
      <c r="F3408" s="0" t="str">
        <f aca="false">IF(AND(B3408="H0 verdadera",E3408="Rechazar H0"),"Error tipo I",IF(AND(B3408="Ha verdadera",E3408="No rechazar H0"),"Error tipo II","Decisión correcta"))</f>
        <v>Decisión correcta</v>
      </c>
    </row>
    <row r="3409" customFormat="false" ht="15" hidden="false" customHeight="false" outlineLevel="0" collapsed="false">
      <c r="A3409" s="0" t="n">
        <v>3388</v>
      </c>
      <c r="B3409" s="0" t="s">
        <v>85</v>
      </c>
      <c r="C3409" s="17" t="n">
        <v>-0.257947591424602</v>
      </c>
      <c r="D3409" s="17" t="n">
        <f aca="false">(C3409-$B$4)/($B$6/SQRT($B$7))</f>
        <v>-1.28973795712301</v>
      </c>
      <c r="E3409" s="0" t="str">
        <f aca="false">IF(OR(AND($B$9="superior",D3409&gt;$B$10),AND($B$9="inferior",D3409&lt;-$B$10)),"Rechazar H0","No rechazar H0")</f>
        <v>No rechazar H0</v>
      </c>
      <c r="F3409" s="0" t="str">
        <f aca="false">IF(AND(B3409="H0 verdadera",E3409="Rechazar H0"),"Error tipo I",IF(AND(B3409="Ha verdadera",E3409="No rechazar H0"),"Error tipo II","Decisión correcta"))</f>
        <v>Decisión correcta</v>
      </c>
    </row>
    <row r="3410" customFormat="false" ht="15" hidden="false" customHeight="false" outlineLevel="0" collapsed="false">
      <c r="A3410" s="0" t="n">
        <v>3389</v>
      </c>
      <c r="B3410" s="0" t="s">
        <v>86</v>
      </c>
      <c r="C3410" s="17" t="n">
        <v>-0.384114344985264</v>
      </c>
      <c r="D3410" s="17" t="n">
        <f aca="false">(C3410-$B$4)/($B$6/SQRT($B$7))</f>
        <v>-1.92057172492632</v>
      </c>
      <c r="E3410" s="0" t="str">
        <f aca="false">IF(OR(AND($B$9="superior",D3410&gt;$B$10),AND($B$9="inferior",D3410&lt;-$B$10)),"Rechazar H0","No rechazar H0")</f>
        <v>Rechazar H0</v>
      </c>
      <c r="F3410" s="0" t="str">
        <f aca="false">IF(AND(B3410="H0 verdadera",E3410="Rechazar H0"),"Error tipo I",IF(AND(B3410="Ha verdadera",E3410="No rechazar H0"),"Error tipo II","Decisión correcta"))</f>
        <v>Decisión correcta</v>
      </c>
    </row>
    <row r="3411" customFormat="false" ht="15" hidden="false" customHeight="false" outlineLevel="0" collapsed="false">
      <c r="A3411" s="0" t="n">
        <v>3390</v>
      </c>
      <c r="B3411" s="0" t="s">
        <v>85</v>
      </c>
      <c r="C3411" s="17" t="n">
        <v>-0.217838117475898</v>
      </c>
      <c r="D3411" s="17" t="n">
        <f aca="false">(C3411-$B$4)/($B$6/SQRT($B$7))</f>
        <v>-1.08919058737949</v>
      </c>
      <c r="E3411" s="0" t="str">
        <f aca="false">IF(OR(AND($B$9="superior",D3411&gt;$B$10),AND($B$9="inferior",D3411&lt;-$B$10)),"Rechazar H0","No rechazar H0")</f>
        <v>No rechazar H0</v>
      </c>
      <c r="F3411" s="0" t="str">
        <f aca="false">IF(AND(B3411="H0 verdadera",E3411="Rechazar H0"),"Error tipo I",IF(AND(B3411="Ha verdadera",E3411="No rechazar H0"),"Error tipo II","Decisión correcta"))</f>
        <v>Decisión correcta</v>
      </c>
    </row>
    <row r="3412" customFormat="false" ht="15" hidden="false" customHeight="false" outlineLevel="0" collapsed="false">
      <c r="A3412" s="0" t="n">
        <v>3391</v>
      </c>
      <c r="B3412" s="0" t="s">
        <v>85</v>
      </c>
      <c r="C3412" s="17" t="n">
        <v>0.0509167857273742</v>
      </c>
      <c r="D3412" s="17" t="n">
        <f aca="false">(C3412-$B$4)/($B$6/SQRT($B$7))</f>
        <v>0.254583928636871</v>
      </c>
      <c r="E3412" s="0" t="str">
        <f aca="false">IF(OR(AND($B$9="superior",D3412&gt;$B$10),AND($B$9="inferior",D3412&lt;-$B$10)),"Rechazar H0","No rechazar H0")</f>
        <v>No rechazar H0</v>
      </c>
      <c r="F3412" s="0" t="str">
        <f aca="false">IF(AND(B3412="H0 verdadera",E3412="Rechazar H0"),"Error tipo I",IF(AND(B3412="Ha verdadera",E3412="No rechazar H0"),"Error tipo II","Decisión correcta"))</f>
        <v>Decisión correcta</v>
      </c>
    </row>
    <row r="3413" customFormat="false" ht="15" hidden="false" customHeight="false" outlineLevel="0" collapsed="false">
      <c r="A3413" s="0" t="n">
        <v>3392</v>
      </c>
      <c r="B3413" s="0" t="s">
        <v>85</v>
      </c>
      <c r="C3413" s="17" t="n">
        <v>0.114299380225697</v>
      </c>
      <c r="D3413" s="17" t="n">
        <f aca="false">(C3413-$B$4)/($B$6/SQRT($B$7))</f>
        <v>0.571496901128487</v>
      </c>
      <c r="E3413" s="0" t="str">
        <f aca="false">IF(OR(AND($B$9="superior",D3413&gt;$B$10),AND($B$9="inferior",D3413&lt;-$B$10)),"Rechazar H0","No rechazar H0")</f>
        <v>No rechazar H0</v>
      </c>
      <c r="F3413" s="0" t="str">
        <f aca="false">IF(AND(B3413="H0 verdadera",E3413="Rechazar H0"),"Error tipo I",IF(AND(B3413="Ha verdadera",E3413="No rechazar H0"),"Error tipo II","Decisión correcta"))</f>
        <v>Decisión correcta</v>
      </c>
    </row>
    <row r="3414" customFormat="false" ht="15" hidden="false" customHeight="false" outlineLevel="0" collapsed="false">
      <c r="A3414" s="0" t="n">
        <v>3393</v>
      </c>
      <c r="B3414" s="0" t="s">
        <v>86</v>
      </c>
      <c r="C3414" s="17" t="n">
        <v>-0.101555858744525</v>
      </c>
      <c r="D3414" s="17" t="n">
        <f aca="false">(C3414-$B$4)/($B$6/SQRT($B$7))</f>
        <v>-0.507779293722624</v>
      </c>
      <c r="E3414" s="0" t="str">
        <f aca="false">IF(OR(AND($B$9="superior",D3414&gt;$B$10),AND($B$9="inferior",D3414&lt;-$B$10)),"Rechazar H0","No rechazar H0")</f>
        <v>No rechazar H0</v>
      </c>
      <c r="F3414" s="0" t="str">
        <f aca="false">IF(AND(B3414="H0 verdadera",E3414="Rechazar H0"),"Error tipo I",IF(AND(B3414="Ha verdadera",E3414="No rechazar H0"),"Error tipo II","Decisión correcta"))</f>
        <v>Error tipo II</v>
      </c>
    </row>
    <row r="3415" customFormat="false" ht="15" hidden="false" customHeight="false" outlineLevel="0" collapsed="false">
      <c r="A3415" s="0" t="n">
        <v>3394</v>
      </c>
      <c r="B3415" s="0" t="s">
        <v>85</v>
      </c>
      <c r="C3415" s="17" t="n">
        <v>-0.242021528251431</v>
      </c>
      <c r="D3415" s="17" t="n">
        <f aca="false">(C3415-$B$4)/($B$6/SQRT($B$7))</f>
        <v>-1.21010764125716</v>
      </c>
      <c r="E3415" s="0" t="str">
        <f aca="false">IF(OR(AND($B$9="superior",D3415&gt;$B$10),AND($B$9="inferior",D3415&lt;-$B$10)),"Rechazar H0","No rechazar H0")</f>
        <v>No rechazar H0</v>
      </c>
      <c r="F3415" s="0" t="str">
        <f aca="false">IF(AND(B3415="H0 verdadera",E3415="Rechazar H0"),"Error tipo I",IF(AND(B3415="Ha verdadera",E3415="No rechazar H0"),"Error tipo II","Decisión correcta"))</f>
        <v>Decisión correcta</v>
      </c>
    </row>
    <row r="3416" customFormat="false" ht="15" hidden="false" customHeight="false" outlineLevel="0" collapsed="false">
      <c r="A3416" s="0" t="n">
        <v>3395</v>
      </c>
      <c r="B3416" s="0" t="s">
        <v>86</v>
      </c>
      <c r="C3416" s="17" t="n">
        <v>-0.572340343669709</v>
      </c>
      <c r="D3416" s="17" t="n">
        <f aca="false">(C3416-$B$4)/($B$6/SQRT($B$7))</f>
        <v>-2.86170171834854</v>
      </c>
      <c r="E3416" s="0" t="str">
        <f aca="false">IF(OR(AND($B$9="superior",D3416&gt;$B$10),AND($B$9="inferior",D3416&lt;-$B$10)),"Rechazar H0","No rechazar H0")</f>
        <v>Rechazar H0</v>
      </c>
      <c r="F3416" s="0" t="str">
        <f aca="false">IF(AND(B3416="H0 verdadera",E3416="Rechazar H0"),"Error tipo I",IF(AND(B3416="Ha verdadera",E3416="No rechazar H0"),"Error tipo II","Decisión correcta"))</f>
        <v>Decisión correcta</v>
      </c>
    </row>
    <row r="3417" customFormat="false" ht="15" hidden="false" customHeight="false" outlineLevel="0" collapsed="false">
      <c r="A3417" s="0" t="n">
        <v>3396</v>
      </c>
      <c r="B3417" s="0" t="s">
        <v>86</v>
      </c>
      <c r="C3417" s="17" t="n">
        <v>-0.394219054034091</v>
      </c>
      <c r="D3417" s="17" t="n">
        <f aca="false">(C3417-$B$4)/($B$6/SQRT($B$7))</f>
        <v>-1.97109527017045</v>
      </c>
      <c r="E3417" s="0" t="str">
        <f aca="false">IF(OR(AND($B$9="superior",D3417&gt;$B$10),AND($B$9="inferior",D3417&lt;-$B$10)),"Rechazar H0","No rechazar H0")</f>
        <v>Rechazar H0</v>
      </c>
      <c r="F3417" s="0" t="str">
        <f aca="false">IF(AND(B3417="H0 verdadera",E3417="Rechazar H0"),"Error tipo I",IF(AND(B3417="Ha verdadera",E3417="No rechazar H0"),"Error tipo II","Decisión correcta"))</f>
        <v>Decisión correcta</v>
      </c>
    </row>
    <row r="3418" customFormat="false" ht="15" hidden="false" customHeight="false" outlineLevel="0" collapsed="false">
      <c r="A3418" s="0" t="n">
        <v>3397</v>
      </c>
      <c r="B3418" s="0" t="s">
        <v>86</v>
      </c>
      <c r="C3418" s="17" t="n">
        <v>-0.521342202117042</v>
      </c>
      <c r="D3418" s="17" t="n">
        <f aca="false">(C3418-$B$4)/($B$6/SQRT($B$7))</f>
        <v>-2.60671101058521</v>
      </c>
      <c r="E3418" s="0" t="str">
        <f aca="false">IF(OR(AND($B$9="superior",D3418&gt;$B$10),AND($B$9="inferior",D3418&lt;-$B$10)),"Rechazar H0","No rechazar H0")</f>
        <v>Rechazar H0</v>
      </c>
      <c r="F3418" s="0" t="str">
        <f aca="false">IF(AND(B3418="H0 verdadera",E3418="Rechazar H0"),"Error tipo I",IF(AND(B3418="Ha verdadera",E3418="No rechazar H0"),"Error tipo II","Decisión correcta"))</f>
        <v>Decisión correcta</v>
      </c>
    </row>
    <row r="3419" customFormat="false" ht="15" hidden="false" customHeight="false" outlineLevel="0" collapsed="false">
      <c r="A3419" s="0" t="n">
        <v>3398</v>
      </c>
      <c r="B3419" s="0" t="s">
        <v>86</v>
      </c>
      <c r="C3419" s="17" t="n">
        <v>-0.534256835467402</v>
      </c>
      <c r="D3419" s="17" t="n">
        <f aca="false">(C3419-$B$4)/($B$6/SQRT($B$7))</f>
        <v>-2.67128417733701</v>
      </c>
      <c r="E3419" s="0" t="str">
        <f aca="false">IF(OR(AND($B$9="superior",D3419&gt;$B$10),AND($B$9="inferior",D3419&lt;-$B$10)),"Rechazar H0","No rechazar H0")</f>
        <v>Rechazar H0</v>
      </c>
      <c r="F3419" s="0" t="str">
        <f aca="false">IF(AND(B3419="H0 verdadera",E3419="Rechazar H0"),"Error tipo I",IF(AND(B3419="Ha verdadera",E3419="No rechazar H0"),"Error tipo II","Decisión correcta"))</f>
        <v>Decisión correcta</v>
      </c>
    </row>
    <row r="3420" customFormat="false" ht="15" hidden="false" customHeight="false" outlineLevel="0" collapsed="false">
      <c r="A3420" s="0" t="n">
        <v>3399</v>
      </c>
      <c r="B3420" s="0" t="s">
        <v>85</v>
      </c>
      <c r="C3420" s="17" t="n">
        <v>-0.382347445823121</v>
      </c>
      <c r="D3420" s="17" t="n">
        <f aca="false">(C3420-$B$4)/($B$6/SQRT($B$7))</f>
        <v>-1.91173722911561</v>
      </c>
      <c r="E3420" s="0" t="str">
        <f aca="false">IF(OR(AND($B$9="superior",D3420&gt;$B$10),AND($B$9="inferior",D3420&lt;-$B$10)),"Rechazar H0","No rechazar H0")</f>
        <v>Rechazar H0</v>
      </c>
      <c r="F3420" s="0" t="str">
        <f aca="false">IF(AND(B3420="H0 verdadera",E3420="Rechazar H0"),"Error tipo I",IF(AND(B3420="Ha verdadera",E3420="No rechazar H0"),"Error tipo II","Decisión correcta"))</f>
        <v>Error tipo I</v>
      </c>
    </row>
    <row r="3421" customFormat="false" ht="15" hidden="false" customHeight="false" outlineLevel="0" collapsed="false">
      <c r="A3421" s="0" t="n">
        <v>3400</v>
      </c>
      <c r="B3421" s="0" t="s">
        <v>86</v>
      </c>
      <c r="C3421" s="17" t="n">
        <v>-0.120552758567403</v>
      </c>
      <c r="D3421" s="17" t="n">
        <f aca="false">(C3421-$B$4)/($B$6/SQRT($B$7))</f>
        <v>-0.602763792837012</v>
      </c>
      <c r="E3421" s="0" t="str">
        <f aca="false">IF(OR(AND($B$9="superior",D3421&gt;$B$10),AND($B$9="inferior",D3421&lt;-$B$10)),"Rechazar H0","No rechazar H0")</f>
        <v>No rechazar H0</v>
      </c>
      <c r="F3421" s="0" t="str">
        <f aca="false">IF(AND(B3421="H0 verdadera",E3421="Rechazar H0"),"Error tipo I",IF(AND(B3421="Ha verdadera",E3421="No rechazar H0"),"Error tipo II","Decisión correcta"))</f>
        <v>Error tipo II</v>
      </c>
    </row>
    <row r="3422" customFormat="false" ht="15" hidden="false" customHeight="false" outlineLevel="0" collapsed="false">
      <c r="A3422" s="0" t="n">
        <v>3401</v>
      </c>
      <c r="B3422" s="0" t="s">
        <v>86</v>
      </c>
      <c r="C3422" s="17" t="n">
        <v>-0.625111583955785</v>
      </c>
      <c r="D3422" s="17" t="n">
        <f aca="false">(C3422-$B$4)/($B$6/SQRT($B$7))</f>
        <v>-3.12555791977892</v>
      </c>
      <c r="E3422" s="0" t="str">
        <f aca="false">IF(OR(AND($B$9="superior",D3422&gt;$B$10),AND($B$9="inferior",D3422&lt;-$B$10)),"Rechazar H0","No rechazar H0")</f>
        <v>Rechazar H0</v>
      </c>
      <c r="F3422" s="0" t="str">
        <f aca="false">IF(AND(B3422="H0 verdadera",E3422="Rechazar H0"),"Error tipo I",IF(AND(B3422="Ha verdadera",E3422="No rechazar H0"),"Error tipo II","Decisión correcta"))</f>
        <v>Decisión correcta</v>
      </c>
    </row>
    <row r="3423" customFormat="false" ht="15" hidden="false" customHeight="false" outlineLevel="0" collapsed="false">
      <c r="A3423" s="0" t="n">
        <v>3402</v>
      </c>
      <c r="B3423" s="0" t="s">
        <v>85</v>
      </c>
      <c r="C3423" s="17" t="n">
        <v>-0.100922938053321</v>
      </c>
      <c r="D3423" s="17" t="n">
        <f aca="false">(C3423-$B$4)/($B$6/SQRT($B$7))</f>
        <v>-0.504614690266605</v>
      </c>
      <c r="E3423" s="0" t="str">
        <f aca="false">IF(OR(AND($B$9="superior",D3423&gt;$B$10),AND($B$9="inferior",D3423&lt;-$B$10)),"Rechazar H0","No rechazar H0")</f>
        <v>No rechazar H0</v>
      </c>
      <c r="F3423" s="0" t="str">
        <f aca="false">IF(AND(B3423="H0 verdadera",E3423="Rechazar H0"),"Error tipo I",IF(AND(B3423="Ha verdadera",E3423="No rechazar H0"),"Error tipo II","Decisión correcta"))</f>
        <v>Decisión correcta</v>
      </c>
    </row>
    <row r="3424" customFormat="false" ht="15" hidden="false" customHeight="false" outlineLevel="0" collapsed="false">
      <c r="A3424" s="0" t="n">
        <v>3403</v>
      </c>
      <c r="B3424" s="0" t="s">
        <v>86</v>
      </c>
      <c r="C3424" s="17" t="n">
        <v>-0.375407672105028</v>
      </c>
      <c r="D3424" s="17" t="n">
        <f aca="false">(C3424-$B$4)/($B$6/SQRT($B$7))</f>
        <v>-1.87703836052514</v>
      </c>
      <c r="E3424" s="0" t="str">
        <f aca="false">IF(OR(AND($B$9="superior",D3424&gt;$B$10),AND($B$9="inferior",D3424&lt;-$B$10)),"Rechazar H0","No rechazar H0")</f>
        <v>Rechazar H0</v>
      </c>
      <c r="F3424" s="0" t="str">
        <f aca="false">IF(AND(B3424="H0 verdadera",E3424="Rechazar H0"),"Error tipo I",IF(AND(B3424="Ha verdadera",E3424="No rechazar H0"),"Error tipo II","Decisión correcta"))</f>
        <v>Decisión correcta</v>
      </c>
    </row>
    <row r="3425" customFormat="false" ht="15" hidden="false" customHeight="false" outlineLevel="0" collapsed="false">
      <c r="A3425" s="0" t="n">
        <v>3404</v>
      </c>
      <c r="B3425" s="0" t="s">
        <v>85</v>
      </c>
      <c r="C3425" s="17" t="n">
        <v>0.026378094877138</v>
      </c>
      <c r="D3425" s="17" t="n">
        <f aca="false">(C3425-$B$4)/($B$6/SQRT($B$7))</f>
        <v>0.13189047438569</v>
      </c>
      <c r="E3425" s="0" t="str">
        <f aca="false">IF(OR(AND($B$9="superior",D3425&gt;$B$10),AND($B$9="inferior",D3425&lt;-$B$10)),"Rechazar H0","No rechazar H0")</f>
        <v>No rechazar H0</v>
      </c>
      <c r="F3425" s="0" t="str">
        <f aca="false">IF(AND(B3425="H0 verdadera",E3425="Rechazar H0"),"Error tipo I",IF(AND(B3425="Ha verdadera",E3425="No rechazar H0"),"Error tipo II","Decisión correcta"))</f>
        <v>Decisión correcta</v>
      </c>
    </row>
    <row r="3426" customFormat="false" ht="15" hidden="false" customHeight="false" outlineLevel="0" collapsed="false">
      <c r="A3426" s="0" t="n">
        <v>3405</v>
      </c>
      <c r="B3426" s="0" t="s">
        <v>85</v>
      </c>
      <c r="C3426" s="17" t="n">
        <v>-0.32753689746476</v>
      </c>
      <c r="D3426" s="17" t="n">
        <f aca="false">(C3426-$B$4)/($B$6/SQRT($B$7))</f>
        <v>-1.6376844873238</v>
      </c>
      <c r="E3426" s="0" t="str">
        <f aca="false">IF(OR(AND($B$9="superior",D3426&gt;$B$10),AND($B$9="inferior",D3426&lt;-$B$10)),"Rechazar H0","No rechazar H0")</f>
        <v>No rechazar H0</v>
      </c>
      <c r="F3426" s="0" t="str">
        <f aca="false">IF(AND(B3426="H0 verdadera",E3426="Rechazar H0"),"Error tipo I",IF(AND(B3426="Ha verdadera",E3426="No rechazar H0"),"Error tipo II","Decisión correcta"))</f>
        <v>Decisión correcta</v>
      </c>
    </row>
    <row r="3427" customFormat="false" ht="15" hidden="false" customHeight="false" outlineLevel="0" collapsed="false">
      <c r="A3427" s="0" t="n">
        <v>3406</v>
      </c>
      <c r="B3427" s="0" t="s">
        <v>86</v>
      </c>
      <c r="C3427" s="17" t="n">
        <v>-0.411518340640081</v>
      </c>
      <c r="D3427" s="17" t="n">
        <f aca="false">(C3427-$B$4)/($B$6/SQRT($B$7))</f>
        <v>-2.0575917032004</v>
      </c>
      <c r="E3427" s="0" t="str">
        <f aca="false">IF(OR(AND($B$9="superior",D3427&gt;$B$10),AND($B$9="inferior",D3427&lt;-$B$10)),"Rechazar H0","No rechazar H0")</f>
        <v>Rechazar H0</v>
      </c>
      <c r="F3427" s="0" t="str">
        <f aca="false">IF(AND(B3427="H0 verdadera",E3427="Rechazar H0"),"Error tipo I",IF(AND(B3427="Ha verdadera",E3427="No rechazar H0"),"Error tipo II","Decisión correcta"))</f>
        <v>Decisión correcta</v>
      </c>
    </row>
    <row r="3428" customFormat="false" ht="15" hidden="false" customHeight="false" outlineLevel="0" collapsed="false">
      <c r="A3428" s="0" t="n">
        <v>3407</v>
      </c>
      <c r="B3428" s="0" t="s">
        <v>86</v>
      </c>
      <c r="C3428" s="17" t="n">
        <v>-0.606132491800098</v>
      </c>
      <c r="D3428" s="17" t="n">
        <f aca="false">(C3428-$B$4)/($B$6/SQRT($B$7))</f>
        <v>-3.03066245900049</v>
      </c>
      <c r="E3428" s="0" t="str">
        <f aca="false">IF(OR(AND($B$9="superior",D3428&gt;$B$10),AND($B$9="inferior",D3428&lt;-$B$10)),"Rechazar H0","No rechazar H0")</f>
        <v>Rechazar H0</v>
      </c>
      <c r="F3428" s="0" t="str">
        <f aca="false">IF(AND(B3428="H0 verdadera",E3428="Rechazar H0"),"Error tipo I",IF(AND(B3428="Ha verdadera",E3428="No rechazar H0"),"Error tipo II","Decisión correcta"))</f>
        <v>Decisión correcta</v>
      </c>
    </row>
    <row r="3429" customFormat="false" ht="15" hidden="false" customHeight="false" outlineLevel="0" collapsed="false">
      <c r="A3429" s="0" t="n">
        <v>3408</v>
      </c>
      <c r="B3429" s="0" t="s">
        <v>85</v>
      </c>
      <c r="C3429" s="17" t="n">
        <v>-0.0203759571501743</v>
      </c>
      <c r="D3429" s="17" t="n">
        <f aca="false">(C3429-$B$4)/($B$6/SQRT($B$7))</f>
        <v>-0.101879785750872</v>
      </c>
      <c r="E3429" s="0" t="str">
        <f aca="false">IF(OR(AND($B$9="superior",D3429&gt;$B$10),AND($B$9="inferior",D3429&lt;-$B$10)),"Rechazar H0","No rechazar H0")</f>
        <v>No rechazar H0</v>
      </c>
      <c r="F3429" s="0" t="str">
        <f aca="false">IF(AND(B3429="H0 verdadera",E3429="Rechazar H0"),"Error tipo I",IF(AND(B3429="Ha verdadera",E3429="No rechazar H0"),"Error tipo II","Decisión correcta"))</f>
        <v>Decisión correcta</v>
      </c>
    </row>
    <row r="3430" customFormat="false" ht="15" hidden="false" customHeight="false" outlineLevel="0" collapsed="false">
      <c r="A3430" s="0" t="n">
        <v>3409</v>
      </c>
      <c r="B3430" s="0" t="s">
        <v>86</v>
      </c>
      <c r="C3430" s="17" t="n">
        <v>-0.561268367319414</v>
      </c>
      <c r="D3430" s="17" t="n">
        <f aca="false">(C3430-$B$4)/($B$6/SQRT($B$7))</f>
        <v>-2.80634183659707</v>
      </c>
      <c r="E3430" s="0" t="str">
        <f aca="false">IF(OR(AND($B$9="superior",D3430&gt;$B$10),AND($B$9="inferior",D3430&lt;-$B$10)),"Rechazar H0","No rechazar H0")</f>
        <v>Rechazar H0</v>
      </c>
      <c r="F3430" s="0" t="str">
        <f aca="false">IF(AND(B3430="H0 verdadera",E3430="Rechazar H0"),"Error tipo I",IF(AND(B3430="Ha verdadera",E3430="No rechazar H0"),"Error tipo II","Decisión correcta"))</f>
        <v>Decisión correcta</v>
      </c>
    </row>
    <row r="3431" customFormat="false" ht="15" hidden="false" customHeight="false" outlineLevel="0" collapsed="false">
      <c r="A3431" s="0" t="n">
        <v>3410</v>
      </c>
      <c r="B3431" s="0" t="s">
        <v>85</v>
      </c>
      <c r="C3431" s="17" t="n">
        <v>0.44314319542118</v>
      </c>
      <c r="D3431" s="17" t="n">
        <f aca="false">(C3431-$B$4)/($B$6/SQRT($B$7))</f>
        <v>2.2157159771059</v>
      </c>
      <c r="E3431" s="0" t="str">
        <f aca="false">IF(OR(AND($B$9="superior",D3431&gt;$B$10),AND($B$9="inferior",D3431&lt;-$B$10)),"Rechazar H0","No rechazar H0")</f>
        <v>No rechazar H0</v>
      </c>
      <c r="F3431" s="0" t="str">
        <f aca="false">IF(AND(B3431="H0 verdadera",E3431="Rechazar H0"),"Error tipo I",IF(AND(B3431="Ha verdadera",E3431="No rechazar H0"),"Error tipo II","Decisión correcta"))</f>
        <v>Decisión correcta</v>
      </c>
    </row>
    <row r="3432" customFormat="false" ht="15" hidden="false" customHeight="false" outlineLevel="0" collapsed="false">
      <c r="A3432" s="0" t="n">
        <v>3411</v>
      </c>
      <c r="B3432" s="0" t="s">
        <v>86</v>
      </c>
      <c r="C3432" s="17" t="n">
        <v>-0.386487998254617</v>
      </c>
      <c r="D3432" s="17" t="n">
        <f aca="false">(C3432-$B$4)/($B$6/SQRT($B$7))</f>
        <v>-1.93243999127308</v>
      </c>
      <c r="E3432" s="0" t="str">
        <f aca="false">IF(OR(AND($B$9="superior",D3432&gt;$B$10),AND($B$9="inferior",D3432&lt;-$B$10)),"Rechazar H0","No rechazar H0")</f>
        <v>Rechazar H0</v>
      </c>
      <c r="F3432" s="0" t="str">
        <f aca="false">IF(AND(B3432="H0 verdadera",E3432="Rechazar H0"),"Error tipo I",IF(AND(B3432="Ha verdadera",E3432="No rechazar H0"),"Error tipo II","Decisión correcta"))</f>
        <v>Decisión correcta</v>
      </c>
    </row>
    <row r="3433" customFormat="false" ht="15" hidden="false" customHeight="false" outlineLevel="0" collapsed="false">
      <c r="A3433" s="0" t="n">
        <v>3412</v>
      </c>
      <c r="B3433" s="0" t="s">
        <v>85</v>
      </c>
      <c r="C3433" s="17" t="n">
        <v>0.101541505915418</v>
      </c>
      <c r="D3433" s="17" t="n">
        <f aca="false">(C3433-$B$4)/($B$6/SQRT($B$7))</f>
        <v>0.507707529577091</v>
      </c>
      <c r="E3433" s="0" t="str">
        <f aca="false">IF(OR(AND($B$9="superior",D3433&gt;$B$10),AND($B$9="inferior",D3433&lt;-$B$10)),"Rechazar H0","No rechazar H0")</f>
        <v>No rechazar H0</v>
      </c>
      <c r="F3433" s="0" t="str">
        <f aca="false">IF(AND(B3433="H0 verdadera",E3433="Rechazar H0"),"Error tipo I",IF(AND(B3433="Ha verdadera",E3433="No rechazar H0"),"Error tipo II","Decisión correcta"))</f>
        <v>Decisión correcta</v>
      </c>
    </row>
    <row r="3434" customFormat="false" ht="15" hidden="false" customHeight="false" outlineLevel="0" collapsed="false">
      <c r="A3434" s="0" t="n">
        <v>3413</v>
      </c>
      <c r="B3434" s="0" t="s">
        <v>85</v>
      </c>
      <c r="C3434" s="17" t="n">
        <v>0.025944355337553</v>
      </c>
      <c r="D3434" s="17" t="n">
        <f aca="false">(C3434-$B$4)/($B$6/SQRT($B$7))</f>
        <v>0.129721776687765</v>
      </c>
      <c r="E3434" s="0" t="str">
        <f aca="false">IF(OR(AND($B$9="superior",D3434&gt;$B$10),AND($B$9="inferior",D3434&lt;-$B$10)),"Rechazar H0","No rechazar H0")</f>
        <v>No rechazar H0</v>
      </c>
      <c r="F3434" s="0" t="str">
        <f aca="false">IF(AND(B3434="H0 verdadera",E3434="Rechazar H0"),"Error tipo I",IF(AND(B3434="Ha verdadera",E3434="No rechazar H0"),"Error tipo II","Decisión correcta"))</f>
        <v>Decisión correcta</v>
      </c>
    </row>
    <row r="3435" customFormat="false" ht="15" hidden="false" customHeight="false" outlineLevel="0" collapsed="false">
      <c r="A3435" s="0" t="n">
        <v>3414</v>
      </c>
      <c r="B3435" s="0" t="s">
        <v>86</v>
      </c>
      <c r="C3435" s="17" t="n">
        <v>-0.225952983072984</v>
      </c>
      <c r="D3435" s="17" t="n">
        <f aca="false">(C3435-$B$4)/($B$6/SQRT($B$7))</f>
        <v>-1.12976491536492</v>
      </c>
      <c r="E3435" s="0" t="str">
        <f aca="false">IF(OR(AND($B$9="superior",D3435&gt;$B$10),AND($B$9="inferior",D3435&lt;-$B$10)),"Rechazar H0","No rechazar H0")</f>
        <v>No rechazar H0</v>
      </c>
      <c r="F3435" s="0" t="str">
        <f aca="false">IF(AND(B3435="H0 verdadera",E3435="Rechazar H0"),"Error tipo I",IF(AND(B3435="Ha verdadera",E3435="No rechazar H0"),"Error tipo II","Decisión correcta"))</f>
        <v>Error tipo II</v>
      </c>
    </row>
    <row r="3436" customFormat="false" ht="15" hidden="false" customHeight="false" outlineLevel="0" collapsed="false">
      <c r="A3436" s="0" t="n">
        <v>3415</v>
      </c>
      <c r="B3436" s="0" t="s">
        <v>86</v>
      </c>
      <c r="C3436" s="17" t="n">
        <v>-0.196472733127316</v>
      </c>
      <c r="D3436" s="17" t="n">
        <f aca="false">(C3436-$B$4)/($B$6/SQRT($B$7))</f>
        <v>-0.982363665636579</v>
      </c>
      <c r="E3436" s="0" t="str">
        <f aca="false">IF(OR(AND($B$9="superior",D3436&gt;$B$10),AND($B$9="inferior",D3436&lt;-$B$10)),"Rechazar H0","No rechazar H0")</f>
        <v>No rechazar H0</v>
      </c>
      <c r="F3436" s="0" t="str">
        <f aca="false">IF(AND(B3436="H0 verdadera",E3436="Rechazar H0"),"Error tipo I",IF(AND(B3436="Ha verdadera",E3436="No rechazar H0"),"Error tipo II","Decisión correcta"))</f>
        <v>Error tipo II</v>
      </c>
    </row>
    <row r="3437" customFormat="false" ht="15" hidden="false" customHeight="false" outlineLevel="0" collapsed="false">
      <c r="A3437" s="0" t="n">
        <v>3416</v>
      </c>
      <c r="B3437" s="0" t="s">
        <v>85</v>
      </c>
      <c r="C3437" s="17" t="n">
        <v>0.0239279876661939</v>
      </c>
      <c r="D3437" s="17" t="n">
        <f aca="false">(C3437-$B$4)/($B$6/SQRT($B$7))</f>
        <v>0.11963993833097</v>
      </c>
      <c r="E3437" s="0" t="str">
        <f aca="false">IF(OR(AND($B$9="superior",D3437&gt;$B$10),AND($B$9="inferior",D3437&lt;-$B$10)),"Rechazar H0","No rechazar H0")</f>
        <v>No rechazar H0</v>
      </c>
      <c r="F3437" s="0" t="str">
        <f aca="false">IF(AND(B3437="H0 verdadera",E3437="Rechazar H0"),"Error tipo I",IF(AND(B3437="Ha verdadera",E3437="No rechazar H0"),"Error tipo II","Decisión correcta"))</f>
        <v>Decisión correcta</v>
      </c>
    </row>
    <row r="3438" customFormat="false" ht="15" hidden="false" customHeight="false" outlineLevel="0" collapsed="false">
      <c r="A3438" s="0" t="n">
        <v>3417</v>
      </c>
      <c r="B3438" s="0" t="s">
        <v>85</v>
      </c>
      <c r="C3438" s="17" t="n">
        <v>0.0238748127427242</v>
      </c>
      <c r="D3438" s="17" t="n">
        <f aca="false">(C3438-$B$4)/($B$6/SQRT($B$7))</f>
        <v>0.119374063713621</v>
      </c>
      <c r="E3438" s="0" t="str">
        <f aca="false">IF(OR(AND($B$9="superior",D3438&gt;$B$10),AND($B$9="inferior",D3438&lt;-$B$10)),"Rechazar H0","No rechazar H0")</f>
        <v>No rechazar H0</v>
      </c>
      <c r="F3438" s="0" t="str">
        <f aca="false">IF(AND(B3438="H0 verdadera",E3438="Rechazar H0"),"Error tipo I",IF(AND(B3438="Ha verdadera",E3438="No rechazar H0"),"Error tipo II","Decisión correcta"))</f>
        <v>Decisión correcta</v>
      </c>
    </row>
    <row r="3439" customFormat="false" ht="15" hidden="false" customHeight="false" outlineLevel="0" collapsed="false">
      <c r="A3439" s="0" t="n">
        <v>3418</v>
      </c>
      <c r="B3439" s="0" t="s">
        <v>85</v>
      </c>
      <c r="C3439" s="17" t="n">
        <v>-0.0158271522696511</v>
      </c>
      <c r="D3439" s="17" t="n">
        <f aca="false">(C3439-$B$4)/($B$6/SQRT($B$7))</f>
        <v>-0.0791357613482556</v>
      </c>
      <c r="E3439" s="0" t="str">
        <f aca="false">IF(OR(AND($B$9="superior",D3439&gt;$B$10),AND($B$9="inferior",D3439&lt;-$B$10)),"Rechazar H0","No rechazar H0")</f>
        <v>No rechazar H0</v>
      </c>
      <c r="F3439" s="0" t="str">
        <f aca="false">IF(AND(B3439="H0 verdadera",E3439="Rechazar H0"),"Error tipo I",IF(AND(B3439="Ha verdadera",E3439="No rechazar H0"),"Error tipo II","Decisión correcta"))</f>
        <v>Decisión correcta</v>
      </c>
    </row>
    <row r="3440" customFormat="false" ht="15" hidden="false" customHeight="false" outlineLevel="0" collapsed="false">
      <c r="A3440" s="0" t="n">
        <v>3419</v>
      </c>
      <c r="B3440" s="0" t="s">
        <v>85</v>
      </c>
      <c r="C3440" s="17" t="n">
        <v>-0.131860124682267</v>
      </c>
      <c r="D3440" s="17" t="n">
        <f aca="false">(C3440-$B$4)/($B$6/SQRT($B$7))</f>
        <v>-0.659300623411333</v>
      </c>
      <c r="E3440" s="0" t="str">
        <f aca="false">IF(OR(AND($B$9="superior",D3440&gt;$B$10),AND($B$9="inferior",D3440&lt;-$B$10)),"Rechazar H0","No rechazar H0")</f>
        <v>No rechazar H0</v>
      </c>
      <c r="F3440" s="0" t="str">
        <f aca="false">IF(AND(B3440="H0 verdadera",E3440="Rechazar H0"),"Error tipo I",IF(AND(B3440="Ha verdadera",E3440="No rechazar H0"),"Error tipo II","Decisión correcta"))</f>
        <v>Decisión correcta</v>
      </c>
    </row>
    <row r="3441" customFormat="false" ht="15" hidden="false" customHeight="false" outlineLevel="0" collapsed="false">
      <c r="A3441" s="0" t="n">
        <v>3420</v>
      </c>
      <c r="B3441" s="0" t="s">
        <v>86</v>
      </c>
      <c r="C3441" s="17" t="n">
        <v>-0.741855763281259</v>
      </c>
      <c r="D3441" s="17" t="n">
        <f aca="false">(C3441-$B$4)/($B$6/SQRT($B$7))</f>
        <v>-3.70927881640629</v>
      </c>
      <c r="E3441" s="0" t="str">
        <f aca="false">IF(OR(AND($B$9="superior",D3441&gt;$B$10),AND($B$9="inferior",D3441&lt;-$B$10)),"Rechazar H0","No rechazar H0")</f>
        <v>Rechazar H0</v>
      </c>
      <c r="F3441" s="0" t="str">
        <f aca="false">IF(AND(B3441="H0 verdadera",E3441="Rechazar H0"),"Error tipo I",IF(AND(B3441="Ha verdadera",E3441="No rechazar H0"),"Error tipo II","Decisión correcta"))</f>
        <v>Decisión correcta</v>
      </c>
    </row>
    <row r="3442" customFormat="false" ht="15" hidden="false" customHeight="false" outlineLevel="0" collapsed="false">
      <c r="A3442" s="0" t="n">
        <v>3421</v>
      </c>
      <c r="B3442" s="0" t="s">
        <v>85</v>
      </c>
      <c r="C3442" s="17" t="n">
        <v>-0.212866697030695</v>
      </c>
      <c r="D3442" s="17" t="n">
        <f aca="false">(C3442-$B$4)/($B$6/SQRT($B$7))</f>
        <v>-1.06433348515348</v>
      </c>
      <c r="E3442" s="0" t="str">
        <f aca="false">IF(OR(AND($B$9="superior",D3442&gt;$B$10),AND($B$9="inferior",D3442&lt;-$B$10)),"Rechazar H0","No rechazar H0")</f>
        <v>No rechazar H0</v>
      </c>
      <c r="F3442" s="0" t="str">
        <f aca="false">IF(AND(B3442="H0 verdadera",E3442="Rechazar H0"),"Error tipo I",IF(AND(B3442="Ha verdadera",E3442="No rechazar H0"),"Error tipo II","Decisión correcta"))</f>
        <v>Decisión correcta</v>
      </c>
    </row>
    <row r="3443" customFormat="false" ht="15" hidden="false" customHeight="false" outlineLevel="0" collapsed="false">
      <c r="A3443" s="0" t="n">
        <v>3422</v>
      </c>
      <c r="B3443" s="0" t="s">
        <v>86</v>
      </c>
      <c r="C3443" s="17" t="n">
        <v>0.0808129445806654</v>
      </c>
      <c r="D3443" s="17" t="n">
        <f aca="false">(C3443-$B$4)/($B$6/SQRT($B$7))</f>
        <v>0.404064722903327</v>
      </c>
      <c r="E3443" s="0" t="str">
        <f aca="false">IF(OR(AND($B$9="superior",D3443&gt;$B$10),AND($B$9="inferior",D3443&lt;-$B$10)),"Rechazar H0","No rechazar H0")</f>
        <v>No rechazar H0</v>
      </c>
      <c r="F3443" s="0" t="str">
        <f aca="false">IF(AND(B3443="H0 verdadera",E3443="Rechazar H0"),"Error tipo I",IF(AND(B3443="Ha verdadera",E3443="No rechazar H0"),"Error tipo II","Decisión correcta"))</f>
        <v>Error tipo II</v>
      </c>
    </row>
    <row r="3444" customFormat="false" ht="15" hidden="false" customHeight="false" outlineLevel="0" collapsed="false">
      <c r="A3444" s="0" t="n">
        <v>3423</v>
      </c>
      <c r="B3444" s="0" t="s">
        <v>86</v>
      </c>
      <c r="C3444" s="17" t="n">
        <v>-0.663191555134785</v>
      </c>
      <c r="D3444" s="17" t="n">
        <f aca="false">(C3444-$B$4)/($B$6/SQRT($B$7))</f>
        <v>-3.31595777567392</v>
      </c>
      <c r="E3444" s="0" t="str">
        <f aca="false">IF(OR(AND($B$9="superior",D3444&gt;$B$10),AND($B$9="inferior",D3444&lt;-$B$10)),"Rechazar H0","No rechazar H0")</f>
        <v>Rechazar H0</v>
      </c>
      <c r="F3444" s="0" t="str">
        <f aca="false">IF(AND(B3444="H0 verdadera",E3444="Rechazar H0"),"Error tipo I",IF(AND(B3444="Ha verdadera",E3444="No rechazar H0"),"Error tipo II","Decisión correcta"))</f>
        <v>Decisión correcta</v>
      </c>
    </row>
    <row r="3445" customFormat="false" ht="15" hidden="false" customHeight="false" outlineLevel="0" collapsed="false">
      <c r="A3445" s="0" t="n">
        <v>3424</v>
      </c>
      <c r="B3445" s="0" t="s">
        <v>86</v>
      </c>
      <c r="C3445" s="17" t="n">
        <v>-0.537355439916612</v>
      </c>
      <c r="D3445" s="17" t="n">
        <f aca="false">(C3445-$B$4)/($B$6/SQRT($B$7))</f>
        <v>-2.68677719958306</v>
      </c>
      <c r="E3445" s="0" t="str">
        <f aca="false">IF(OR(AND($B$9="superior",D3445&gt;$B$10),AND($B$9="inferior",D3445&lt;-$B$10)),"Rechazar H0","No rechazar H0")</f>
        <v>Rechazar H0</v>
      </c>
      <c r="F3445" s="0" t="str">
        <f aca="false">IF(AND(B3445="H0 verdadera",E3445="Rechazar H0"),"Error tipo I",IF(AND(B3445="Ha verdadera",E3445="No rechazar H0"),"Error tipo II","Decisión correcta"))</f>
        <v>Decisión correcta</v>
      </c>
    </row>
    <row r="3446" customFormat="false" ht="15" hidden="false" customHeight="false" outlineLevel="0" collapsed="false">
      <c r="A3446" s="0" t="n">
        <v>3425</v>
      </c>
      <c r="B3446" s="0" t="s">
        <v>86</v>
      </c>
      <c r="C3446" s="17" t="n">
        <v>-0.401956273230189</v>
      </c>
      <c r="D3446" s="17" t="n">
        <f aca="false">(C3446-$B$4)/($B$6/SQRT($B$7))</f>
        <v>-2.00978136615094</v>
      </c>
      <c r="E3446" s="0" t="str">
        <f aca="false">IF(OR(AND($B$9="superior",D3446&gt;$B$10),AND($B$9="inferior",D3446&lt;-$B$10)),"Rechazar H0","No rechazar H0")</f>
        <v>Rechazar H0</v>
      </c>
      <c r="F3446" s="0" t="str">
        <f aca="false">IF(AND(B3446="H0 verdadera",E3446="Rechazar H0"),"Error tipo I",IF(AND(B3446="Ha verdadera",E3446="No rechazar H0"),"Error tipo II","Decisión correcta"))</f>
        <v>Decisión correcta</v>
      </c>
    </row>
    <row r="3447" customFormat="false" ht="15" hidden="false" customHeight="false" outlineLevel="0" collapsed="false">
      <c r="A3447" s="0" t="n">
        <v>3426</v>
      </c>
      <c r="B3447" s="0" t="s">
        <v>86</v>
      </c>
      <c r="C3447" s="17" t="n">
        <v>-0.255713617347615</v>
      </c>
      <c r="D3447" s="17" t="n">
        <f aca="false">(C3447-$B$4)/($B$6/SQRT($B$7))</f>
        <v>-1.27856808673807</v>
      </c>
      <c r="E3447" s="0" t="str">
        <f aca="false">IF(OR(AND($B$9="superior",D3447&gt;$B$10),AND($B$9="inferior",D3447&lt;-$B$10)),"Rechazar H0","No rechazar H0")</f>
        <v>No rechazar H0</v>
      </c>
      <c r="F3447" s="0" t="str">
        <f aca="false">IF(AND(B3447="H0 verdadera",E3447="Rechazar H0"),"Error tipo I",IF(AND(B3447="Ha verdadera",E3447="No rechazar H0"),"Error tipo II","Decisión correcta"))</f>
        <v>Error tipo II</v>
      </c>
    </row>
    <row r="3448" customFormat="false" ht="15" hidden="false" customHeight="false" outlineLevel="0" collapsed="false">
      <c r="A3448" s="0" t="n">
        <v>3427</v>
      </c>
      <c r="B3448" s="0" t="s">
        <v>85</v>
      </c>
      <c r="C3448" s="17" t="n">
        <v>0.234582342554514</v>
      </c>
      <c r="D3448" s="17" t="n">
        <f aca="false">(C3448-$B$4)/($B$6/SQRT($B$7))</f>
        <v>1.17291171277257</v>
      </c>
      <c r="E3448" s="0" t="str">
        <f aca="false">IF(OR(AND($B$9="superior",D3448&gt;$B$10),AND($B$9="inferior",D3448&lt;-$B$10)),"Rechazar H0","No rechazar H0")</f>
        <v>No rechazar H0</v>
      </c>
      <c r="F3448" s="0" t="str">
        <f aca="false">IF(AND(B3448="H0 verdadera",E3448="Rechazar H0"),"Error tipo I",IF(AND(B3448="Ha verdadera",E3448="No rechazar H0"),"Error tipo II","Decisión correcta"))</f>
        <v>Decisión correcta</v>
      </c>
    </row>
    <row r="3449" customFormat="false" ht="15" hidden="false" customHeight="false" outlineLevel="0" collapsed="false">
      <c r="A3449" s="0" t="n">
        <v>3428</v>
      </c>
      <c r="B3449" s="0" t="s">
        <v>86</v>
      </c>
      <c r="C3449" s="17" t="n">
        <v>-0.308327099061919</v>
      </c>
      <c r="D3449" s="17" t="n">
        <f aca="false">(C3449-$B$4)/($B$6/SQRT($B$7))</f>
        <v>-1.5416354953096</v>
      </c>
      <c r="E3449" s="0" t="str">
        <f aca="false">IF(OR(AND($B$9="superior",D3449&gt;$B$10),AND($B$9="inferior",D3449&lt;-$B$10)),"Rechazar H0","No rechazar H0")</f>
        <v>No rechazar H0</v>
      </c>
      <c r="F3449" s="0" t="str">
        <f aca="false">IF(AND(B3449="H0 verdadera",E3449="Rechazar H0"),"Error tipo I",IF(AND(B3449="Ha verdadera",E3449="No rechazar H0"),"Error tipo II","Decisión correcta"))</f>
        <v>Error tipo II</v>
      </c>
    </row>
    <row r="3450" customFormat="false" ht="15" hidden="false" customHeight="false" outlineLevel="0" collapsed="false">
      <c r="A3450" s="0" t="n">
        <v>3429</v>
      </c>
      <c r="B3450" s="0" t="s">
        <v>85</v>
      </c>
      <c r="C3450" s="17" t="n">
        <v>-0.118334515608377</v>
      </c>
      <c r="D3450" s="17" t="n">
        <f aca="false">(C3450-$B$4)/($B$6/SQRT($B$7))</f>
        <v>-0.591672578041886</v>
      </c>
      <c r="E3450" s="0" t="str">
        <f aca="false">IF(OR(AND($B$9="superior",D3450&gt;$B$10),AND($B$9="inferior",D3450&lt;-$B$10)),"Rechazar H0","No rechazar H0")</f>
        <v>No rechazar H0</v>
      </c>
      <c r="F3450" s="0" t="str">
        <f aca="false">IF(AND(B3450="H0 verdadera",E3450="Rechazar H0"),"Error tipo I",IF(AND(B3450="Ha verdadera",E3450="No rechazar H0"),"Error tipo II","Decisión correcta"))</f>
        <v>Decisión correcta</v>
      </c>
    </row>
    <row r="3451" customFormat="false" ht="15" hidden="false" customHeight="false" outlineLevel="0" collapsed="false">
      <c r="A3451" s="0" t="n">
        <v>3430</v>
      </c>
      <c r="B3451" s="0" t="s">
        <v>86</v>
      </c>
      <c r="C3451" s="17" t="n">
        <v>-0.384268663563575</v>
      </c>
      <c r="D3451" s="17" t="n">
        <f aca="false">(C3451-$B$4)/($B$6/SQRT($B$7))</f>
        <v>-1.92134331781788</v>
      </c>
      <c r="E3451" s="0" t="str">
        <f aca="false">IF(OR(AND($B$9="superior",D3451&gt;$B$10),AND($B$9="inferior",D3451&lt;-$B$10)),"Rechazar H0","No rechazar H0")</f>
        <v>Rechazar H0</v>
      </c>
      <c r="F3451" s="0" t="str">
        <f aca="false">IF(AND(B3451="H0 verdadera",E3451="Rechazar H0"),"Error tipo I",IF(AND(B3451="Ha verdadera",E3451="No rechazar H0"),"Error tipo II","Decisión correcta"))</f>
        <v>Decisión correcta</v>
      </c>
    </row>
    <row r="3452" customFormat="false" ht="15" hidden="false" customHeight="false" outlineLevel="0" collapsed="false">
      <c r="A3452" s="0" t="n">
        <v>3431</v>
      </c>
      <c r="B3452" s="0" t="s">
        <v>85</v>
      </c>
      <c r="C3452" s="17" t="n">
        <v>0.0178419461055904</v>
      </c>
      <c r="D3452" s="17" t="n">
        <f aca="false">(C3452-$B$4)/($B$6/SQRT($B$7))</f>
        <v>0.0892097305279517</v>
      </c>
      <c r="E3452" s="0" t="str">
        <f aca="false">IF(OR(AND($B$9="superior",D3452&gt;$B$10),AND($B$9="inferior",D3452&lt;-$B$10)),"Rechazar H0","No rechazar H0")</f>
        <v>No rechazar H0</v>
      </c>
      <c r="F3452" s="0" t="str">
        <f aca="false">IF(AND(B3452="H0 verdadera",E3452="Rechazar H0"),"Error tipo I",IF(AND(B3452="Ha verdadera",E3452="No rechazar H0"),"Error tipo II","Decisión correcta"))</f>
        <v>Decisión correcta</v>
      </c>
    </row>
    <row r="3453" customFormat="false" ht="15" hidden="false" customHeight="false" outlineLevel="0" collapsed="false">
      <c r="A3453" s="0" t="n">
        <v>3432</v>
      </c>
      <c r="B3453" s="0" t="s">
        <v>85</v>
      </c>
      <c r="C3453" s="17" t="n">
        <v>0.26790259504596</v>
      </c>
      <c r="D3453" s="17" t="n">
        <f aca="false">(C3453-$B$4)/($B$6/SQRT($B$7))</f>
        <v>1.3395129752298</v>
      </c>
      <c r="E3453" s="0" t="str">
        <f aca="false">IF(OR(AND($B$9="superior",D3453&gt;$B$10),AND($B$9="inferior",D3453&lt;-$B$10)),"Rechazar H0","No rechazar H0")</f>
        <v>No rechazar H0</v>
      </c>
      <c r="F3453" s="0" t="str">
        <f aca="false">IF(AND(B3453="H0 verdadera",E3453="Rechazar H0"),"Error tipo I",IF(AND(B3453="Ha verdadera",E3453="No rechazar H0"),"Error tipo II","Decisión correcta"))</f>
        <v>Decisión correcta</v>
      </c>
    </row>
    <row r="3454" customFormat="false" ht="15" hidden="false" customHeight="false" outlineLevel="0" collapsed="false">
      <c r="A3454" s="0" t="n">
        <v>3433</v>
      </c>
      <c r="B3454" s="0" t="s">
        <v>85</v>
      </c>
      <c r="C3454" s="17" t="n">
        <v>-0.0571183512140103</v>
      </c>
      <c r="D3454" s="17" t="n">
        <f aca="false">(C3454-$B$4)/($B$6/SQRT($B$7))</f>
        <v>-0.285591756070051</v>
      </c>
      <c r="E3454" s="0" t="str">
        <f aca="false">IF(OR(AND($B$9="superior",D3454&gt;$B$10),AND($B$9="inferior",D3454&lt;-$B$10)),"Rechazar H0","No rechazar H0")</f>
        <v>No rechazar H0</v>
      </c>
      <c r="F3454" s="0" t="str">
        <f aca="false">IF(AND(B3454="H0 verdadera",E3454="Rechazar H0"),"Error tipo I",IF(AND(B3454="Ha verdadera",E3454="No rechazar H0"),"Error tipo II","Decisión correcta"))</f>
        <v>Decisión correcta</v>
      </c>
    </row>
    <row r="3455" customFormat="false" ht="15" hidden="false" customHeight="false" outlineLevel="0" collapsed="false">
      <c r="A3455" s="0" t="n">
        <v>3434</v>
      </c>
      <c r="B3455" s="0" t="s">
        <v>85</v>
      </c>
      <c r="C3455" s="17" t="n">
        <v>0.249303875328296</v>
      </c>
      <c r="D3455" s="17" t="n">
        <f aca="false">(C3455-$B$4)/($B$6/SQRT($B$7))</f>
        <v>1.24651937664148</v>
      </c>
      <c r="E3455" s="0" t="str">
        <f aca="false">IF(OR(AND($B$9="superior",D3455&gt;$B$10),AND($B$9="inferior",D3455&lt;-$B$10)),"Rechazar H0","No rechazar H0")</f>
        <v>No rechazar H0</v>
      </c>
      <c r="F3455" s="0" t="str">
        <f aca="false">IF(AND(B3455="H0 verdadera",E3455="Rechazar H0"),"Error tipo I",IF(AND(B3455="Ha verdadera",E3455="No rechazar H0"),"Error tipo II","Decisión correcta"))</f>
        <v>Decisión correcta</v>
      </c>
    </row>
    <row r="3456" customFormat="false" ht="15" hidden="false" customHeight="false" outlineLevel="0" collapsed="false">
      <c r="A3456" s="0" t="n">
        <v>3435</v>
      </c>
      <c r="B3456" s="0" t="s">
        <v>86</v>
      </c>
      <c r="C3456" s="17" t="n">
        <v>-1.04077902962525</v>
      </c>
      <c r="D3456" s="17" t="n">
        <f aca="false">(C3456-$B$4)/($B$6/SQRT($B$7))</f>
        <v>-5.20389514812625</v>
      </c>
      <c r="E3456" s="0" t="str">
        <f aca="false">IF(OR(AND($B$9="superior",D3456&gt;$B$10),AND($B$9="inferior",D3456&lt;-$B$10)),"Rechazar H0","No rechazar H0")</f>
        <v>Rechazar H0</v>
      </c>
      <c r="F3456" s="0" t="str">
        <f aca="false">IF(AND(B3456="H0 verdadera",E3456="Rechazar H0"),"Error tipo I",IF(AND(B3456="Ha verdadera",E3456="No rechazar H0"),"Error tipo II","Decisión correcta"))</f>
        <v>Decisión correcta</v>
      </c>
    </row>
    <row r="3457" customFormat="false" ht="15" hidden="false" customHeight="false" outlineLevel="0" collapsed="false">
      <c r="A3457" s="0" t="n">
        <v>3436</v>
      </c>
      <c r="B3457" s="0" t="s">
        <v>85</v>
      </c>
      <c r="C3457" s="17" t="n">
        <v>-0.100086100341771</v>
      </c>
      <c r="D3457" s="17" t="n">
        <f aca="false">(C3457-$B$4)/($B$6/SQRT($B$7))</f>
        <v>-0.500430501708857</v>
      </c>
      <c r="E3457" s="0" t="str">
        <f aca="false">IF(OR(AND($B$9="superior",D3457&gt;$B$10),AND($B$9="inferior",D3457&lt;-$B$10)),"Rechazar H0","No rechazar H0")</f>
        <v>No rechazar H0</v>
      </c>
      <c r="F3457" s="0" t="str">
        <f aca="false">IF(AND(B3457="H0 verdadera",E3457="Rechazar H0"),"Error tipo I",IF(AND(B3457="Ha verdadera",E3457="No rechazar H0"),"Error tipo II","Decisión correcta"))</f>
        <v>Decisión correcta</v>
      </c>
    </row>
    <row r="3458" customFormat="false" ht="15" hidden="false" customHeight="false" outlineLevel="0" collapsed="false">
      <c r="A3458" s="0" t="n">
        <v>3437</v>
      </c>
      <c r="B3458" s="0" t="s">
        <v>85</v>
      </c>
      <c r="C3458" s="17" t="n">
        <v>-0.0252308942325872</v>
      </c>
      <c r="D3458" s="17" t="n">
        <f aca="false">(C3458-$B$4)/($B$6/SQRT($B$7))</f>
        <v>-0.126154471162936</v>
      </c>
      <c r="E3458" s="0" t="str">
        <f aca="false">IF(OR(AND($B$9="superior",D3458&gt;$B$10),AND($B$9="inferior",D3458&lt;-$B$10)),"Rechazar H0","No rechazar H0")</f>
        <v>No rechazar H0</v>
      </c>
      <c r="F3458" s="0" t="str">
        <f aca="false">IF(AND(B3458="H0 verdadera",E3458="Rechazar H0"),"Error tipo I",IF(AND(B3458="Ha verdadera",E3458="No rechazar H0"),"Error tipo II","Decisión correcta"))</f>
        <v>Decisión correcta</v>
      </c>
    </row>
    <row r="3459" customFormat="false" ht="15" hidden="false" customHeight="false" outlineLevel="0" collapsed="false">
      <c r="A3459" s="0" t="n">
        <v>3438</v>
      </c>
      <c r="B3459" s="0" t="s">
        <v>85</v>
      </c>
      <c r="C3459" s="17" t="n">
        <v>-0.0807932005283215</v>
      </c>
      <c r="D3459" s="17" t="n">
        <f aca="false">(C3459-$B$4)/($B$6/SQRT($B$7))</f>
        <v>-0.403966002641607</v>
      </c>
      <c r="E3459" s="0" t="str">
        <f aca="false">IF(OR(AND($B$9="superior",D3459&gt;$B$10),AND($B$9="inferior",D3459&lt;-$B$10)),"Rechazar H0","No rechazar H0")</f>
        <v>No rechazar H0</v>
      </c>
      <c r="F3459" s="0" t="str">
        <f aca="false">IF(AND(B3459="H0 verdadera",E3459="Rechazar H0"),"Error tipo I",IF(AND(B3459="Ha verdadera",E3459="No rechazar H0"),"Error tipo II","Decisión correcta"))</f>
        <v>Decisión correcta</v>
      </c>
    </row>
    <row r="3460" customFormat="false" ht="15" hidden="false" customHeight="false" outlineLevel="0" collapsed="false">
      <c r="A3460" s="0" t="n">
        <v>3439</v>
      </c>
      <c r="B3460" s="0" t="s">
        <v>86</v>
      </c>
      <c r="C3460" s="17" t="n">
        <v>-0.206914721233813</v>
      </c>
      <c r="D3460" s="17" t="n">
        <f aca="false">(C3460-$B$4)/($B$6/SQRT($B$7))</f>
        <v>-1.03457360616906</v>
      </c>
      <c r="E3460" s="0" t="str">
        <f aca="false">IF(OR(AND($B$9="superior",D3460&gt;$B$10),AND($B$9="inferior",D3460&lt;-$B$10)),"Rechazar H0","No rechazar H0")</f>
        <v>No rechazar H0</v>
      </c>
      <c r="F3460" s="0" t="str">
        <f aca="false">IF(AND(B3460="H0 verdadera",E3460="Rechazar H0"),"Error tipo I",IF(AND(B3460="Ha verdadera",E3460="No rechazar H0"),"Error tipo II","Decisión correcta"))</f>
        <v>Error tipo II</v>
      </c>
    </row>
    <row r="3461" customFormat="false" ht="15" hidden="false" customHeight="false" outlineLevel="0" collapsed="false">
      <c r="A3461" s="0" t="n">
        <v>3440</v>
      </c>
      <c r="B3461" s="0" t="s">
        <v>86</v>
      </c>
      <c r="C3461" s="17" t="n">
        <v>-0.268452654282602</v>
      </c>
      <c r="D3461" s="17" t="n">
        <f aca="false">(C3461-$B$4)/($B$6/SQRT($B$7))</f>
        <v>-1.34226327141301</v>
      </c>
      <c r="E3461" s="0" t="str">
        <f aca="false">IF(OR(AND($B$9="superior",D3461&gt;$B$10),AND($B$9="inferior",D3461&lt;-$B$10)),"Rechazar H0","No rechazar H0")</f>
        <v>No rechazar H0</v>
      </c>
      <c r="F3461" s="0" t="str">
        <f aca="false">IF(AND(B3461="H0 verdadera",E3461="Rechazar H0"),"Error tipo I",IF(AND(B3461="Ha verdadera",E3461="No rechazar H0"),"Error tipo II","Decisión correcta"))</f>
        <v>Error tipo II</v>
      </c>
    </row>
    <row r="3462" customFormat="false" ht="15" hidden="false" customHeight="false" outlineLevel="0" collapsed="false">
      <c r="A3462" s="0" t="n">
        <v>3441</v>
      </c>
      <c r="B3462" s="0" t="s">
        <v>85</v>
      </c>
      <c r="C3462" s="17" t="n">
        <v>0.508882720548906</v>
      </c>
      <c r="D3462" s="17" t="n">
        <f aca="false">(C3462-$B$4)/($B$6/SQRT($B$7))</f>
        <v>2.54441360274453</v>
      </c>
      <c r="E3462" s="0" t="str">
        <f aca="false">IF(OR(AND($B$9="superior",D3462&gt;$B$10),AND($B$9="inferior",D3462&lt;-$B$10)),"Rechazar H0","No rechazar H0")</f>
        <v>No rechazar H0</v>
      </c>
      <c r="F3462" s="0" t="str">
        <f aca="false">IF(AND(B3462="H0 verdadera",E3462="Rechazar H0"),"Error tipo I",IF(AND(B3462="Ha verdadera",E3462="No rechazar H0"),"Error tipo II","Decisión correcta"))</f>
        <v>Decisión correcta</v>
      </c>
    </row>
    <row r="3463" customFormat="false" ht="15" hidden="false" customHeight="false" outlineLevel="0" collapsed="false">
      <c r="A3463" s="0" t="n">
        <v>3442</v>
      </c>
      <c r="B3463" s="0" t="s">
        <v>85</v>
      </c>
      <c r="C3463" s="17" t="n">
        <v>0.0443959994418289</v>
      </c>
      <c r="D3463" s="17" t="n">
        <f aca="false">(C3463-$B$4)/($B$6/SQRT($B$7))</f>
        <v>0.221979997209145</v>
      </c>
      <c r="E3463" s="0" t="str">
        <f aca="false">IF(OR(AND($B$9="superior",D3463&gt;$B$10),AND($B$9="inferior",D3463&lt;-$B$10)),"Rechazar H0","No rechazar H0")</f>
        <v>No rechazar H0</v>
      </c>
      <c r="F3463" s="0" t="str">
        <f aca="false">IF(AND(B3463="H0 verdadera",E3463="Rechazar H0"),"Error tipo I",IF(AND(B3463="Ha verdadera",E3463="No rechazar H0"),"Error tipo II","Decisión correcta"))</f>
        <v>Decisión correcta</v>
      </c>
    </row>
    <row r="3464" customFormat="false" ht="15" hidden="false" customHeight="false" outlineLevel="0" collapsed="false">
      <c r="A3464" s="0" t="n">
        <v>3443</v>
      </c>
      <c r="B3464" s="0" t="s">
        <v>85</v>
      </c>
      <c r="C3464" s="17" t="n">
        <v>-0.120689972241348</v>
      </c>
      <c r="D3464" s="17" t="n">
        <f aca="false">(C3464-$B$4)/($B$6/SQRT($B$7))</f>
        <v>-0.60344986120674</v>
      </c>
      <c r="E3464" s="0" t="str">
        <f aca="false">IF(OR(AND($B$9="superior",D3464&gt;$B$10),AND($B$9="inferior",D3464&lt;-$B$10)),"Rechazar H0","No rechazar H0")</f>
        <v>No rechazar H0</v>
      </c>
      <c r="F3464" s="0" t="str">
        <f aca="false">IF(AND(B3464="H0 verdadera",E3464="Rechazar H0"),"Error tipo I",IF(AND(B3464="Ha verdadera",E3464="No rechazar H0"),"Error tipo II","Decisión correcta"))</f>
        <v>Decisión correcta</v>
      </c>
    </row>
    <row r="3465" customFormat="false" ht="15" hidden="false" customHeight="false" outlineLevel="0" collapsed="false">
      <c r="A3465" s="0" t="n">
        <v>3444</v>
      </c>
      <c r="B3465" s="0" t="s">
        <v>86</v>
      </c>
      <c r="C3465" s="17" t="n">
        <v>-0.22136290939629</v>
      </c>
      <c r="D3465" s="17" t="n">
        <f aca="false">(C3465-$B$4)/($B$6/SQRT($B$7))</f>
        <v>-1.10681454698145</v>
      </c>
      <c r="E3465" s="0" t="str">
        <f aca="false">IF(OR(AND($B$9="superior",D3465&gt;$B$10),AND($B$9="inferior",D3465&lt;-$B$10)),"Rechazar H0","No rechazar H0")</f>
        <v>No rechazar H0</v>
      </c>
      <c r="F3465" s="0" t="str">
        <f aca="false">IF(AND(B3465="H0 verdadera",E3465="Rechazar H0"),"Error tipo I",IF(AND(B3465="Ha verdadera",E3465="No rechazar H0"),"Error tipo II","Decisión correcta"))</f>
        <v>Error tipo II</v>
      </c>
    </row>
    <row r="3466" customFormat="false" ht="15" hidden="false" customHeight="false" outlineLevel="0" collapsed="false">
      <c r="A3466" s="0" t="n">
        <v>3445</v>
      </c>
      <c r="B3466" s="0" t="s">
        <v>85</v>
      </c>
      <c r="C3466" s="17" t="n">
        <v>-0.0549943744019365</v>
      </c>
      <c r="D3466" s="17" t="n">
        <f aca="false">(C3466-$B$4)/($B$6/SQRT($B$7))</f>
        <v>-0.274971872009683</v>
      </c>
      <c r="E3466" s="0" t="str">
        <f aca="false">IF(OR(AND($B$9="superior",D3466&gt;$B$10),AND($B$9="inferior",D3466&lt;-$B$10)),"Rechazar H0","No rechazar H0")</f>
        <v>No rechazar H0</v>
      </c>
      <c r="F3466" s="0" t="str">
        <f aca="false">IF(AND(B3466="H0 verdadera",E3466="Rechazar H0"),"Error tipo I",IF(AND(B3466="Ha verdadera",E3466="No rechazar H0"),"Error tipo II","Decisión correcta"))</f>
        <v>Decisión correcta</v>
      </c>
    </row>
    <row r="3467" customFormat="false" ht="15" hidden="false" customHeight="false" outlineLevel="0" collapsed="false">
      <c r="A3467" s="0" t="n">
        <v>3446</v>
      </c>
      <c r="B3467" s="0" t="s">
        <v>85</v>
      </c>
      <c r="C3467" s="17" t="n">
        <v>0.0788356344253494</v>
      </c>
      <c r="D3467" s="17" t="n">
        <f aca="false">(C3467-$B$4)/($B$6/SQRT($B$7))</f>
        <v>0.394178172126747</v>
      </c>
      <c r="E3467" s="0" t="str">
        <f aca="false">IF(OR(AND($B$9="superior",D3467&gt;$B$10),AND($B$9="inferior",D3467&lt;-$B$10)),"Rechazar H0","No rechazar H0")</f>
        <v>No rechazar H0</v>
      </c>
      <c r="F3467" s="0" t="str">
        <f aca="false">IF(AND(B3467="H0 verdadera",E3467="Rechazar H0"),"Error tipo I",IF(AND(B3467="Ha verdadera",E3467="No rechazar H0"),"Error tipo II","Decisión correcta"))</f>
        <v>Decisión correcta</v>
      </c>
    </row>
    <row r="3468" customFormat="false" ht="15" hidden="false" customHeight="false" outlineLevel="0" collapsed="false">
      <c r="A3468" s="0" t="n">
        <v>3447</v>
      </c>
      <c r="B3468" s="0" t="s">
        <v>85</v>
      </c>
      <c r="C3468" s="17" t="n">
        <v>-0.215295162995402</v>
      </c>
      <c r="D3468" s="17" t="n">
        <f aca="false">(C3468-$B$4)/($B$6/SQRT($B$7))</f>
        <v>-1.07647581497701</v>
      </c>
      <c r="E3468" s="0" t="str">
        <f aca="false">IF(OR(AND($B$9="superior",D3468&gt;$B$10),AND($B$9="inferior",D3468&lt;-$B$10)),"Rechazar H0","No rechazar H0")</f>
        <v>No rechazar H0</v>
      </c>
      <c r="F3468" s="0" t="str">
        <f aca="false">IF(AND(B3468="H0 verdadera",E3468="Rechazar H0"),"Error tipo I",IF(AND(B3468="Ha verdadera",E3468="No rechazar H0"),"Error tipo II","Decisión correcta"))</f>
        <v>Decisión correcta</v>
      </c>
    </row>
    <row r="3469" customFormat="false" ht="15" hidden="false" customHeight="false" outlineLevel="0" collapsed="false">
      <c r="A3469" s="0" t="n">
        <v>3448</v>
      </c>
      <c r="B3469" s="0" t="s">
        <v>86</v>
      </c>
      <c r="C3469" s="17" t="n">
        <v>-0.245502473972178</v>
      </c>
      <c r="D3469" s="17" t="n">
        <f aca="false">(C3469-$B$4)/($B$6/SQRT($B$7))</f>
        <v>-1.22751236986089</v>
      </c>
      <c r="E3469" s="0" t="str">
        <f aca="false">IF(OR(AND($B$9="superior",D3469&gt;$B$10),AND($B$9="inferior",D3469&lt;-$B$10)),"Rechazar H0","No rechazar H0")</f>
        <v>No rechazar H0</v>
      </c>
      <c r="F3469" s="0" t="str">
        <f aca="false">IF(AND(B3469="H0 verdadera",E3469="Rechazar H0"),"Error tipo I",IF(AND(B3469="Ha verdadera",E3469="No rechazar H0"),"Error tipo II","Decisión correcta"))</f>
        <v>Error tipo II</v>
      </c>
    </row>
    <row r="3470" customFormat="false" ht="15" hidden="false" customHeight="false" outlineLevel="0" collapsed="false">
      <c r="A3470" s="0" t="n">
        <v>3449</v>
      </c>
      <c r="B3470" s="0" t="s">
        <v>85</v>
      </c>
      <c r="C3470" s="17" t="n">
        <v>0.247825875717915</v>
      </c>
      <c r="D3470" s="17" t="n">
        <f aca="false">(C3470-$B$4)/($B$6/SQRT($B$7))</f>
        <v>1.23912937858957</v>
      </c>
      <c r="E3470" s="0" t="str">
        <f aca="false">IF(OR(AND($B$9="superior",D3470&gt;$B$10),AND($B$9="inferior",D3470&lt;-$B$10)),"Rechazar H0","No rechazar H0")</f>
        <v>No rechazar H0</v>
      </c>
      <c r="F3470" s="0" t="str">
        <f aca="false">IF(AND(B3470="H0 verdadera",E3470="Rechazar H0"),"Error tipo I",IF(AND(B3470="Ha verdadera",E3470="No rechazar H0"),"Error tipo II","Decisión correcta"))</f>
        <v>Decisión correcta</v>
      </c>
    </row>
    <row r="3471" customFormat="false" ht="15" hidden="false" customHeight="false" outlineLevel="0" collapsed="false">
      <c r="A3471" s="0" t="n">
        <v>3450</v>
      </c>
      <c r="B3471" s="0" t="s">
        <v>86</v>
      </c>
      <c r="C3471" s="17" t="n">
        <v>-0.114913590953675</v>
      </c>
      <c r="D3471" s="17" t="n">
        <f aca="false">(C3471-$B$4)/($B$6/SQRT($B$7))</f>
        <v>-0.574567954768372</v>
      </c>
      <c r="E3471" s="0" t="str">
        <f aca="false">IF(OR(AND($B$9="superior",D3471&gt;$B$10),AND($B$9="inferior",D3471&lt;-$B$10)),"Rechazar H0","No rechazar H0")</f>
        <v>No rechazar H0</v>
      </c>
      <c r="F3471" s="0" t="str">
        <f aca="false">IF(AND(B3471="H0 verdadera",E3471="Rechazar H0"),"Error tipo I",IF(AND(B3471="Ha verdadera",E3471="No rechazar H0"),"Error tipo II","Decisión correcta"))</f>
        <v>Error tipo II</v>
      </c>
    </row>
    <row r="3472" customFormat="false" ht="15" hidden="false" customHeight="false" outlineLevel="0" collapsed="false">
      <c r="A3472" s="0" t="n">
        <v>3451</v>
      </c>
      <c r="B3472" s="0" t="s">
        <v>86</v>
      </c>
      <c r="C3472" s="17" t="n">
        <v>-0.198200731182148</v>
      </c>
      <c r="D3472" s="17" t="n">
        <f aca="false">(C3472-$B$4)/($B$6/SQRT($B$7))</f>
        <v>-0.991003655910739</v>
      </c>
      <c r="E3472" s="0" t="str">
        <f aca="false">IF(OR(AND($B$9="superior",D3472&gt;$B$10),AND($B$9="inferior",D3472&lt;-$B$10)),"Rechazar H0","No rechazar H0")</f>
        <v>No rechazar H0</v>
      </c>
      <c r="F3472" s="0" t="str">
        <f aca="false">IF(AND(B3472="H0 verdadera",E3472="Rechazar H0"),"Error tipo I",IF(AND(B3472="Ha verdadera",E3472="No rechazar H0"),"Error tipo II","Decisión correcta"))</f>
        <v>Error tipo II</v>
      </c>
    </row>
    <row r="3473" customFormat="false" ht="15" hidden="false" customHeight="false" outlineLevel="0" collapsed="false">
      <c r="A3473" s="0" t="n">
        <v>3452</v>
      </c>
      <c r="B3473" s="0" t="s">
        <v>86</v>
      </c>
      <c r="C3473" s="17" t="n">
        <v>-0.428822794115849</v>
      </c>
      <c r="D3473" s="17" t="n">
        <f aca="false">(C3473-$B$4)/($B$6/SQRT($B$7))</f>
        <v>-2.14411397057925</v>
      </c>
      <c r="E3473" s="0" t="str">
        <f aca="false">IF(OR(AND($B$9="superior",D3473&gt;$B$10),AND($B$9="inferior",D3473&lt;-$B$10)),"Rechazar H0","No rechazar H0")</f>
        <v>Rechazar H0</v>
      </c>
      <c r="F3473" s="0" t="str">
        <f aca="false">IF(AND(B3473="H0 verdadera",E3473="Rechazar H0"),"Error tipo I",IF(AND(B3473="Ha verdadera",E3473="No rechazar H0"),"Error tipo II","Decisión correcta"))</f>
        <v>Decisión correcta</v>
      </c>
    </row>
    <row r="3474" customFormat="false" ht="15" hidden="false" customHeight="false" outlineLevel="0" collapsed="false">
      <c r="A3474" s="0" t="n">
        <v>3453</v>
      </c>
      <c r="B3474" s="0" t="s">
        <v>85</v>
      </c>
      <c r="C3474" s="17" t="n">
        <v>0.191157289801383</v>
      </c>
      <c r="D3474" s="17" t="n">
        <f aca="false">(C3474-$B$4)/($B$6/SQRT($B$7))</f>
        <v>0.955786449006915</v>
      </c>
      <c r="E3474" s="0" t="str">
        <f aca="false">IF(OR(AND($B$9="superior",D3474&gt;$B$10),AND($B$9="inferior",D3474&lt;-$B$10)),"Rechazar H0","No rechazar H0")</f>
        <v>No rechazar H0</v>
      </c>
      <c r="F3474" s="0" t="str">
        <f aca="false">IF(AND(B3474="H0 verdadera",E3474="Rechazar H0"),"Error tipo I",IF(AND(B3474="Ha verdadera",E3474="No rechazar H0"),"Error tipo II","Decisión correcta"))</f>
        <v>Decisión correcta</v>
      </c>
    </row>
    <row r="3475" customFormat="false" ht="15" hidden="false" customHeight="false" outlineLevel="0" collapsed="false">
      <c r="A3475" s="0" t="n">
        <v>3454</v>
      </c>
      <c r="B3475" s="0" t="s">
        <v>86</v>
      </c>
      <c r="C3475" s="17" t="n">
        <v>-0.278953193258664</v>
      </c>
      <c r="D3475" s="17" t="n">
        <f aca="false">(C3475-$B$4)/($B$6/SQRT($B$7))</f>
        <v>-1.39476596629332</v>
      </c>
      <c r="E3475" s="0" t="str">
        <f aca="false">IF(OR(AND($B$9="superior",D3475&gt;$B$10),AND($B$9="inferior",D3475&lt;-$B$10)),"Rechazar H0","No rechazar H0")</f>
        <v>No rechazar H0</v>
      </c>
      <c r="F3475" s="0" t="str">
        <f aca="false">IF(AND(B3475="H0 verdadera",E3475="Rechazar H0"),"Error tipo I",IF(AND(B3475="Ha verdadera",E3475="No rechazar H0"),"Error tipo II","Decisión correcta"))</f>
        <v>Error tipo II</v>
      </c>
    </row>
    <row r="3476" customFormat="false" ht="15" hidden="false" customHeight="false" outlineLevel="0" collapsed="false">
      <c r="A3476" s="0" t="n">
        <v>3455</v>
      </c>
      <c r="B3476" s="0" t="s">
        <v>86</v>
      </c>
      <c r="C3476" s="17" t="n">
        <v>-0.0833009543490059</v>
      </c>
      <c r="D3476" s="17" t="n">
        <f aca="false">(C3476-$B$4)/($B$6/SQRT($B$7))</f>
        <v>-0.41650477174503</v>
      </c>
      <c r="E3476" s="0" t="str">
        <f aca="false">IF(OR(AND($B$9="superior",D3476&gt;$B$10),AND($B$9="inferior",D3476&lt;-$B$10)),"Rechazar H0","No rechazar H0")</f>
        <v>No rechazar H0</v>
      </c>
      <c r="F3476" s="0" t="str">
        <f aca="false">IF(AND(B3476="H0 verdadera",E3476="Rechazar H0"),"Error tipo I",IF(AND(B3476="Ha verdadera",E3476="No rechazar H0"),"Error tipo II","Decisión correcta"))</f>
        <v>Error tipo II</v>
      </c>
    </row>
    <row r="3477" customFormat="false" ht="15" hidden="false" customHeight="false" outlineLevel="0" collapsed="false">
      <c r="A3477" s="0" t="n">
        <v>3456</v>
      </c>
      <c r="B3477" s="0" t="s">
        <v>86</v>
      </c>
      <c r="C3477" s="17" t="n">
        <v>-0.677099092614602</v>
      </c>
      <c r="D3477" s="17" t="n">
        <f aca="false">(C3477-$B$4)/($B$6/SQRT($B$7))</f>
        <v>-3.38549546307301</v>
      </c>
      <c r="E3477" s="0" t="str">
        <f aca="false">IF(OR(AND($B$9="superior",D3477&gt;$B$10),AND($B$9="inferior",D3477&lt;-$B$10)),"Rechazar H0","No rechazar H0")</f>
        <v>Rechazar H0</v>
      </c>
      <c r="F3477" s="0" t="str">
        <f aca="false">IF(AND(B3477="H0 verdadera",E3477="Rechazar H0"),"Error tipo I",IF(AND(B3477="Ha verdadera",E3477="No rechazar H0"),"Error tipo II","Decisión correcta"))</f>
        <v>Decisión correcta</v>
      </c>
    </row>
    <row r="3478" customFormat="false" ht="15" hidden="false" customHeight="false" outlineLevel="0" collapsed="false">
      <c r="A3478" s="0" t="n">
        <v>3457</v>
      </c>
      <c r="B3478" s="0" t="s">
        <v>85</v>
      </c>
      <c r="C3478" s="17" t="n">
        <v>-0.211832675108878</v>
      </c>
      <c r="D3478" s="17" t="n">
        <f aca="false">(C3478-$B$4)/($B$6/SQRT($B$7))</f>
        <v>-1.05916337554439</v>
      </c>
      <c r="E3478" s="0" t="str">
        <f aca="false">IF(OR(AND($B$9="superior",D3478&gt;$B$10),AND($B$9="inferior",D3478&lt;-$B$10)),"Rechazar H0","No rechazar H0")</f>
        <v>No rechazar H0</v>
      </c>
      <c r="F3478" s="0" t="str">
        <f aca="false">IF(AND(B3478="H0 verdadera",E3478="Rechazar H0"),"Error tipo I",IF(AND(B3478="Ha verdadera",E3478="No rechazar H0"),"Error tipo II","Decisión correcta"))</f>
        <v>Decisión correcta</v>
      </c>
    </row>
    <row r="3479" customFormat="false" ht="15" hidden="false" customHeight="false" outlineLevel="0" collapsed="false">
      <c r="A3479" s="0" t="n">
        <v>3458</v>
      </c>
      <c r="B3479" s="0" t="s">
        <v>85</v>
      </c>
      <c r="C3479" s="17" t="n">
        <v>0.0972772322599361</v>
      </c>
      <c r="D3479" s="17" t="n">
        <f aca="false">(C3479-$B$4)/($B$6/SQRT($B$7))</f>
        <v>0.48638616129968</v>
      </c>
      <c r="E3479" s="0" t="str">
        <f aca="false">IF(OR(AND($B$9="superior",D3479&gt;$B$10),AND($B$9="inferior",D3479&lt;-$B$10)),"Rechazar H0","No rechazar H0")</f>
        <v>No rechazar H0</v>
      </c>
      <c r="F3479" s="0" t="str">
        <f aca="false">IF(AND(B3479="H0 verdadera",E3479="Rechazar H0"),"Error tipo I",IF(AND(B3479="Ha verdadera",E3479="No rechazar H0"),"Error tipo II","Decisión correcta"))</f>
        <v>Decisión correcta</v>
      </c>
    </row>
    <row r="3480" customFormat="false" ht="15" hidden="false" customHeight="false" outlineLevel="0" collapsed="false">
      <c r="A3480" s="0" t="n">
        <v>3459</v>
      </c>
      <c r="B3480" s="0" t="s">
        <v>86</v>
      </c>
      <c r="C3480" s="17" t="n">
        <v>-0.157730710125789</v>
      </c>
      <c r="D3480" s="17" t="n">
        <f aca="false">(C3480-$B$4)/($B$6/SQRT($B$7))</f>
        <v>-0.788653550628945</v>
      </c>
      <c r="E3480" s="0" t="str">
        <f aca="false">IF(OR(AND($B$9="superior",D3480&gt;$B$10),AND($B$9="inferior",D3480&lt;-$B$10)),"Rechazar H0","No rechazar H0")</f>
        <v>No rechazar H0</v>
      </c>
      <c r="F3480" s="0" t="str">
        <f aca="false">IF(AND(B3480="H0 verdadera",E3480="Rechazar H0"),"Error tipo I",IF(AND(B3480="Ha verdadera",E3480="No rechazar H0"),"Error tipo II","Decisión correcta"))</f>
        <v>Error tipo II</v>
      </c>
    </row>
    <row r="3481" customFormat="false" ht="15" hidden="false" customHeight="false" outlineLevel="0" collapsed="false">
      <c r="A3481" s="0" t="n">
        <v>3460</v>
      </c>
      <c r="B3481" s="0" t="s">
        <v>85</v>
      </c>
      <c r="C3481" s="17" t="n">
        <v>0.0762833714062736</v>
      </c>
      <c r="D3481" s="17" t="n">
        <f aca="false">(C3481-$B$4)/($B$6/SQRT($B$7))</f>
        <v>0.381416857031368</v>
      </c>
      <c r="E3481" s="0" t="str">
        <f aca="false">IF(OR(AND($B$9="superior",D3481&gt;$B$10),AND($B$9="inferior",D3481&lt;-$B$10)),"Rechazar H0","No rechazar H0")</f>
        <v>No rechazar H0</v>
      </c>
      <c r="F3481" s="0" t="str">
        <f aca="false">IF(AND(B3481="H0 verdadera",E3481="Rechazar H0"),"Error tipo I",IF(AND(B3481="Ha verdadera",E3481="No rechazar H0"),"Error tipo II","Decisión correcta"))</f>
        <v>Decisión correcta</v>
      </c>
    </row>
    <row r="3482" customFormat="false" ht="15" hidden="false" customHeight="false" outlineLevel="0" collapsed="false">
      <c r="A3482" s="0" t="n">
        <v>3461</v>
      </c>
      <c r="B3482" s="0" t="s">
        <v>85</v>
      </c>
      <c r="C3482" s="17" t="n">
        <v>-0.345664169595406</v>
      </c>
      <c r="D3482" s="17" t="n">
        <f aca="false">(C3482-$B$4)/($B$6/SQRT($B$7))</f>
        <v>-1.72832084797703</v>
      </c>
      <c r="E3482" s="0" t="str">
        <f aca="false">IF(OR(AND($B$9="superior",D3482&gt;$B$10),AND($B$9="inferior",D3482&lt;-$B$10)),"Rechazar H0","No rechazar H0")</f>
        <v>Rechazar H0</v>
      </c>
      <c r="F3482" s="0" t="str">
        <f aca="false">IF(AND(B3482="H0 verdadera",E3482="Rechazar H0"),"Error tipo I",IF(AND(B3482="Ha verdadera",E3482="No rechazar H0"),"Error tipo II","Decisión correcta"))</f>
        <v>Error tipo I</v>
      </c>
    </row>
    <row r="3483" customFormat="false" ht="15" hidden="false" customHeight="false" outlineLevel="0" collapsed="false">
      <c r="A3483" s="0" t="n">
        <v>3462</v>
      </c>
      <c r="B3483" s="0" t="s">
        <v>85</v>
      </c>
      <c r="C3483" s="17" t="n">
        <v>0.154429655115819</v>
      </c>
      <c r="D3483" s="17" t="n">
        <f aca="false">(C3483-$B$4)/($B$6/SQRT($B$7))</f>
        <v>0.772148275579092</v>
      </c>
      <c r="E3483" s="0" t="str">
        <f aca="false">IF(OR(AND($B$9="superior",D3483&gt;$B$10),AND($B$9="inferior",D3483&lt;-$B$10)),"Rechazar H0","No rechazar H0")</f>
        <v>No rechazar H0</v>
      </c>
      <c r="F3483" s="0" t="str">
        <f aca="false">IF(AND(B3483="H0 verdadera",E3483="Rechazar H0"),"Error tipo I",IF(AND(B3483="Ha verdadera",E3483="No rechazar H0"),"Error tipo II","Decisión correcta"))</f>
        <v>Decisión correcta</v>
      </c>
    </row>
    <row r="3484" customFormat="false" ht="15" hidden="false" customHeight="false" outlineLevel="0" collapsed="false">
      <c r="A3484" s="0" t="n">
        <v>3463</v>
      </c>
      <c r="B3484" s="0" t="s">
        <v>85</v>
      </c>
      <c r="C3484" s="17" t="n">
        <v>0.0337784660551439</v>
      </c>
      <c r="D3484" s="17" t="n">
        <f aca="false">(C3484-$B$4)/($B$6/SQRT($B$7))</f>
        <v>0.168892330275719</v>
      </c>
      <c r="E3484" s="0" t="str">
        <f aca="false">IF(OR(AND($B$9="superior",D3484&gt;$B$10),AND($B$9="inferior",D3484&lt;-$B$10)),"Rechazar H0","No rechazar H0")</f>
        <v>No rechazar H0</v>
      </c>
      <c r="F3484" s="0" t="str">
        <f aca="false">IF(AND(B3484="H0 verdadera",E3484="Rechazar H0"),"Error tipo I",IF(AND(B3484="Ha verdadera",E3484="No rechazar H0"),"Error tipo II","Decisión correcta"))</f>
        <v>Decisión correcta</v>
      </c>
    </row>
    <row r="3485" customFormat="false" ht="15" hidden="false" customHeight="false" outlineLevel="0" collapsed="false">
      <c r="A3485" s="0" t="n">
        <v>3464</v>
      </c>
      <c r="B3485" s="0" t="s">
        <v>86</v>
      </c>
      <c r="C3485" s="17" t="n">
        <v>-0.438706762272888</v>
      </c>
      <c r="D3485" s="17" t="n">
        <f aca="false">(C3485-$B$4)/($B$6/SQRT($B$7))</f>
        <v>-2.19353381136444</v>
      </c>
      <c r="E3485" s="0" t="str">
        <f aca="false">IF(OR(AND($B$9="superior",D3485&gt;$B$10),AND($B$9="inferior",D3485&lt;-$B$10)),"Rechazar H0","No rechazar H0")</f>
        <v>Rechazar H0</v>
      </c>
      <c r="F3485" s="0" t="str">
        <f aca="false">IF(AND(B3485="H0 verdadera",E3485="Rechazar H0"),"Error tipo I",IF(AND(B3485="Ha verdadera",E3485="No rechazar H0"),"Error tipo II","Decisión correcta"))</f>
        <v>Decisión correcta</v>
      </c>
    </row>
    <row r="3486" customFormat="false" ht="15" hidden="false" customHeight="false" outlineLevel="0" collapsed="false">
      <c r="A3486" s="0" t="n">
        <v>3465</v>
      </c>
      <c r="B3486" s="0" t="s">
        <v>85</v>
      </c>
      <c r="C3486" s="17" t="n">
        <v>0.168969146052632</v>
      </c>
      <c r="D3486" s="17" t="n">
        <f aca="false">(C3486-$B$4)/($B$6/SQRT($B$7))</f>
        <v>0.844845730263162</v>
      </c>
      <c r="E3486" s="0" t="str">
        <f aca="false">IF(OR(AND($B$9="superior",D3486&gt;$B$10),AND($B$9="inferior",D3486&lt;-$B$10)),"Rechazar H0","No rechazar H0")</f>
        <v>No rechazar H0</v>
      </c>
      <c r="F3486" s="0" t="str">
        <f aca="false">IF(AND(B3486="H0 verdadera",E3486="Rechazar H0"),"Error tipo I",IF(AND(B3486="Ha verdadera",E3486="No rechazar H0"),"Error tipo II","Decisión correcta"))</f>
        <v>Decisión correcta</v>
      </c>
    </row>
    <row r="3487" customFormat="false" ht="15" hidden="false" customHeight="false" outlineLevel="0" collapsed="false">
      <c r="A3487" s="0" t="n">
        <v>3466</v>
      </c>
      <c r="B3487" s="0" t="s">
        <v>85</v>
      </c>
      <c r="C3487" s="17" t="n">
        <v>0.14983410959374</v>
      </c>
      <c r="D3487" s="17" t="n">
        <f aca="false">(C3487-$B$4)/($B$6/SQRT($B$7))</f>
        <v>0.749170547968698</v>
      </c>
      <c r="E3487" s="0" t="str">
        <f aca="false">IF(OR(AND($B$9="superior",D3487&gt;$B$10),AND($B$9="inferior",D3487&lt;-$B$10)),"Rechazar H0","No rechazar H0")</f>
        <v>No rechazar H0</v>
      </c>
      <c r="F3487" s="0" t="str">
        <f aca="false">IF(AND(B3487="H0 verdadera",E3487="Rechazar H0"),"Error tipo I",IF(AND(B3487="Ha verdadera",E3487="No rechazar H0"),"Error tipo II","Decisión correcta"))</f>
        <v>Decisión correcta</v>
      </c>
    </row>
    <row r="3488" customFormat="false" ht="15" hidden="false" customHeight="false" outlineLevel="0" collapsed="false">
      <c r="A3488" s="0" t="n">
        <v>3467</v>
      </c>
      <c r="B3488" s="0" t="s">
        <v>85</v>
      </c>
      <c r="C3488" s="17" t="n">
        <v>-0.282045642362932</v>
      </c>
      <c r="D3488" s="17" t="n">
        <f aca="false">(C3488-$B$4)/($B$6/SQRT($B$7))</f>
        <v>-1.41022821181466</v>
      </c>
      <c r="E3488" s="0" t="str">
        <f aca="false">IF(OR(AND($B$9="superior",D3488&gt;$B$10),AND($B$9="inferior",D3488&lt;-$B$10)),"Rechazar H0","No rechazar H0")</f>
        <v>No rechazar H0</v>
      </c>
      <c r="F3488" s="0" t="str">
        <f aca="false">IF(AND(B3488="H0 verdadera",E3488="Rechazar H0"),"Error tipo I",IF(AND(B3488="Ha verdadera",E3488="No rechazar H0"),"Error tipo II","Decisión correcta"))</f>
        <v>Decisión correcta</v>
      </c>
    </row>
    <row r="3489" customFormat="false" ht="15" hidden="false" customHeight="false" outlineLevel="0" collapsed="false">
      <c r="A3489" s="0" t="n">
        <v>3468</v>
      </c>
      <c r="B3489" s="0" t="s">
        <v>86</v>
      </c>
      <c r="C3489" s="17" t="n">
        <v>-0.365296466744306</v>
      </c>
      <c r="D3489" s="17" t="n">
        <f aca="false">(C3489-$B$4)/($B$6/SQRT($B$7))</f>
        <v>-1.82648233372153</v>
      </c>
      <c r="E3489" s="0" t="str">
        <f aca="false">IF(OR(AND($B$9="superior",D3489&gt;$B$10),AND($B$9="inferior",D3489&lt;-$B$10)),"Rechazar H0","No rechazar H0")</f>
        <v>Rechazar H0</v>
      </c>
      <c r="F3489" s="0" t="str">
        <f aca="false">IF(AND(B3489="H0 verdadera",E3489="Rechazar H0"),"Error tipo I",IF(AND(B3489="Ha verdadera",E3489="No rechazar H0"),"Error tipo II","Decisión correcta"))</f>
        <v>Decisión correcta</v>
      </c>
    </row>
    <row r="3490" customFormat="false" ht="15" hidden="false" customHeight="false" outlineLevel="0" collapsed="false">
      <c r="A3490" s="0" t="n">
        <v>3469</v>
      </c>
      <c r="B3490" s="0" t="s">
        <v>85</v>
      </c>
      <c r="C3490" s="17" t="n">
        <v>0.169304370922944</v>
      </c>
      <c r="D3490" s="17" t="n">
        <f aca="false">(C3490-$B$4)/($B$6/SQRT($B$7))</f>
        <v>0.846521854614721</v>
      </c>
      <c r="E3490" s="0" t="str">
        <f aca="false">IF(OR(AND($B$9="superior",D3490&gt;$B$10),AND($B$9="inferior",D3490&lt;-$B$10)),"Rechazar H0","No rechazar H0")</f>
        <v>No rechazar H0</v>
      </c>
      <c r="F3490" s="0" t="str">
        <f aca="false">IF(AND(B3490="H0 verdadera",E3490="Rechazar H0"),"Error tipo I",IF(AND(B3490="Ha verdadera",E3490="No rechazar H0"),"Error tipo II","Decisión correcta"))</f>
        <v>Decisión correcta</v>
      </c>
    </row>
    <row r="3491" customFormat="false" ht="15" hidden="false" customHeight="false" outlineLevel="0" collapsed="false">
      <c r="A3491" s="0" t="n">
        <v>3470</v>
      </c>
      <c r="B3491" s="0" t="s">
        <v>85</v>
      </c>
      <c r="C3491" s="17" t="n">
        <v>0.352427752881997</v>
      </c>
      <c r="D3491" s="17" t="n">
        <f aca="false">(C3491-$B$4)/($B$6/SQRT($B$7))</f>
        <v>1.76213876440999</v>
      </c>
      <c r="E3491" s="0" t="str">
        <f aca="false">IF(OR(AND($B$9="superior",D3491&gt;$B$10),AND($B$9="inferior",D3491&lt;-$B$10)),"Rechazar H0","No rechazar H0")</f>
        <v>No rechazar H0</v>
      </c>
      <c r="F3491" s="0" t="str">
        <f aca="false">IF(AND(B3491="H0 verdadera",E3491="Rechazar H0"),"Error tipo I",IF(AND(B3491="Ha verdadera",E3491="No rechazar H0"),"Error tipo II","Decisión correcta"))</f>
        <v>Decisión correcta</v>
      </c>
    </row>
    <row r="3492" customFormat="false" ht="15" hidden="false" customHeight="false" outlineLevel="0" collapsed="false">
      <c r="A3492" s="0" t="n">
        <v>3471</v>
      </c>
      <c r="B3492" s="0" t="s">
        <v>86</v>
      </c>
      <c r="C3492" s="17" t="n">
        <v>-0.254484838871014</v>
      </c>
      <c r="D3492" s="17" t="n">
        <f aca="false">(C3492-$B$4)/($B$6/SQRT($B$7))</f>
        <v>-1.27242419435507</v>
      </c>
      <c r="E3492" s="0" t="str">
        <f aca="false">IF(OR(AND($B$9="superior",D3492&gt;$B$10),AND($B$9="inferior",D3492&lt;-$B$10)),"Rechazar H0","No rechazar H0")</f>
        <v>No rechazar H0</v>
      </c>
      <c r="F3492" s="0" t="str">
        <f aca="false">IF(AND(B3492="H0 verdadera",E3492="Rechazar H0"),"Error tipo I",IF(AND(B3492="Ha verdadera",E3492="No rechazar H0"),"Error tipo II","Decisión correcta"))</f>
        <v>Error tipo II</v>
      </c>
    </row>
    <row r="3493" customFormat="false" ht="15" hidden="false" customHeight="false" outlineLevel="0" collapsed="false">
      <c r="A3493" s="0" t="n">
        <v>3472</v>
      </c>
      <c r="B3493" s="0" t="s">
        <v>86</v>
      </c>
      <c r="C3493" s="17" t="n">
        <v>-0.46538129747043</v>
      </c>
      <c r="D3493" s="17" t="n">
        <f aca="false">(C3493-$B$4)/($B$6/SQRT($B$7))</f>
        <v>-2.32690648735215</v>
      </c>
      <c r="E3493" s="0" t="str">
        <f aca="false">IF(OR(AND($B$9="superior",D3493&gt;$B$10),AND($B$9="inferior",D3493&lt;-$B$10)),"Rechazar H0","No rechazar H0")</f>
        <v>Rechazar H0</v>
      </c>
      <c r="F3493" s="0" t="str">
        <f aca="false">IF(AND(B3493="H0 verdadera",E3493="Rechazar H0"),"Error tipo I",IF(AND(B3493="Ha verdadera",E3493="No rechazar H0"),"Error tipo II","Decisión correcta"))</f>
        <v>Decisión correcta</v>
      </c>
    </row>
    <row r="3494" customFormat="false" ht="15" hidden="false" customHeight="false" outlineLevel="0" collapsed="false">
      <c r="A3494" s="0" t="n">
        <v>3473</v>
      </c>
      <c r="B3494" s="0" t="s">
        <v>85</v>
      </c>
      <c r="C3494" s="17" t="n">
        <v>-0.12416005989387</v>
      </c>
      <c r="D3494" s="17" t="n">
        <f aca="false">(C3494-$B$4)/($B$6/SQRT($B$7))</f>
        <v>-0.620800299469348</v>
      </c>
      <c r="E3494" s="0" t="str">
        <f aca="false">IF(OR(AND($B$9="superior",D3494&gt;$B$10),AND($B$9="inferior",D3494&lt;-$B$10)),"Rechazar H0","No rechazar H0")</f>
        <v>No rechazar H0</v>
      </c>
      <c r="F3494" s="0" t="str">
        <f aca="false">IF(AND(B3494="H0 verdadera",E3494="Rechazar H0"),"Error tipo I",IF(AND(B3494="Ha verdadera",E3494="No rechazar H0"),"Error tipo II","Decisión correcta"))</f>
        <v>Decisión correcta</v>
      </c>
    </row>
    <row r="3495" customFormat="false" ht="15" hidden="false" customHeight="false" outlineLevel="0" collapsed="false">
      <c r="A3495" s="0" t="n">
        <v>3474</v>
      </c>
      <c r="B3495" s="0" t="s">
        <v>85</v>
      </c>
      <c r="C3495" s="17" t="n">
        <v>-0.453082471404241</v>
      </c>
      <c r="D3495" s="17" t="n">
        <f aca="false">(C3495-$B$4)/($B$6/SQRT($B$7))</f>
        <v>-2.2654123570212</v>
      </c>
      <c r="E3495" s="0" t="str">
        <f aca="false">IF(OR(AND($B$9="superior",D3495&gt;$B$10),AND($B$9="inferior",D3495&lt;-$B$10)),"Rechazar H0","No rechazar H0")</f>
        <v>Rechazar H0</v>
      </c>
      <c r="F3495" s="0" t="str">
        <f aca="false">IF(AND(B3495="H0 verdadera",E3495="Rechazar H0"),"Error tipo I",IF(AND(B3495="Ha verdadera",E3495="No rechazar H0"),"Error tipo II","Decisión correcta"))</f>
        <v>Error tipo I</v>
      </c>
    </row>
    <row r="3496" customFormat="false" ht="15" hidden="false" customHeight="false" outlineLevel="0" collapsed="false">
      <c r="A3496" s="0" t="n">
        <v>3475</v>
      </c>
      <c r="B3496" s="0" t="s">
        <v>86</v>
      </c>
      <c r="C3496" s="17" t="n">
        <v>-0.631328407844395</v>
      </c>
      <c r="D3496" s="17" t="n">
        <f aca="false">(C3496-$B$4)/($B$6/SQRT($B$7))</f>
        <v>-3.15664203922197</v>
      </c>
      <c r="E3496" s="0" t="str">
        <f aca="false">IF(OR(AND($B$9="superior",D3496&gt;$B$10),AND($B$9="inferior",D3496&lt;-$B$10)),"Rechazar H0","No rechazar H0")</f>
        <v>Rechazar H0</v>
      </c>
      <c r="F3496" s="0" t="str">
        <f aca="false">IF(AND(B3496="H0 verdadera",E3496="Rechazar H0"),"Error tipo I",IF(AND(B3496="Ha verdadera",E3496="No rechazar H0"),"Error tipo II","Decisión correcta"))</f>
        <v>Decisión correcta</v>
      </c>
    </row>
    <row r="3497" customFormat="false" ht="15" hidden="false" customHeight="false" outlineLevel="0" collapsed="false">
      <c r="A3497" s="0" t="n">
        <v>3476</v>
      </c>
      <c r="B3497" s="0" t="s">
        <v>85</v>
      </c>
      <c r="C3497" s="17" t="n">
        <v>-0.0298514994521752</v>
      </c>
      <c r="D3497" s="17" t="n">
        <f aca="false">(C3497-$B$4)/($B$6/SQRT($B$7))</f>
        <v>-0.149257497260876</v>
      </c>
      <c r="E3497" s="0" t="str">
        <f aca="false">IF(OR(AND($B$9="superior",D3497&gt;$B$10),AND($B$9="inferior",D3497&lt;-$B$10)),"Rechazar H0","No rechazar H0")</f>
        <v>No rechazar H0</v>
      </c>
      <c r="F3497" s="0" t="str">
        <f aca="false">IF(AND(B3497="H0 verdadera",E3497="Rechazar H0"),"Error tipo I",IF(AND(B3497="Ha verdadera",E3497="No rechazar H0"),"Error tipo II","Decisión correcta"))</f>
        <v>Decisión correcta</v>
      </c>
    </row>
    <row r="3498" customFormat="false" ht="15" hidden="false" customHeight="false" outlineLevel="0" collapsed="false">
      <c r="A3498" s="0" t="n">
        <v>3477</v>
      </c>
      <c r="B3498" s="0" t="s">
        <v>86</v>
      </c>
      <c r="C3498" s="17" t="n">
        <v>-0.582981699119598</v>
      </c>
      <c r="D3498" s="17" t="n">
        <f aca="false">(C3498-$B$4)/($B$6/SQRT($B$7))</f>
        <v>-2.91490849559799</v>
      </c>
      <c r="E3498" s="0" t="str">
        <f aca="false">IF(OR(AND($B$9="superior",D3498&gt;$B$10),AND($B$9="inferior",D3498&lt;-$B$10)),"Rechazar H0","No rechazar H0")</f>
        <v>Rechazar H0</v>
      </c>
      <c r="F3498" s="0" t="str">
        <f aca="false">IF(AND(B3498="H0 verdadera",E3498="Rechazar H0"),"Error tipo I",IF(AND(B3498="Ha verdadera",E3498="No rechazar H0"),"Error tipo II","Decisión correcta"))</f>
        <v>Decisión correcta</v>
      </c>
    </row>
    <row r="3499" customFormat="false" ht="15" hidden="false" customHeight="false" outlineLevel="0" collapsed="false">
      <c r="A3499" s="0" t="n">
        <v>3478</v>
      </c>
      <c r="B3499" s="0" t="s">
        <v>85</v>
      </c>
      <c r="C3499" s="17" t="n">
        <v>0.0468244985073049</v>
      </c>
      <c r="D3499" s="17" t="n">
        <f aca="false">(C3499-$B$4)/($B$6/SQRT($B$7))</f>
        <v>0.234122492536524</v>
      </c>
      <c r="E3499" s="0" t="str">
        <f aca="false">IF(OR(AND($B$9="superior",D3499&gt;$B$10),AND($B$9="inferior",D3499&lt;-$B$10)),"Rechazar H0","No rechazar H0")</f>
        <v>No rechazar H0</v>
      </c>
      <c r="F3499" s="0" t="str">
        <f aca="false">IF(AND(B3499="H0 verdadera",E3499="Rechazar H0"),"Error tipo I",IF(AND(B3499="Ha verdadera",E3499="No rechazar H0"),"Error tipo II","Decisión correcta"))</f>
        <v>Decisión correcta</v>
      </c>
    </row>
    <row r="3500" customFormat="false" ht="15" hidden="false" customHeight="false" outlineLevel="0" collapsed="false">
      <c r="A3500" s="0" t="n">
        <v>3479</v>
      </c>
      <c r="B3500" s="0" t="s">
        <v>86</v>
      </c>
      <c r="C3500" s="17" t="n">
        <v>0.0261251097137395</v>
      </c>
      <c r="D3500" s="17" t="n">
        <f aca="false">(C3500-$B$4)/($B$6/SQRT($B$7))</f>
        <v>0.130625548568697</v>
      </c>
      <c r="E3500" s="0" t="str">
        <f aca="false">IF(OR(AND($B$9="superior",D3500&gt;$B$10),AND($B$9="inferior",D3500&lt;-$B$10)),"Rechazar H0","No rechazar H0")</f>
        <v>No rechazar H0</v>
      </c>
      <c r="F3500" s="0" t="str">
        <f aca="false">IF(AND(B3500="H0 verdadera",E3500="Rechazar H0"),"Error tipo I",IF(AND(B3500="Ha verdadera",E3500="No rechazar H0"),"Error tipo II","Decisión correcta"))</f>
        <v>Error tipo II</v>
      </c>
    </row>
    <row r="3501" customFormat="false" ht="15" hidden="false" customHeight="false" outlineLevel="0" collapsed="false">
      <c r="A3501" s="0" t="n">
        <v>3480</v>
      </c>
      <c r="B3501" s="0" t="s">
        <v>85</v>
      </c>
      <c r="C3501" s="17" t="n">
        <v>0.097364819925015</v>
      </c>
      <c r="D3501" s="17" t="n">
        <f aca="false">(C3501-$B$4)/($B$6/SQRT($B$7))</f>
        <v>0.486824099625075</v>
      </c>
      <c r="E3501" s="0" t="str">
        <f aca="false">IF(OR(AND($B$9="superior",D3501&gt;$B$10),AND($B$9="inferior",D3501&lt;-$B$10)),"Rechazar H0","No rechazar H0")</f>
        <v>No rechazar H0</v>
      </c>
      <c r="F3501" s="0" t="str">
        <f aca="false">IF(AND(B3501="H0 verdadera",E3501="Rechazar H0"),"Error tipo I",IF(AND(B3501="Ha verdadera",E3501="No rechazar H0"),"Error tipo II","Decisión correcta"))</f>
        <v>Decisión correcta</v>
      </c>
    </row>
    <row r="3502" customFormat="false" ht="15" hidden="false" customHeight="false" outlineLevel="0" collapsed="false">
      <c r="A3502" s="0" t="n">
        <v>3481</v>
      </c>
      <c r="B3502" s="0" t="s">
        <v>85</v>
      </c>
      <c r="C3502" s="17" t="n">
        <v>0.152074526482951</v>
      </c>
      <c r="D3502" s="17" t="n">
        <f aca="false">(C3502-$B$4)/($B$6/SQRT($B$7))</f>
        <v>0.760372632414753</v>
      </c>
      <c r="E3502" s="0" t="str">
        <f aca="false">IF(OR(AND($B$9="superior",D3502&gt;$B$10),AND($B$9="inferior",D3502&lt;-$B$10)),"Rechazar H0","No rechazar H0")</f>
        <v>No rechazar H0</v>
      </c>
      <c r="F3502" s="0" t="str">
        <f aca="false">IF(AND(B3502="H0 verdadera",E3502="Rechazar H0"),"Error tipo I",IF(AND(B3502="Ha verdadera",E3502="No rechazar H0"),"Error tipo II","Decisión correcta"))</f>
        <v>Decisión correcta</v>
      </c>
    </row>
    <row r="3503" customFormat="false" ht="15" hidden="false" customHeight="false" outlineLevel="0" collapsed="false">
      <c r="A3503" s="0" t="n">
        <v>3482</v>
      </c>
      <c r="B3503" s="0" t="s">
        <v>85</v>
      </c>
      <c r="C3503" s="17" t="n">
        <v>-0.233812805020024</v>
      </c>
      <c r="D3503" s="17" t="n">
        <f aca="false">(C3503-$B$4)/($B$6/SQRT($B$7))</f>
        <v>-1.16906402510012</v>
      </c>
      <c r="E3503" s="0" t="str">
        <f aca="false">IF(OR(AND($B$9="superior",D3503&gt;$B$10),AND($B$9="inferior",D3503&lt;-$B$10)),"Rechazar H0","No rechazar H0")</f>
        <v>No rechazar H0</v>
      </c>
      <c r="F3503" s="0" t="str">
        <f aca="false">IF(AND(B3503="H0 verdadera",E3503="Rechazar H0"),"Error tipo I",IF(AND(B3503="Ha verdadera",E3503="No rechazar H0"),"Error tipo II","Decisión correcta"))</f>
        <v>Decisión correcta</v>
      </c>
    </row>
    <row r="3504" customFormat="false" ht="15" hidden="false" customHeight="false" outlineLevel="0" collapsed="false">
      <c r="A3504" s="0" t="n">
        <v>3483</v>
      </c>
      <c r="B3504" s="0" t="s">
        <v>86</v>
      </c>
      <c r="C3504" s="17" t="n">
        <v>-0.632964337805153</v>
      </c>
      <c r="D3504" s="17" t="n">
        <f aca="false">(C3504-$B$4)/($B$6/SQRT($B$7))</f>
        <v>-3.16482168902576</v>
      </c>
      <c r="E3504" s="0" t="str">
        <f aca="false">IF(OR(AND($B$9="superior",D3504&gt;$B$10),AND($B$9="inferior",D3504&lt;-$B$10)),"Rechazar H0","No rechazar H0")</f>
        <v>Rechazar H0</v>
      </c>
      <c r="F3504" s="0" t="str">
        <f aca="false">IF(AND(B3504="H0 verdadera",E3504="Rechazar H0"),"Error tipo I",IF(AND(B3504="Ha verdadera",E3504="No rechazar H0"),"Error tipo II","Decisión correcta"))</f>
        <v>Decisión correcta</v>
      </c>
    </row>
    <row r="3505" customFormat="false" ht="15" hidden="false" customHeight="false" outlineLevel="0" collapsed="false">
      <c r="A3505" s="0" t="n">
        <v>3484</v>
      </c>
      <c r="B3505" s="0" t="s">
        <v>86</v>
      </c>
      <c r="C3505" s="17" t="n">
        <v>-0.584206924941877</v>
      </c>
      <c r="D3505" s="17" t="n">
        <f aca="false">(C3505-$B$4)/($B$6/SQRT($B$7))</f>
        <v>-2.92103462470939</v>
      </c>
      <c r="E3505" s="0" t="str">
        <f aca="false">IF(OR(AND($B$9="superior",D3505&gt;$B$10),AND($B$9="inferior",D3505&lt;-$B$10)),"Rechazar H0","No rechazar H0")</f>
        <v>Rechazar H0</v>
      </c>
      <c r="F3505" s="0" t="str">
        <f aca="false">IF(AND(B3505="H0 verdadera",E3505="Rechazar H0"),"Error tipo I",IF(AND(B3505="Ha verdadera",E3505="No rechazar H0"),"Error tipo II","Decisión correcta"))</f>
        <v>Decisión correcta</v>
      </c>
    </row>
    <row r="3506" customFormat="false" ht="15" hidden="false" customHeight="false" outlineLevel="0" collapsed="false">
      <c r="A3506" s="0" t="n">
        <v>3485</v>
      </c>
      <c r="B3506" s="0" t="s">
        <v>85</v>
      </c>
      <c r="C3506" s="17" t="n">
        <v>0.0383556583016414</v>
      </c>
      <c r="D3506" s="17" t="n">
        <f aca="false">(C3506-$B$4)/($B$6/SQRT($B$7))</f>
        <v>0.191778291508207</v>
      </c>
      <c r="E3506" s="0" t="str">
        <f aca="false">IF(OR(AND($B$9="superior",D3506&gt;$B$10),AND($B$9="inferior",D3506&lt;-$B$10)),"Rechazar H0","No rechazar H0")</f>
        <v>No rechazar H0</v>
      </c>
      <c r="F3506" s="0" t="str">
        <f aca="false">IF(AND(B3506="H0 verdadera",E3506="Rechazar H0"),"Error tipo I",IF(AND(B3506="Ha verdadera",E3506="No rechazar H0"),"Error tipo II","Decisión correcta"))</f>
        <v>Decisión correcta</v>
      </c>
    </row>
    <row r="3507" customFormat="false" ht="15" hidden="false" customHeight="false" outlineLevel="0" collapsed="false">
      <c r="A3507" s="0" t="n">
        <v>3486</v>
      </c>
      <c r="B3507" s="0" t="s">
        <v>85</v>
      </c>
      <c r="C3507" s="17" t="n">
        <v>-0.0288659591734109</v>
      </c>
      <c r="D3507" s="17" t="n">
        <f aca="false">(C3507-$B$4)/($B$6/SQRT($B$7))</f>
        <v>-0.144329795867055</v>
      </c>
      <c r="E3507" s="0" t="str">
        <f aca="false">IF(OR(AND($B$9="superior",D3507&gt;$B$10),AND($B$9="inferior",D3507&lt;-$B$10)),"Rechazar H0","No rechazar H0")</f>
        <v>No rechazar H0</v>
      </c>
      <c r="F3507" s="0" t="str">
        <f aca="false">IF(AND(B3507="H0 verdadera",E3507="Rechazar H0"),"Error tipo I",IF(AND(B3507="Ha verdadera",E3507="No rechazar H0"),"Error tipo II","Decisión correcta"))</f>
        <v>Decisión correcta</v>
      </c>
    </row>
    <row r="3508" customFormat="false" ht="15" hidden="false" customHeight="false" outlineLevel="0" collapsed="false">
      <c r="A3508" s="0" t="n">
        <v>3487</v>
      </c>
      <c r="B3508" s="0" t="s">
        <v>86</v>
      </c>
      <c r="C3508" s="17" t="n">
        <v>-0.511047100422142</v>
      </c>
      <c r="D3508" s="17" t="n">
        <f aca="false">(C3508-$B$4)/($B$6/SQRT($B$7))</f>
        <v>-2.55523550211071</v>
      </c>
      <c r="E3508" s="0" t="str">
        <f aca="false">IF(OR(AND($B$9="superior",D3508&gt;$B$10),AND($B$9="inferior",D3508&lt;-$B$10)),"Rechazar H0","No rechazar H0")</f>
        <v>Rechazar H0</v>
      </c>
      <c r="F3508" s="0" t="str">
        <f aca="false">IF(AND(B3508="H0 verdadera",E3508="Rechazar H0"),"Error tipo I",IF(AND(B3508="Ha verdadera",E3508="No rechazar H0"),"Error tipo II","Decisión correcta"))</f>
        <v>Decisión correcta</v>
      </c>
    </row>
    <row r="3509" customFormat="false" ht="15" hidden="false" customHeight="false" outlineLevel="0" collapsed="false">
      <c r="A3509" s="0" t="n">
        <v>3488</v>
      </c>
      <c r="B3509" s="0" t="s">
        <v>86</v>
      </c>
      <c r="C3509" s="17" t="n">
        <v>-0.728499895120517</v>
      </c>
      <c r="D3509" s="17" t="n">
        <f aca="false">(C3509-$B$4)/($B$6/SQRT($B$7))</f>
        <v>-3.64249947560258</v>
      </c>
      <c r="E3509" s="0" t="str">
        <f aca="false">IF(OR(AND($B$9="superior",D3509&gt;$B$10),AND($B$9="inferior",D3509&lt;-$B$10)),"Rechazar H0","No rechazar H0")</f>
        <v>Rechazar H0</v>
      </c>
      <c r="F3509" s="0" t="str">
        <f aca="false">IF(AND(B3509="H0 verdadera",E3509="Rechazar H0"),"Error tipo I",IF(AND(B3509="Ha verdadera",E3509="No rechazar H0"),"Error tipo II","Decisión correcta"))</f>
        <v>Decisión correcta</v>
      </c>
    </row>
    <row r="3510" customFormat="false" ht="15" hidden="false" customHeight="false" outlineLevel="0" collapsed="false">
      <c r="A3510" s="0" t="n">
        <v>3489</v>
      </c>
      <c r="B3510" s="0" t="s">
        <v>86</v>
      </c>
      <c r="C3510" s="17" t="n">
        <v>-0.0721439803714737</v>
      </c>
      <c r="D3510" s="17" t="n">
        <f aca="false">(C3510-$B$4)/($B$6/SQRT($B$7))</f>
        <v>-0.360719901857369</v>
      </c>
      <c r="E3510" s="0" t="str">
        <f aca="false">IF(OR(AND($B$9="superior",D3510&gt;$B$10),AND($B$9="inferior",D3510&lt;-$B$10)),"Rechazar H0","No rechazar H0")</f>
        <v>No rechazar H0</v>
      </c>
      <c r="F3510" s="0" t="str">
        <f aca="false">IF(AND(B3510="H0 verdadera",E3510="Rechazar H0"),"Error tipo I",IF(AND(B3510="Ha verdadera",E3510="No rechazar H0"),"Error tipo II","Decisión correcta"))</f>
        <v>Error tipo II</v>
      </c>
    </row>
    <row r="3511" customFormat="false" ht="15" hidden="false" customHeight="false" outlineLevel="0" collapsed="false">
      <c r="A3511" s="0" t="n">
        <v>3490</v>
      </c>
      <c r="B3511" s="0" t="s">
        <v>85</v>
      </c>
      <c r="C3511" s="17" t="n">
        <v>0.0275053038964416</v>
      </c>
      <c r="D3511" s="17" t="n">
        <f aca="false">(C3511-$B$4)/($B$6/SQRT($B$7))</f>
        <v>0.137526519482208</v>
      </c>
      <c r="E3511" s="0" t="str">
        <f aca="false">IF(OR(AND($B$9="superior",D3511&gt;$B$10),AND($B$9="inferior",D3511&lt;-$B$10)),"Rechazar H0","No rechazar H0")</f>
        <v>No rechazar H0</v>
      </c>
      <c r="F3511" s="0" t="str">
        <f aca="false">IF(AND(B3511="H0 verdadera",E3511="Rechazar H0"),"Error tipo I",IF(AND(B3511="Ha verdadera",E3511="No rechazar H0"),"Error tipo II","Decisión correcta"))</f>
        <v>Decisión correcta</v>
      </c>
    </row>
    <row r="3512" customFormat="false" ht="15" hidden="false" customHeight="false" outlineLevel="0" collapsed="false">
      <c r="A3512" s="0" t="n">
        <v>3491</v>
      </c>
      <c r="B3512" s="0" t="s">
        <v>86</v>
      </c>
      <c r="C3512" s="17" t="n">
        <v>-0.263298333298931</v>
      </c>
      <c r="D3512" s="17" t="n">
        <f aca="false">(C3512-$B$4)/($B$6/SQRT($B$7))</f>
        <v>-1.31649166649466</v>
      </c>
      <c r="E3512" s="0" t="str">
        <f aca="false">IF(OR(AND($B$9="superior",D3512&gt;$B$10),AND($B$9="inferior",D3512&lt;-$B$10)),"Rechazar H0","No rechazar H0")</f>
        <v>No rechazar H0</v>
      </c>
      <c r="F3512" s="0" t="str">
        <f aca="false">IF(AND(B3512="H0 verdadera",E3512="Rechazar H0"),"Error tipo I",IF(AND(B3512="Ha verdadera",E3512="No rechazar H0"),"Error tipo II","Decisión correcta"))</f>
        <v>Error tipo II</v>
      </c>
    </row>
    <row r="3513" customFormat="false" ht="15" hidden="false" customHeight="false" outlineLevel="0" collapsed="false">
      <c r="A3513" s="0" t="n">
        <v>3492</v>
      </c>
      <c r="B3513" s="0" t="s">
        <v>86</v>
      </c>
      <c r="C3513" s="17" t="n">
        <v>-0.612356059732824</v>
      </c>
      <c r="D3513" s="17" t="n">
        <f aca="false">(C3513-$B$4)/($B$6/SQRT($B$7))</f>
        <v>-3.06178029866412</v>
      </c>
      <c r="E3513" s="0" t="str">
        <f aca="false">IF(OR(AND($B$9="superior",D3513&gt;$B$10),AND($B$9="inferior",D3513&lt;-$B$10)),"Rechazar H0","No rechazar H0")</f>
        <v>Rechazar H0</v>
      </c>
      <c r="F3513" s="0" t="str">
        <f aca="false">IF(AND(B3513="H0 verdadera",E3513="Rechazar H0"),"Error tipo I",IF(AND(B3513="Ha verdadera",E3513="No rechazar H0"),"Error tipo II","Decisión correcta"))</f>
        <v>Decisión correcta</v>
      </c>
    </row>
    <row r="3514" customFormat="false" ht="15" hidden="false" customHeight="false" outlineLevel="0" collapsed="false">
      <c r="A3514" s="0" t="n">
        <v>3493</v>
      </c>
      <c r="B3514" s="0" t="s">
        <v>86</v>
      </c>
      <c r="C3514" s="17" t="n">
        <v>-0.463206370093957</v>
      </c>
      <c r="D3514" s="17" t="n">
        <f aca="false">(C3514-$B$4)/($B$6/SQRT($B$7))</f>
        <v>-2.31603185046978</v>
      </c>
      <c r="E3514" s="0" t="str">
        <f aca="false">IF(OR(AND($B$9="superior",D3514&gt;$B$10),AND($B$9="inferior",D3514&lt;-$B$10)),"Rechazar H0","No rechazar H0")</f>
        <v>Rechazar H0</v>
      </c>
      <c r="F3514" s="0" t="str">
        <f aca="false">IF(AND(B3514="H0 verdadera",E3514="Rechazar H0"),"Error tipo I",IF(AND(B3514="Ha verdadera",E3514="No rechazar H0"),"Error tipo II","Decisión correcta"))</f>
        <v>Decisión correcta</v>
      </c>
    </row>
    <row r="3515" customFormat="false" ht="15" hidden="false" customHeight="false" outlineLevel="0" collapsed="false">
      <c r="A3515" s="0" t="n">
        <v>3494</v>
      </c>
      <c r="B3515" s="0" t="s">
        <v>85</v>
      </c>
      <c r="C3515" s="17" t="n">
        <v>0.0777462518159321</v>
      </c>
      <c r="D3515" s="17" t="n">
        <f aca="false">(C3515-$B$4)/($B$6/SQRT($B$7))</f>
        <v>0.388731259079661</v>
      </c>
      <c r="E3515" s="0" t="str">
        <f aca="false">IF(OR(AND($B$9="superior",D3515&gt;$B$10),AND($B$9="inferior",D3515&lt;-$B$10)),"Rechazar H0","No rechazar H0")</f>
        <v>No rechazar H0</v>
      </c>
      <c r="F3515" s="0" t="str">
        <f aca="false">IF(AND(B3515="H0 verdadera",E3515="Rechazar H0"),"Error tipo I",IF(AND(B3515="Ha verdadera",E3515="No rechazar H0"),"Error tipo II","Decisión correcta"))</f>
        <v>Decisión correcta</v>
      </c>
    </row>
    <row r="3516" customFormat="false" ht="15" hidden="false" customHeight="false" outlineLevel="0" collapsed="false">
      <c r="A3516" s="0" t="n">
        <v>3495</v>
      </c>
      <c r="B3516" s="0" t="s">
        <v>86</v>
      </c>
      <c r="C3516" s="17" t="n">
        <v>0.041180352276021</v>
      </c>
      <c r="D3516" s="17" t="n">
        <f aca="false">(C3516-$B$4)/($B$6/SQRT($B$7))</f>
        <v>0.205901761380105</v>
      </c>
      <c r="E3516" s="0" t="str">
        <f aca="false">IF(OR(AND($B$9="superior",D3516&gt;$B$10),AND($B$9="inferior",D3516&lt;-$B$10)),"Rechazar H0","No rechazar H0")</f>
        <v>No rechazar H0</v>
      </c>
      <c r="F3516" s="0" t="str">
        <f aca="false">IF(AND(B3516="H0 verdadera",E3516="Rechazar H0"),"Error tipo I",IF(AND(B3516="Ha verdadera",E3516="No rechazar H0"),"Error tipo II","Decisión correcta"))</f>
        <v>Error tipo II</v>
      </c>
    </row>
    <row r="3517" customFormat="false" ht="15" hidden="false" customHeight="false" outlineLevel="0" collapsed="false">
      <c r="A3517" s="0" t="n">
        <v>3496</v>
      </c>
      <c r="B3517" s="0" t="s">
        <v>85</v>
      </c>
      <c r="C3517" s="17" t="n">
        <v>-0.199256153489954</v>
      </c>
      <c r="D3517" s="17" t="n">
        <f aca="false">(C3517-$B$4)/($B$6/SQRT($B$7))</f>
        <v>-0.996280767449768</v>
      </c>
      <c r="E3517" s="0" t="str">
        <f aca="false">IF(OR(AND($B$9="superior",D3517&gt;$B$10),AND($B$9="inferior",D3517&lt;-$B$10)),"Rechazar H0","No rechazar H0")</f>
        <v>No rechazar H0</v>
      </c>
      <c r="F3517" s="0" t="str">
        <f aca="false">IF(AND(B3517="H0 verdadera",E3517="Rechazar H0"),"Error tipo I",IF(AND(B3517="Ha verdadera",E3517="No rechazar H0"),"Error tipo II","Decisión correcta"))</f>
        <v>Decisión correcta</v>
      </c>
    </row>
    <row r="3518" customFormat="false" ht="15" hidden="false" customHeight="false" outlineLevel="0" collapsed="false">
      <c r="A3518" s="0" t="n">
        <v>3497</v>
      </c>
      <c r="B3518" s="0" t="s">
        <v>86</v>
      </c>
      <c r="C3518" s="17" t="n">
        <v>-0.34002617919379</v>
      </c>
      <c r="D3518" s="17" t="n">
        <f aca="false">(C3518-$B$4)/($B$6/SQRT($B$7))</f>
        <v>-1.70013089596895</v>
      </c>
      <c r="E3518" s="0" t="str">
        <f aca="false">IF(OR(AND($B$9="superior",D3518&gt;$B$10),AND($B$9="inferior",D3518&lt;-$B$10)),"Rechazar H0","No rechazar H0")</f>
        <v>Rechazar H0</v>
      </c>
      <c r="F3518" s="0" t="str">
        <f aca="false">IF(AND(B3518="H0 verdadera",E3518="Rechazar H0"),"Error tipo I",IF(AND(B3518="Ha verdadera",E3518="No rechazar H0"),"Error tipo II","Decisión correcta"))</f>
        <v>Decisión correcta</v>
      </c>
    </row>
    <row r="3519" customFormat="false" ht="15" hidden="false" customHeight="false" outlineLevel="0" collapsed="false">
      <c r="A3519" s="0" t="n">
        <v>3498</v>
      </c>
      <c r="B3519" s="0" t="s">
        <v>86</v>
      </c>
      <c r="C3519" s="17" t="n">
        <v>-0.260177986305258</v>
      </c>
      <c r="D3519" s="17" t="n">
        <f aca="false">(C3519-$B$4)/($B$6/SQRT($B$7))</f>
        <v>-1.30088993152629</v>
      </c>
      <c r="E3519" s="0" t="str">
        <f aca="false">IF(OR(AND($B$9="superior",D3519&gt;$B$10),AND($B$9="inferior",D3519&lt;-$B$10)),"Rechazar H0","No rechazar H0")</f>
        <v>No rechazar H0</v>
      </c>
      <c r="F3519" s="0" t="str">
        <f aca="false">IF(AND(B3519="H0 verdadera",E3519="Rechazar H0"),"Error tipo I",IF(AND(B3519="Ha verdadera",E3519="No rechazar H0"),"Error tipo II","Decisión correcta"))</f>
        <v>Error tipo II</v>
      </c>
    </row>
    <row r="3520" customFormat="false" ht="15" hidden="false" customHeight="false" outlineLevel="0" collapsed="false">
      <c r="A3520" s="0" t="n">
        <v>3499</v>
      </c>
      <c r="B3520" s="0" t="s">
        <v>85</v>
      </c>
      <c r="C3520" s="17" t="n">
        <v>0.18372627159217</v>
      </c>
      <c r="D3520" s="17" t="n">
        <f aca="false">(C3520-$B$4)/($B$6/SQRT($B$7))</f>
        <v>0.918631357960848</v>
      </c>
      <c r="E3520" s="0" t="str">
        <f aca="false">IF(OR(AND($B$9="superior",D3520&gt;$B$10),AND($B$9="inferior",D3520&lt;-$B$10)),"Rechazar H0","No rechazar H0")</f>
        <v>No rechazar H0</v>
      </c>
      <c r="F3520" s="0" t="str">
        <f aca="false">IF(AND(B3520="H0 verdadera",E3520="Rechazar H0"),"Error tipo I",IF(AND(B3520="Ha verdadera",E3520="No rechazar H0"),"Error tipo II","Decisión correcta"))</f>
        <v>Decisión correcta</v>
      </c>
    </row>
    <row r="3521" customFormat="false" ht="15" hidden="false" customHeight="false" outlineLevel="0" collapsed="false">
      <c r="A3521" s="0" t="n">
        <v>3500</v>
      </c>
      <c r="B3521" s="0" t="s">
        <v>85</v>
      </c>
      <c r="C3521" s="17" t="n">
        <v>0.0422192043619734</v>
      </c>
      <c r="D3521" s="17" t="n">
        <f aca="false">(C3521-$B$4)/($B$6/SQRT($B$7))</f>
        <v>0.211096021809867</v>
      </c>
      <c r="E3521" s="0" t="str">
        <f aca="false">IF(OR(AND($B$9="superior",D3521&gt;$B$10),AND($B$9="inferior",D3521&lt;-$B$10)),"Rechazar H0","No rechazar H0")</f>
        <v>No rechazar H0</v>
      </c>
      <c r="F3521" s="0" t="str">
        <f aca="false">IF(AND(B3521="H0 verdadera",E3521="Rechazar H0"),"Error tipo I",IF(AND(B3521="Ha verdadera",E3521="No rechazar H0"),"Error tipo II","Decisión correcta"))</f>
        <v>Decisión correcta</v>
      </c>
    </row>
    <row r="3522" customFormat="false" ht="15" hidden="false" customHeight="false" outlineLevel="0" collapsed="false">
      <c r="A3522" s="0" t="n">
        <v>3501</v>
      </c>
      <c r="B3522" s="0" t="s">
        <v>85</v>
      </c>
      <c r="C3522" s="17" t="n">
        <v>0.020409884337409</v>
      </c>
      <c r="D3522" s="17" t="n">
        <f aca="false">(C3522-$B$4)/($B$6/SQRT($B$7))</f>
        <v>0.102049421687045</v>
      </c>
      <c r="E3522" s="0" t="str">
        <f aca="false">IF(OR(AND($B$9="superior",D3522&gt;$B$10),AND($B$9="inferior",D3522&lt;-$B$10)),"Rechazar H0","No rechazar H0")</f>
        <v>No rechazar H0</v>
      </c>
      <c r="F3522" s="0" t="str">
        <f aca="false">IF(AND(B3522="H0 verdadera",E3522="Rechazar H0"),"Error tipo I",IF(AND(B3522="Ha verdadera",E3522="No rechazar H0"),"Error tipo II","Decisión correcta"))</f>
        <v>Decisión correcta</v>
      </c>
    </row>
    <row r="3523" customFormat="false" ht="15" hidden="false" customHeight="false" outlineLevel="0" collapsed="false">
      <c r="A3523" s="0" t="n">
        <v>3502</v>
      </c>
      <c r="B3523" s="0" t="s">
        <v>86</v>
      </c>
      <c r="C3523" s="17" t="n">
        <v>-0.490714396781891</v>
      </c>
      <c r="D3523" s="17" t="n">
        <f aca="false">(C3523-$B$4)/($B$6/SQRT($B$7))</f>
        <v>-2.45357198390945</v>
      </c>
      <c r="E3523" s="0" t="str">
        <f aca="false">IF(OR(AND($B$9="superior",D3523&gt;$B$10),AND($B$9="inferior",D3523&lt;-$B$10)),"Rechazar H0","No rechazar H0")</f>
        <v>Rechazar H0</v>
      </c>
      <c r="F3523" s="0" t="str">
        <f aca="false">IF(AND(B3523="H0 verdadera",E3523="Rechazar H0"),"Error tipo I",IF(AND(B3523="Ha verdadera",E3523="No rechazar H0"),"Error tipo II","Decisión correcta"))</f>
        <v>Decisión correcta</v>
      </c>
    </row>
    <row r="3524" customFormat="false" ht="15" hidden="false" customHeight="false" outlineLevel="0" collapsed="false">
      <c r="A3524" s="0" t="n">
        <v>3503</v>
      </c>
      <c r="B3524" s="0" t="s">
        <v>86</v>
      </c>
      <c r="C3524" s="17" t="n">
        <v>-0.367575877684555</v>
      </c>
      <c r="D3524" s="17" t="n">
        <f aca="false">(C3524-$B$4)/($B$6/SQRT($B$7))</f>
        <v>-1.83787938842277</v>
      </c>
      <c r="E3524" s="0" t="str">
        <f aca="false">IF(OR(AND($B$9="superior",D3524&gt;$B$10),AND($B$9="inferior",D3524&lt;-$B$10)),"Rechazar H0","No rechazar H0")</f>
        <v>Rechazar H0</v>
      </c>
      <c r="F3524" s="0" t="str">
        <f aca="false">IF(AND(B3524="H0 verdadera",E3524="Rechazar H0"),"Error tipo I",IF(AND(B3524="Ha verdadera",E3524="No rechazar H0"),"Error tipo II","Decisión correcta"))</f>
        <v>Decisión correcta</v>
      </c>
    </row>
    <row r="3525" customFormat="false" ht="15" hidden="false" customHeight="false" outlineLevel="0" collapsed="false">
      <c r="A3525" s="0" t="n">
        <v>3504</v>
      </c>
      <c r="B3525" s="0" t="s">
        <v>86</v>
      </c>
      <c r="C3525" s="17" t="n">
        <v>-0.54372130579771</v>
      </c>
      <c r="D3525" s="17" t="n">
        <f aca="false">(C3525-$B$4)/($B$6/SQRT($B$7))</f>
        <v>-2.71860652898855</v>
      </c>
      <c r="E3525" s="0" t="str">
        <f aca="false">IF(OR(AND($B$9="superior",D3525&gt;$B$10),AND($B$9="inferior",D3525&lt;-$B$10)),"Rechazar H0","No rechazar H0")</f>
        <v>Rechazar H0</v>
      </c>
      <c r="F3525" s="0" t="str">
        <f aca="false">IF(AND(B3525="H0 verdadera",E3525="Rechazar H0"),"Error tipo I",IF(AND(B3525="Ha verdadera",E3525="No rechazar H0"),"Error tipo II","Decisión correcta"))</f>
        <v>Decisión correcta</v>
      </c>
    </row>
    <row r="3526" customFormat="false" ht="15" hidden="false" customHeight="false" outlineLevel="0" collapsed="false">
      <c r="A3526" s="0" t="n">
        <v>3505</v>
      </c>
      <c r="B3526" s="0" t="s">
        <v>86</v>
      </c>
      <c r="C3526" s="17" t="n">
        <v>-0.345615416761284</v>
      </c>
      <c r="D3526" s="17" t="n">
        <f aca="false">(C3526-$B$4)/($B$6/SQRT($B$7))</f>
        <v>-1.72807708380642</v>
      </c>
      <c r="E3526" s="0" t="str">
        <f aca="false">IF(OR(AND($B$9="superior",D3526&gt;$B$10),AND($B$9="inferior",D3526&lt;-$B$10)),"Rechazar H0","No rechazar H0")</f>
        <v>Rechazar H0</v>
      </c>
      <c r="F3526" s="0" t="str">
        <f aca="false">IF(AND(B3526="H0 verdadera",E3526="Rechazar H0"),"Error tipo I",IF(AND(B3526="Ha verdadera",E3526="No rechazar H0"),"Error tipo II","Decisión correcta"))</f>
        <v>Decisión correcta</v>
      </c>
    </row>
    <row r="3527" customFormat="false" ht="15" hidden="false" customHeight="false" outlineLevel="0" collapsed="false">
      <c r="A3527" s="0" t="n">
        <v>3506</v>
      </c>
      <c r="B3527" s="0" t="s">
        <v>85</v>
      </c>
      <c r="C3527" s="17" t="n">
        <v>0.164096873098284</v>
      </c>
      <c r="D3527" s="17" t="n">
        <f aca="false">(C3527-$B$4)/($B$6/SQRT($B$7))</f>
        <v>0.820484365491419</v>
      </c>
      <c r="E3527" s="0" t="str">
        <f aca="false">IF(OR(AND($B$9="superior",D3527&gt;$B$10),AND($B$9="inferior",D3527&lt;-$B$10)),"Rechazar H0","No rechazar H0")</f>
        <v>No rechazar H0</v>
      </c>
      <c r="F3527" s="0" t="str">
        <f aca="false">IF(AND(B3527="H0 verdadera",E3527="Rechazar H0"),"Error tipo I",IF(AND(B3527="Ha verdadera",E3527="No rechazar H0"),"Error tipo II","Decisión correcta"))</f>
        <v>Decisión correcta</v>
      </c>
    </row>
    <row r="3528" customFormat="false" ht="15" hidden="false" customHeight="false" outlineLevel="0" collapsed="false">
      <c r="A3528" s="0" t="n">
        <v>3507</v>
      </c>
      <c r="B3528" s="0" t="s">
        <v>86</v>
      </c>
      <c r="C3528" s="17" t="n">
        <v>-0.612409566992868</v>
      </c>
      <c r="D3528" s="17" t="n">
        <f aca="false">(C3528-$B$4)/($B$6/SQRT($B$7))</f>
        <v>-3.06204783496434</v>
      </c>
      <c r="E3528" s="0" t="str">
        <f aca="false">IF(OR(AND($B$9="superior",D3528&gt;$B$10),AND($B$9="inferior",D3528&lt;-$B$10)),"Rechazar H0","No rechazar H0")</f>
        <v>Rechazar H0</v>
      </c>
      <c r="F3528" s="0" t="str">
        <f aca="false">IF(AND(B3528="H0 verdadera",E3528="Rechazar H0"),"Error tipo I",IF(AND(B3528="Ha verdadera",E3528="No rechazar H0"),"Error tipo II","Decisión correcta"))</f>
        <v>Decisión correcta</v>
      </c>
    </row>
    <row r="3529" customFormat="false" ht="15" hidden="false" customHeight="false" outlineLevel="0" collapsed="false">
      <c r="A3529" s="0" t="n">
        <v>3508</v>
      </c>
      <c r="B3529" s="0" t="s">
        <v>85</v>
      </c>
      <c r="C3529" s="17" t="n">
        <v>0.0850501059407644</v>
      </c>
      <c r="D3529" s="17" t="n">
        <f aca="false">(C3529-$B$4)/($B$6/SQRT($B$7))</f>
        <v>0.425250529703822</v>
      </c>
      <c r="E3529" s="0" t="str">
        <f aca="false">IF(OR(AND($B$9="superior",D3529&gt;$B$10),AND($B$9="inferior",D3529&lt;-$B$10)),"Rechazar H0","No rechazar H0")</f>
        <v>No rechazar H0</v>
      </c>
      <c r="F3529" s="0" t="str">
        <f aca="false">IF(AND(B3529="H0 verdadera",E3529="Rechazar H0"),"Error tipo I",IF(AND(B3529="Ha verdadera",E3529="No rechazar H0"),"Error tipo II","Decisión correcta"))</f>
        <v>Decisión correcta</v>
      </c>
    </row>
    <row r="3530" customFormat="false" ht="15" hidden="false" customHeight="false" outlineLevel="0" collapsed="false">
      <c r="A3530" s="0" t="n">
        <v>3509</v>
      </c>
      <c r="B3530" s="0" t="s">
        <v>85</v>
      </c>
      <c r="C3530" s="17" t="n">
        <v>0.0631806877649245</v>
      </c>
      <c r="D3530" s="17" t="n">
        <f aca="false">(C3530-$B$4)/($B$6/SQRT($B$7))</f>
        <v>0.315903438824623</v>
      </c>
      <c r="E3530" s="0" t="str">
        <f aca="false">IF(OR(AND($B$9="superior",D3530&gt;$B$10),AND($B$9="inferior",D3530&lt;-$B$10)),"Rechazar H0","No rechazar H0")</f>
        <v>No rechazar H0</v>
      </c>
      <c r="F3530" s="0" t="str">
        <f aca="false">IF(AND(B3530="H0 verdadera",E3530="Rechazar H0"),"Error tipo I",IF(AND(B3530="Ha verdadera",E3530="No rechazar H0"),"Error tipo II","Decisión correcta"))</f>
        <v>Decisión correcta</v>
      </c>
    </row>
    <row r="3531" customFormat="false" ht="15" hidden="false" customHeight="false" outlineLevel="0" collapsed="false">
      <c r="A3531" s="0" t="n">
        <v>3510</v>
      </c>
      <c r="B3531" s="0" t="s">
        <v>85</v>
      </c>
      <c r="C3531" s="17" t="n">
        <v>0.0385833625363208</v>
      </c>
      <c r="D3531" s="17" t="n">
        <f aca="false">(C3531-$B$4)/($B$6/SQRT($B$7))</f>
        <v>0.192916812681604</v>
      </c>
      <c r="E3531" s="0" t="str">
        <f aca="false">IF(OR(AND($B$9="superior",D3531&gt;$B$10),AND($B$9="inferior",D3531&lt;-$B$10)),"Rechazar H0","No rechazar H0")</f>
        <v>No rechazar H0</v>
      </c>
      <c r="F3531" s="0" t="str">
        <f aca="false">IF(AND(B3531="H0 verdadera",E3531="Rechazar H0"),"Error tipo I",IF(AND(B3531="Ha verdadera",E3531="No rechazar H0"),"Error tipo II","Decisión correcta"))</f>
        <v>Decisión correcta</v>
      </c>
    </row>
    <row r="3532" customFormat="false" ht="15" hidden="false" customHeight="false" outlineLevel="0" collapsed="false">
      <c r="A3532" s="0" t="n">
        <v>3511</v>
      </c>
      <c r="B3532" s="0" t="s">
        <v>86</v>
      </c>
      <c r="C3532" s="17" t="n">
        <v>-0.316198857990017</v>
      </c>
      <c r="D3532" s="17" t="n">
        <f aca="false">(C3532-$B$4)/($B$6/SQRT($B$7))</f>
        <v>-1.58099428995008</v>
      </c>
      <c r="E3532" s="0" t="str">
        <f aca="false">IF(OR(AND($B$9="superior",D3532&gt;$B$10),AND($B$9="inferior",D3532&lt;-$B$10)),"Rechazar H0","No rechazar H0")</f>
        <v>No rechazar H0</v>
      </c>
      <c r="F3532" s="0" t="str">
        <f aca="false">IF(AND(B3532="H0 verdadera",E3532="Rechazar H0"),"Error tipo I",IF(AND(B3532="Ha verdadera",E3532="No rechazar H0"),"Error tipo II","Decisión correcta"))</f>
        <v>Error tipo II</v>
      </c>
    </row>
    <row r="3533" customFormat="false" ht="15" hidden="false" customHeight="false" outlineLevel="0" collapsed="false">
      <c r="A3533" s="0" t="n">
        <v>3512</v>
      </c>
      <c r="B3533" s="0" t="s">
        <v>86</v>
      </c>
      <c r="C3533" s="17" t="n">
        <v>-0.125346868226488</v>
      </c>
      <c r="D3533" s="17" t="n">
        <f aca="false">(C3533-$B$4)/($B$6/SQRT($B$7))</f>
        <v>-0.626734341132441</v>
      </c>
      <c r="E3533" s="0" t="str">
        <f aca="false">IF(OR(AND($B$9="superior",D3533&gt;$B$10),AND($B$9="inferior",D3533&lt;-$B$10)),"Rechazar H0","No rechazar H0")</f>
        <v>No rechazar H0</v>
      </c>
      <c r="F3533" s="0" t="str">
        <f aca="false">IF(AND(B3533="H0 verdadera",E3533="Rechazar H0"),"Error tipo I",IF(AND(B3533="Ha verdadera",E3533="No rechazar H0"),"Error tipo II","Decisión correcta"))</f>
        <v>Error tipo II</v>
      </c>
    </row>
    <row r="3534" customFormat="false" ht="15" hidden="false" customHeight="false" outlineLevel="0" collapsed="false">
      <c r="A3534" s="0" t="n">
        <v>3513</v>
      </c>
      <c r="B3534" s="0" t="s">
        <v>86</v>
      </c>
      <c r="C3534" s="17" t="n">
        <v>-0.344925071278</v>
      </c>
      <c r="D3534" s="17" t="n">
        <f aca="false">(C3534-$B$4)/($B$6/SQRT($B$7))</f>
        <v>-1.72462535639</v>
      </c>
      <c r="E3534" s="0" t="str">
        <f aca="false">IF(OR(AND($B$9="superior",D3534&gt;$B$10),AND($B$9="inferior",D3534&lt;-$B$10)),"Rechazar H0","No rechazar H0")</f>
        <v>Rechazar H0</v>
      </c>
      <c r="F3534" s="0" t="str">
        <f aca="false">IF(AND(B3534="H0 verdadera",E3534="Rechazar H0"),"Error tipo I",IF(AND(B3534="Ha verdadera",E3534="No rechazar H0"),"Error tipo II","Decisión correcta"))</f>
        <v>Decisión correcta</v>
      </c>
    </row>
    <row r="3535" customFormat="false" ht="15" hidden="false" customHeight="false" outlineLevel="0" collapsed="false">
      <c r="A3535" s="0" t="n">
        <v>3514</v>
      </c>
      <c r="B3535" s="0" t="s">
        <v>85</v>
      </c>
      <c r="C3535" s="17" t="n">
        <v>-0.265587794914076</v>
      </c>
      <c r="D3535" s="17" t="n">
        <f aca="false">(C3535-$B$4)/($B$6/SQRT($B$7))</f>
        <v>-1.32793897457038</v>
      </c>
      <c r="E3535" s="0" t="str">
        <f aca="false">IF(OR(AND($B$9="superior",D3535&gt;$B$10),AND($B$9="inferior",D3535&lt;-$B$10)),"Rechazar H0","No rechazar H0")</f>
        <v>No rechazar H0</v>
      </c>
      <c r="F3535" s="0" t="str">
        <f aca="false">IF(AND(B3535="H0 verdadera",E3535="Rechazar H0"),"Error tipo I",IF(AND(B3535="Ha verdadera",E3535="No rechazar H0"),"Error tipo II","Decisión correcta"))</f>
        <v>Decisión correcta</v>
      </c>
    </row>
    <row r="3536" customFormat="false" ht="15" hidden="false" customHeight="false" outlineLevel="0" collapsed="false">
      <c r="A3536" s="0" t="n">
        <v>3515</v>
      </c>
      <c r="B3536" s="0" t="s">
        <v>86</v>
      </c>
      <c r="C3536" s="17" t="n">
        <v>-0.476814068392777</v>
      </c>
      <c r="D3536" s="17" t="n">
        <f aca="false">(C3536-$B$4)/($B$6/SQRT($B$7))</f>
        <v>-2.38407034196389</v>
      </c>
      <c r="E3536" s="0" t="str">
        <f aca="false">IF(OR(AND($B$9="superior",D3536&gt;$B$10),AND($B$9="inferior",D3536&lt;-$B$10)),"Rechazar H0","No rechazar H0")</f>
        <v>Rechazar H0</v>
      </c>
      <c r="F3536" s="0" t="str">
        <f aca="false">IF(AND(B3536="H0 verdadera",E3536="Rechazar H0"),"Error tipo I",IF(AND(B3536="Ha verdadera",E3536="No rechazar H0"),"Error tipo II","Decisión correcta"))</f>
        <v>Decisión correcta</v>
      </c>
    </row>
    <row r="3537" customFormat="false" ht="15" hidden="false" customHeight="false" outlineLevel="0" collapsed="false">
      <c r="A3537" s="0" t="n">
        <v>3516</v>
      </c>
      <c r="B3537" s="0" t="s">
        <v>85</v>
      </c>
      <c r="C3537" s="17" t="n">
        <v>0.321713279648091</v>
      </c>
      <c r="D3537" s="17" t="n">
        <f aca="false">(C3537-$B$4)/($B$6/SQRT($B$7))</f>
        <v>1.60856639824045</v>
      </c>
      <c r="E3537" s="0" t="str">
        <f aca="false">IF(OR(AND($B$9="superior",D3537&gt;$B$10),AND($B$9="inferior",D3537&lt;-$B$10)),"Rechazar H0","No rechazar H0")</f>
        <v>No rechazar H0</v>
      </c>
      <c r="F3537" s="0" t="str">
        <f aca="false">IF(AND(B3537="H0 verdadera",E3537="Rechazar H0"),"Error tipo I",IF(AND(B3537="Ha verdadera",E3537="No rechazar H0"),"Error tipo II","Decisión correcta"))</f>
        <v>Decisión correcta</v>
      </c>
    </row>
    <row r="3538" customFormat="false" ht="15" hidden="false" customHeight="false" outlineLevel="0" collapsed="false">
      <c r="A3538" s="0" t="n">
        <v>3517</v>
      </c>
      <c r="B3538" s="0" t="s">
        <v>86</v>
      </c>
      <c r="C3538" s="17" t="n">
        <v>-0.480060125565238</v>
      </c>
      <c r="D3538" s="17" t="n">
        <f aca="false">(C3538-$B$4)/($B$6/SQRT($B$7))</f>
        <v>-2.40030062782619</v>
      </c>
      <c r="E3538" s="0" t="str">
        <f aca="false">IF(OR(AND($B$9="superior",D3538&gt;$B$10),AND($B$9="inferior",D3538&lt;-$B$10)),"Rechazar H0","No rechazar H0")</f>
        <v>Rechazar H0</v>
      </c>
      <c r="F3538" s="0" t="str">
        <f aca="false">IF(AND(B3538="H0 verdadera",E3538="Rechazar H0"),"Error tipo I",IF(AND(B3538="Ha verdadera",E3538="No rechazar H0"),"Error tipo II","Decisión correcta"))</f>
        <v>Decisión correcta</v>
      </c>
    </row>
    <row r="3539" customFormat="false" ht="15" hidden="false" customHeight="false" outlineLevel="0" collapsed="false">
      <c r="A3539" s="0" t="n">
        <v>3518</v>
      </c>
      <c r="B3539" s="0" t="s">
        <v>86</v>
      </c>
      <c r="C3539" s="17" t="n">
        <v>-0.475993552025199</v>
      </c>
      <c r="D3539" s="17" t="n">
        <f aca="false">(C3539-$B$4)/($B$6/SQRT($B$7))</f>
        <v>-2.379967760126</v>
      </c>
      <c r="E3539" s="0" t="str">
        <f aca="false">IF(OR(AND($B$9="superior",D3539&gt;$B$10),AND($B$9="inferior",D3539&lt;-$B$10)),"Rechazar H0","No rechazar H0")</f>
        <v>Rechazar H0</v>
      </c>
      <c r="F3539" s="0" t="str">
        <f aca="false">IF(AND(B3539="H0 verdadera",E3539="Rechazar H0"),"Error tipo I",IF(AND(B3539="Ha verdadera",E3539="No rechazar H0"),"Error tipo II","Decisión correcta"))</f>
        <v>Decisión correcta</v>
      </c>
    </row>
    <row r="3540" customFormat="false" ht="15" hidden="false" customHeight="false" outlineLevel="0" collapsed="false">
      <c r="A3540" s="0" t="n">
        <v>3519</v>
      </c>
      <c r="B3540" s="0" t="s">
        <v>85</v>
      </c>
      <c r="C3540" s="17" t="n">
        <v>-0.0644811623277516</v>
      </c>
      <c r="D3540" s="17" t="n">
        <f aca="false">(C3540-$B$4)/($B$6/SQRT($B$7))</f>
        <v>-0.322405811638758</v>
      </c>
      <c r="E3540" s="0" t="str">
        <f aca="false">IF(OR(AND($B$9="superior",D3540&gt;$B$10),AND($B$9="inferior",D3540&lt;-$B$10)),"Rechazar H0","No rechazar H0")</f>
        <v>No rechazar H0</v>
      </c>
      <c r="F3540" s="0" t="str">
        <f aca="false">IF(AND(B3540="H0 verdadera",E3540="Rechazar H0"),"Error tipo I",IF(AND(B3540="Ha verdadera",E3540="No rechazar H0"),"Error tipo II","Decisión correcta"))</f>
        <v>Decisión correcta</v>
      </c>
    </row>
    <row r="3541" customFormat="false" ht="15" hidden="false" customHeight="false" outlineLevel="0" collapsed="false">
      <c r="A3541" s="0" t="n">
        <v>3520</v>
      </c>
      <c r="B3541" s="0" t="s">
        <v>85</v>
      </c>
      <c r="C3541" s="17" t="n">
        <v>0.313500578692994</v>
      </c>
      <c r="D3541" s="17" t="n">
        <f aca="false">(C3541-$B$4)/($B$6/SQRT($B$7))</f>
        <v>1.56750289346497</v>
      </c>
      <c r="E3541" s="0" t="str">
        <f aca="false">IF(OR(AND($B$9="superior",D3541&gt;$B$10),AND($B$9="inferior",D3541&lt;-$B$10)),"Rechazar H0","No rechazar H0")</f>
        <v>No rechazar H0</v>
      </c>
      <c r="F3541" s="0" t="str">
        <f aca="false">IF(AND(B3541="H0 verdadera",E3541="Rechazar H0"),"Error tipo I",IF(AND(B3541="Ha verdadera",E3541="No rechazar H0"),"Error tipo II","Decisión correcta"))</f>
        <v>Decisión correcta</v>
      </c>
    </row>
    <row r="3542" customFormat="false" ht="15" hidden="false" customHeight="false" outlineLevel="0" collapsed="false">
      <c r="A3542" s="0" t="n">
        <v>3521</v>
      </c>
      <c r="B3542" s="0" t="s">
        <v>85</v>
      </c>
      <c r="C3542" s="17" t="n">
        <v>0.40365724988791</v>
      </c>
      <c r="D3542" s="17" t="n">
        <f aca="false">(C3542-$B$4)/($B$6/SQRT($B$7))</f>
        <v>2.01828624943955</v>
      </c>
      <c r="E3542" s="0" t="str">
        <f aca="false">IF(OR(AND($B$9="superior",D3542&gt;$B$10),AND($B$9="inferior",D3542&lt;-$B$10)),"Rechazar H0","No rechazar H0")</f>
        <v>No rechazar H0</v>
      </c>
      <c r="F3542" s="0" t="str">
        <f aca="false">IF(AND(B3542="H0 verdadera",E3542="Rechazar H0"),"Error tipo I",IF(AND(B3542="Ha verdadera",E3542="No rechazar H0"),"Error tipo II","Decisión correcta"))</f>
        <v>Decisión correcta</v>
      </c>
    </row>
    <row r="3543" customFormat="false" ht="15" hidden="false" customHeight="false" outlineLevel="0" collapsed="false">
      <c r="A3543" s="0" t="n">
        <v>3522</v>
      </c>
      <c r="B3543" s="0" t="s">
        <v>86</v>
      </c>
      <c r="C3543" s="17" t="n">
        <v>-0.131616062107739</v>
      </c>
      <c r="D3543" s="17" t="n">
        <f aca="false">(C3543-$B$4)/($B$6/SQRT($B$7))</f>
        <v>-0.658080310538694</v>
      </c>
      <c r="E3543" s="0" t="str">
        <f aca="false">IF(OR(AND($B$9="superior",D3543&gt;$B$10),AND($B$9="inferior",D3543&lt;-$B$10)),"Rechazar H0","No rechazar H0")</f>
        <v>No rechazar H0</v>
      </c>
      <c r="F3543" s="0" t="str">
        <f aca="false">IF(AND(B3543="H0 verdadera",E3543="Rechazar H0"),"Error tipo I",IF(AND(B3543="Ha verdadera",E3543="No rechazar H0"),"Error tipo II","Decisión correcta"))</f>
        <v>Error tipo II</v>
      </c>
    </row>
    <row r="3544" customFormat="false" ht="15" hidden="false" customHeight="false" outlineLevel="0" collapsed="false">
      <c r="A3544" s="0" t="n">
        <v>3523</v>
      </c>
      <c r="B3544" s="0" t="s">
        <v>86</v>
      </c>
      <c r="C3544" s="17" t="n">
        <v>-0.63091528082931</v>
      </c>
      <c r="D3544" s="17" t="n">
        <f aca="false">(C3544-$B$4)/($B$6/SQRT($B$7))</f>
        <v>-3.15457640414655</v>
      </c>
      <c r="E3544" s="0" t="str">
        <f aca="false">IF(OR(AND($B$9="superior",D3544&gt;$B$10),AND($B$9="inferior",D3544&lt;-$B$10)),"Rechazar H0","No rechazar H0")</f>
        <v>Rechazar H0</v>
      </c>
      <c r="F3544" s="0" t="str">
        <f aca="false">IF(AND(B3544="H0 verdadera",E3544="Rechazar H0"),"Error tipo I",IF(AND(B3544="Ha verdadera",E3544="No rechazar H0"),"Error tipo II","Decisión correcta"))</f>
        <v>Decisión correcta</v>
      </c>
    </row>
    <row r="3545" customFormat="false" ht="15" hidden="false" customHeight="false" outlineLevel="0" collapsed="false">
      <c r="A3545" s="0" t="n">
        <v>3524</v>
      </c>
      <c r="B3545" s="0" t="s">
        <v>85</v>
      </c>
      <c r="C3545" s="17" t="n">
        <v>-0.203708595152873</v>
      </c>
      <c r="D3545" s="17" t="n">
        <f aca="false">(C3545-$B$4)/($B$6/SQRT($B$7))</f>
        <v>-1.01854297576437</v>
      </c>
      <c r="E3545" s="0" t="str">
        <f aca="false">IF(OR(AND($B$9="superior",D3545&gt;$B$10),AND($B$9="inferior",D3545&lt;-$B$10)),"Rechazar H0","No rechazar H0")</f>
        <v>No rechazar H0</v>
      </c>
      <c r="F3545" s="0" t="str">
        <f aca="false">IF(AND(B3545="H0 verdadera",E3545="Rechazar H0"),"Error tipo I",IF(AND(B3545="Ha verdadera",E3545="No rechazar H0"),"Error tipo II","Decisión correcta"))</f>
        <v>Decisión correcta</v>
      </c>
    </row>
    <row r="3546" customFormat="false" ht="15" hidden="false" customHeight="false" outlineLevel="0" collapsed="false">
      <c r="A3546" s="0" t="n">
        <v>3525</v>
      </c>
      <c r="B3546" s="0" t="s">
        <v>85</v>
      </c>
      <c r="C3546" s="17" t="n">
        <v>0.1988995232402</v>
      </c>
      <c r="D3546" s="17" t="n">
        <f aca="false">(C3546-$B$4)/($B$6/SQRT($B$7))</f>
        <v>0.994497616200998</v>
      </c>
      <c r="E3546" s="0" t="str">
        <f aca="false">IF(OR(AND($B$9="superior",D3546&gt;$B$10),AND($B$9="inferior",D3546&lt;-$B$10)),"Rechazar H0","No rechazar H0")</f>
        <v>No rechazar H0</v>
      </c>
      <c r="F3546" s="0" t="str">
        <f aca="false">IF(AND(B3546="H0 verdadera",E3546="Rechazar H0"),"Error tipo I",IF(AND(B3546="Ha verdadera",E3546="No rechazar H0"),"Error tipo II","Decisión correcta"))</f>
        <v>Decisión correcta</v>
      </c>
    </row>
    <row r="3547" customFormat="false" ht="15" hidden="false" customHeight="false" outlineLevel="0" collapsed="false">
      <c r="A3547" s="0" t="n">
        <v>3526</v>
      </c>
      <c r="B3547" s="0" t="s">
        <v>86</v>
      </c>
      <c r="C3547" s="17" t="n">
        <v>-0.351435246800212</v>
      </c>
      <c r="D3547" s="17" t="n">
        <f aca="false">(C3547-$B$4)/($B$6/SQRT($B$7))</f>
        <v>-1.75717623400106</v>
      </c>
      <c r="E3547" s="0" t="str">
        <f aca="false">IF(OR(AND($B$9="superior",D3547&gt;$B$10),AND($B$9="inferior",D3547&lt;-$B$10)),"Rechazar H0","No rechazar H0")</f>
        <v>Rechazar H0</v>
      </c>
      <c r="F3547" s="0" t="str">
        <f aca="false">IF(AND(B3547="H0 verdadera",E3547="Rechazar H0"),"Error tipo I",IF(AND(B3547="Ha verdadera",E3547="No rechazar H0"),"Error tipo II","Decisión correcta"))</f>
        <v>Decisión correcta</v>
      </c>
    </row>
    <row r="3548" customFormat="false" ht="15" hidden="false" customHeight="false" outlineLevel="0" collapsed="false">
      <c r="A3548" s="0" t="n">
        <v>3527</v>
      </c>
      <c r="B3548" s="0" t="s">
        <v>85</v>
      </c>
      <c r="C3548" s="17" t="n">
        <v>0.0629682418819218</v>
      </c>
      <c r="D3548" s="17" t="n">
        <f aca="false">(C3548-$B$4)/($B$6/SQRT($B$7))</f>
        <v>0.314841209409609</v>
      </c>
      <c r="E3548" s="0" t="str">
        <f aca="false">IF(OR(AND($B$9="superior",D3548&gt;$B$10),AND($B$9="inferior",D3548&lt;-$B$10)),"Rechazar H0","No rechazar H0")</f>
        <v>No rechazar H0</v>
      </c>
      <c r="F3548" s="0" t="str">
        <f aca="false">IF(AND(B3548="H0 verdadera",E3548="Rechazar H0"),"Error tipo I",IF(AND(B3548="Ha verdadera",E3548="No rechazar H0"),"Error tipo II","Decisión correcta"))</f>
        <v>Decisión correcta</v>
      </c>
    </row>
    <row r="3549" customFormat="false" ht="15" hidden="false" customHeight="false" outlineLevel="0" collapsed="false">
      <c r="A3549" s="0" t="n">
        <v>3528</v>
      </c>
      <c r="B3549" s="0" t="s">
        <v>86</v>
      </c>
      <c r="C3549" s="17" t="n">
        <v>-0.322901398987909</v>
      </c>
      <c r="D3549" s="17" t="n">
        <f aca="false">(C3549-$B$4)/($B$6/SQRT($B$7))</f>
        <v>-1.61450699493954</v>
      </c>
      <c r="E3549" s="0" t="str">
        <f aca="false">IF(OR(AND($B$9="superior",D3549&gt;$B$10),AND($B$9="inferior",D3549&lt;-$B$10)),"Rechazar H0","No rechazar H0")</f>
        <v>No rechazar H0</v>
      </c>
      <c r="F3549" s="0" t="str">
        <f aca="false">IF(AND(B3549="H0 verdadera",E3549="Rechazar H0"),"Error tipo I",IF(AND(B3549="Ha verdadera",E3549="No rechazar H0"),"Error tipo II","Decisión correcta"))</f>
        <v>Error tipo II</v>
      </c>
    </row>
    <row r="3550" customFormat="false" ht="15" hidden="false" customHeight="false" outlineLevel="0" collapsed="false">
      <c r="A3550" s="0" t="n">
        <v>3529</v>
      </c>
      <c r="B3550" s="0" t="s">
        <v>86</v>
      </c>
      <c r="C3550" s="17" t="n">
        <v>0.0583208281393266</v>
      </c>
      <c r="D3550" s="17" t="n">
        <f aca="false">(C3550-$B$4)/($B$6/SQRT($B$7))</f>
        <v>0.291604140696633</v>
      </c>
      <c r="E3550" s="0" t="str">
        <f aca="false">IF(OR(AND($B$9="superior",D3550&gt;$B$10),AND($B$9="inferior",D3550&lt;-$B$10)),"Rechazar H0","No rechazar H0")</f>
        <v>No rechazar H0</v>
      </c>
      <c r="F3550" s="0" t="str">
        <f aca="false">IF(AND(B3550="H0 verdadera",E3550="Rechazar H0"),"Error tipo I",IF(AND(B3550="Ha verdadera",E3550="No rechazar H0"),"Error tipo II","Decisión correcta"))</f>
        <v>Error tipo II</v>
      </c>
    </row>
    <row r="3551" customFormat="false" ht="15" hidden="false" customHeight="false" outlineLevel="0" collapsed="false">
      <c r="A3551" s="0" t="n">
        <v>3530</v>
      </c>
      <c r="B3551" s="0" t="s">
        <v>86</v>
      </c>
      <c r="C3551" s="17" t="n">
        <v>-0.511934639573409</v>
      </c>
      <c r="D3551" s="17" t="n">
        <f aca="false">(C3551-$B$4)/($B$6/SQRT($B$7))</f>
        <v>-2.55967319786704</v>
      </c>
      <c r="E3551" s="0" t="str">
        <f aca="false">IF(OR(AND($B$9="superior",D3551&gt;$B$10),AND($B$9="inferior",D3551&lt;-$B$10)),"Rechazar H0","No rechazar H0")</f>
        <v>Rechazar H0</v>
      </c>
      <c r="F3551" s="0" t="str">
        <f aca="false">IF(AND(B3551="H0 verdadera",E3551="Rechazar H0"),"Error tipo I",IF(AND(B3551="Ha verdadera",E3551="No rechazar H0"),"Error tipo II","Decisión correcta"))</f>
        <v>Decisión correcta</v>
      </c>
    </row>
    <row r="3552" customFormat="false" ht="15" hidden="false" customHeight="false" outlineLevel="0" collapsed="false">
      <c r="A3552" s="0" t="n">
        <v>3531</v>
      </c>
      <c r="B3552" s="0" t="s">
        <v>86</v>
      </c>
      <c r="C3552" s="17" t="n">
        <v>-0.513692803460141</v>
      </c>
      <c r="D3552" s="17" t="n">
        <f aca="false">(C3552-$B$4)/($B$6/SQRT($B$7))</f>
        <v>-2.56846401730071</v>
      </c>
      <c r="E3552" s="0" t="str">
        <f aca="false">IF(OR(AND($B$9="superior",D3552&gt;$B$10),AND($B$9="inferior",D3552&lt;-$B$10)),"Rechazar H0","No rechazar H0")</f>
        <v>Rechazar H0</v>
      </c>
      <c r="F3552" s="0" t="str">
        <f aca="false">IF(AND(B3552="H0 verdadera",E3552="Rechazar H0"),"Error tipo I",IF(AND(B3552="Ha verdadera",E3552="No rechazar H0"),"Error tipo II","Decisión correcta"))</f>
        <v>Decisión correcta</v>
      </c>
    </row>
    <row r="3553" customFormat="false" ht="15" hidden="false" customHeight="false" outlineLevel="0" collapsed="false">
      <c r="A3553" s="0" t="n">
        <v>3532</v>
      </c>
      <c r="B3553" s="0" t="s">
        <v>85</v>
      </c>
      <c r="C3553" s="17" t="n">
        <v>-0.364171875869526</v>
      </c>
      <c r="D3553" s="17" t="n">
        <f aca="false">(C3553-$B$4)/($B$6/SQRT($B$7))</f>
        <v>-1.82085937934763</v>
      </c>
      <c r="E3553" s="0" t="str">
        <f aca="false">IF(OR(AND($B$9="superior",D3553&gt;$B$10),AND($B$9="inferior",D3553&lt;-$B$10)),"Rechazar H0","No rechazar H0")</f>
        <v>Rechazar H0</v>
      </c>
      <c r="F3553" s="0" t="str">
        <f aca="false">IF(AND(B3553="H0 verdadera",E3553="Rechazar H0"),"Error tipo I",IF(AND(B3553="Ha verdadera",E3553="No rechazar H0"),"Error tipo II","Decisión correcta"))</f>
        <v>Error tipo I</v>
      </c>
    </row>
    <row r="3554" customFormat="false" ht="15" hidden="false" customHeight="false" outlineLevel="0" collapsed="false">
      <c r="A3554" s="0" t="n">
        <v>3533</v>
      </c>
      <c r="B3554" s="0" t="s">
        <v>86</v>
      </c>
      <c r="C3554" s="17" t="n">
        <v>-0.280987243730007</v>
      </c>
      <c r="D3554" s="17" t="n">
        <f aca="false">(C3554-$B$4)/($B$6/SQRT($B$7))</f>
        <v>-1.40493621865003</v>
      </c>
      <c r="E3554" s="0" t="str">
        <f aca="false">IF(OR(AND($B$9="superior",D3554&gt;$B$10),AND($B$9="inferior",D3554&lt;-$B$10)),"Rechazar H0","No rechazar H0")</f>
        <v>No rechazar H0</v>
      </c>
      <c r="F3554" s="0" t="str">
        <f aca="false">IF(AND(B3554="H0 verdadera",E3554="Rechazar H0"),"Error tipo I",IF(AND(B3554="Ha verdadera",E3554="No rechazar H0"),"Error tipo II","Decisión correcta"))</f>
        <v>Error tipo II</v>
      </c>
    </row>
    <row r="3555" customFormat="false" ht="15" hidden="false" customHeight="false" outlineLevel="0" collapsed="false">
      <c r="A3555" s="0" t="n">
        <v>3534</v>
      </c>
      <c r="B3555" s="0" t="s">
        <v>86</v>
      </c>
      <c r="C3555" s="17" t="n">
        <v>-0.441195940804065</v>
      </c>
      <c r="D3555" s="17" t="n">
        <f aca="false">(C3555-$B$4)/($B$6/SQRT($B$7))</f>
        <v>-2.20597970402033</v>
      </c>
      <c r="E3555" s="0" t="str">
        <f aca="false">IF(OR(AND($B$9="superior",D3555&gt;$B$10),AND($B$9="inferior",D3555&lt;-$B$10)),"Rechazar H0","No rechazar H0")</f>
        <v>Rechazar H0</v>
      </c>
      <c r="F3555" s="0" t="str">
        <f aca="false">IF(AND(B3555="H0 verdadera",E3555="Rechazar H0"),"Error tipo I",IF(AND(B3555="Ha verdadera",E3555="No rechazar H0"),"Error tipo II","Decisión correcta"))</f>
        <v>Decisión correcta</v>
      </c>
    </row>
    <row r="3556" customFormat="false" ht="15" hidden="false" customHeight="false" outlineLevel="0" collapsed="false">
      <c r="A3556" s="0" t="n">
        <v>3535</v>
      </c>
      <c r="B3556" s="0" t="s">
        <v>86</v>
      </c>
      <c r="C3556" s="17" t="n">
        <v>-0.103228781220336</v>
      </c>
      <c r="D3556" s="17" t="n">
        <f aca="false">(C3556-$B$4)/($B$6/SQRT($B$7))</f>
        <v>-0.516143906101678</v>
      </c>
      <c r="E3556" s="0" t="str">
        <f aca="false">IF(OR(AND($B$9="superior",D3556&gt;$B$10),AND($B$9="inferior",D3556&lt;-$B$10)),"Rechazar H0","No rechazar H0")</f>
        <v>No rechazar H0</v>
      </c>
      <c r="F3556" s="0" t="str">
        <f aca="false">IF(AND(B3556="H0 verdadera",E3556="Rechazar H0"),"Error tipo I",IF(AND(B3556="Ha verdadera",E3556="No rechazar H0"),"Error tipo II","Decisión correcta"))</f>
        <v>Error tipo II</v>
      </c>
    </row>
    <row r="3557" customFormat="false" ht="15" hidden="false" customHeight="false" outlineLevel="0" collapsed="false">
      <c r="A3557" s="0" t="n">
        <v>3536</v>
      </c>
      <c r="B3557" s="0" t="s">
        <v>85</v>
      </c>
      <c r="C3557" s="17" t="n">
        <v>-0.283752591561249</v>
      </c>
      <c r="D3557" s="17" t="n">
        <f aca="false">(C3557-$B$4)/($B$6/SQRT($B$7))</f>
        <v>-1.41876295780625</v>
      </c>
      <c r="E3557" s="0" t="str">
        <f aca="false">IF(OR(AND($B$9="superior",D3557&gt;$B$10),AND($B$9="inferior",D3557&lt;-$B$10)),"Rechazar H0","No rechazar H0")</f>
        <v>No rechazar H0</v>
      </c>
      <c r="F3557" s="0" t="str">
        <f aca="false">IF(AND(B3557="H0 verdadera",E3557="Rechazar H0"),"Error tipo I",IF(AND(B3557="Ha verdadera",E3557="No rechazar H0"),"Error tipo II","Decisión correcta"))</f>
        <v>Decisión correcta</v>
      </c>
    </row>
    <row r="3558" customFormat="false" ht="15" hidden="false" customHeight="false" outlineLevel="0" collapsed="false">
      <c r="A3558" s="0" t="n">
        <v>3537</v>
      </c>
      <c r="B3558" s="0" t="s">
        <v>85</v>
      </c>
      <c r="C3558" s="17" t="n">
        <v>-0.0448988169732756</v>
      </c>
      <c r="D3558" s="17" t="n">
        <f aca="false">(C3558-$B$4)/($B$6/SQRT($B$7))</f>
        <v>-0.224494084866378</v>
      </c>
      <c r="E3558" s="0" t="str">
        <f aca="false">IF(OR(AND($B$9="superior",D3558&gt;$B$10),AND($B$9="inferior",D3558&lt;-$B$10)),"Rechazar H0","No rechazar H0")</f>
        <v>No rechazar H0</v>
      </c>
      <c r="F3558" s="0" t="str">
        <f aca="false">IF(AND(B3558="H0 verdadera",E3558="Rechazar H0"),"Error tipo I",IF(AND(B3558="Ha verdadera",E3558="No rechazar H0"),"Error tipo II","Decisión correcta"))</f>
        <v>Decisión correcta</v>
      </c>
    </row>
    <row r="3559" customFormat="false" ht="15" hidden="false" customHeight="false" outlineLevel="0" collapsed="false">
      <c r="A3559" s="0" t="n">
        <v>3538</v>
      </c>
      <c r="B3559" s="0" t="s">
        <v>86</v>
      </c>
      <c r="C3559" s="17" t="n">
        <v>-0.318696918395147</v>
      </c>
      <c r="D3559" s="17" t="n">
        <f aca="false">(C3559-$B$4)/($B$6/SQRT($B$7))</f>
        <v>-1.59348459197574</v>
      </c>
      <c r="E3559" s="0" t="str">
        <f aca="false">IF(OR(AND($B$9="superior",D3559&gt;$B$10),AND($B$9="inferior",D3559&lt;-$B$10)),"Rechazar H0","No rechazar H0")</f>
        <v>No rechazar H0</v>
      </c>
      <c r="F3559" s="0" t="str">
        <f aca="false">IF(AND(B3559="H0 verdadera",E3559="Rechazar H0"),"Error tipo I",IF(AND(B3559="Ha verdadera",E3559="No rechazar H0"),"Error tipo II","Decisión correcta"))</f>
        <v>Error tipo II</v>
      </c>
    </row>
    <row r="3560" customFormat="false" ht="15" hidden="false" customHeight="false" outlineLevel="0" collapsed="false">
      <c r="A3560" s="0" t="n">
        <v>3539</v>
      </c>
      <c r="B3560" s="0" t="s">
        <v>85</v>
      </c>
      <c r="C3560" s="17" t="n">
        <v>0.280332383870997</v>
      </c>
      <c r="D3560" s="17" t="n">
        <f aca="false">(C3560-$B$4)/($B$6/SQRT($B$7))</f>
        <v>1.40166191935498</v>
      </c>
      <c r="E3560" s="0" t="str">
        <f aca="false">IF(OR(AND($B$9="superior",D3560&gt;$B$10),AND($B$9="inferior",D3560&lt;-$B$10)),"Rechazar H0","No rechazar H0")</f>
        <v>No rechazar H0</v>
      </c>
      <c r="F3560" s="0" t="str">
        <f aca="false">IF(AND(B3560="H0 verdadera",E3560="Rechazar H0"),"Error tipo I",IF(AND(B3560="Ha verdadera",E3560="No rechazar H0"),"Error tipo II","Decisión correcta"))</f>
        <v>Decisión correcta</v>
      </c>
    </row>
    <row r="3561" customFormat="false" ht="15" hidden="false" customHeight="false" outlineLevel="0" collapsed="false">
      <c r="A3561" s="0" t="n">
        <v>3540</v>
      </c>
      <c r="B3561" s="0" t="s">
        <v>86</v>
      </c>
      <c r="C3561" s="17" t="n">
        <v>-0.229277650990357</v>
      </c>
      <c r="D3561" s="17" t="n">
        <f aca="false">(C3561-$B$4)/($B$6/SQRT($B$7))</f>
        <v>-1.14638825495178</v>
      </c>
      <c r="E3561" s="0" t="str">
        <f aca="false">IF(OR(AND($B$9="superior",D3561&gt;$B$10),AND($B$9="inferior",D3561&lt;-$B$10)),"Rechazar H0","No rechazar H0")</f>
        <v>No rechazar H0</v>
      </c>
      <c r="F3561" s="0" t="str">
        <f aca="false">IF(AND(B3561="H0 verdadera",E3561="Rechazar H0"),"Error tipo I",IF(AND(B3561="Ha verdadera",E3561="No rechazar H0"),"Error tipo II","Decisión correcta"))</f>
        <v>Error tipo II</v>
      </c>
    </row>
    <row r="3562" customFormat="false" ht="15" hidden="false" customHeight="false" outlineLevel="0" collapsed="false">
      <c r="A3562" s="0" t="n">
        <v>3541</v>
      </c>
      <c r="B3562" s="0" t="s">
        <v>86</v>
      </c>
      <c r="C3562" s="17" t="n">
        <v>-0.36488895189768</v>
      </c>
      <c r="D3562" s="17" t="n">
        <f aca="false">(C3562-$B$4)/($B$6/SQRT($B$7))</f>
        <v>-1.8244447594884</v>
      </c>
      <c r="E3562" s="0" t="str">
        <f aca="false">IF(OR(AND($B$9="superior",D3562&gt;$B$10),AND($B$9="inferior",D3562&lt;-$B$10)),"Rechazar H0","No rechazar H0")</f>
        <v>Rechazar H0</v>
      </c>
      <c r="F3562" s="0" t="str">
        <f aca="false">IF(AND(B3562="H0 verdadera",E3562="Rechazar H0"),"Error tipo I",IF(AND(B3562="Ha verdadera",E3562="No rechazar H0"),"Error tipo II","Decisión correcta"))</f>
        <v>Decisión correcta</v>
      </c>
    </row>
    <row r="3563" customFormat="false" ht="15" hidden="false" customHeight="false" outlineLevel="0" collapsed="false">
      <c r="A3563" s="0" t="n">
        <v>3542</v>
      </c>
      <c r="B3563" s="0" t="s">
        <v>86</v>
      </c>
      <c r="C3563" s="17" t="n">
        <v>-0.513443924994409</v>
      </c>
      <c r="D3563" s="17" t="n">
        <f aca="false">(C3563-$B$4)/($B$6/SQRT($B$7))</f>
        <v>-2.56721962497205</v>
      </c>
      <c r="E3563" s="0" t="str">
        <f aca="false">IF(OR(AND($B$9="superior",D3563&gt;$B$10),AND($B$9="inferior",D3563&lt;-$B$10)),"Rechazar H0","No rechazar H0")</f>
        <v>Rechazar H0</v>
      </c>
      <c r="F3563" s="0" t="str">
        <f aca="false">IF(AND(B3563="H0 verdadera",E3563="Rechazar H0"),"Error tipo I",IF(AND(B3563="Ha verdadera",E3563="No rechazar H0"),"Error tipo II","Decisión correcta"))</f>
        <v>Decisión correcta</v>
      </c>
    </row>
    <row r="3564" customFormat="false" ht="15" hidden="false" customHeight="false" outlineLevel="0" collapsed="false">
      <c r="A3564" s="0" t="n">
        <v>3543</v>
      </c>
      <c r="B3564" s="0" t="s">
        <v>86</v>
      </c>
      <c r="C3564" s="17" t="n">
        <v>0.131307336379053</v>
      </c>
      <c r="D3564" s="17" t="n">
        <f aca="false">(C3564-$B$4)/($B$6/SQRT($B$7))</f>
        <v>0.656536681895267</v>
      </c>
      <c r="E3564" s="0" t="str">
        <f aca="false">IF(OR(AND($B$9="superior",D3564&gt;$B$10),AND($B$9="inferior",D3564&lt;-$B$10)),"Rechazar H0","No rechazar H0")</f>
        <v>No rechazar H0</v>
      </c>
      <c r="F3564" s="0" t="str">
        <f aca="false">IF(AND(B3564="H0 verdadera",E3564="Rechazar H0"),"Error tipo I",IF(AND(B3564="Ha verdadera",E3564="No rechazar H0"),"Error tipo II","Decisión correcta"))</f>
        <v>Error tipo II</v>
      </c>
    </row>
    <row r="3565" customFormat="false" ht="15" hidden="false" customHeight="false" outlineLevel="0" collapsed="false">
      <c r="A3565" s="0" t="n">
        <v>3544</v>
      </c>
      <c r="B3565" s="0" t="s">
        <v>86</v>
      </c>
      <c r="C3565" s="17" t="n">
        <v>-0.457993625932501</v>
      </c>
      <c r="D3565" s="17" t="n">
        <f aca="false">(C3565-$B$4)/($B$6/SQRT($B$7))</f>
        <v>-2.2899681296625</v>
      </c>
      <c r="E3565" s="0" t="str">
        <f aca="false">IF(OR(AND($B$9="superior",D3565&gt;$B$10),AND($B$9="inferior",D3565&lt;-$B$10)),"Rechazar H0","No rechazar H0")</f>
        <v>Rechazar H0</v>
      </c>
      <c r="F3565" s="0" t="str">
        <f aca="false">IF(AND(B3565="H0 verdadera",E3565="Rechazar H0"),"Error tipo I",IF(AND(B3565="Ha verdadera",E3565="No rechazar H0"),"Error tipo II","Decisión correcta"))</f>
        <v>Decisión correcta</v>
      </c>
    </row>
    <row r="3566" customFormat="false" ht="15" hidden="false" customHeight="false" outlineLevel="0" collapsed="false">
      <c r="A3566" s="0" t="n">
        <v>3545</v>
      </c>
      <c r="B3566" s="0" t="s">
        <v>86</v>
      </c>
      <c r="C3566" s="17" t="n">
        <v>-0.708669461528658</v>
      </c>
      <c r="D3566" s="17" t="n">
        <f aca="false">(C3566-$B$4)/($B$6/SQRT($B$7))</f>
        <v>-3.54334730764329</v>
      </c>
      <c r="E3566" s="0" t="str">
        <f aca="false">IF(OR(AND($B$9="superior",D3566&gt;$B$10),AND($B$9="inferior",D3566&lt;-$B$10)),"Rechazar H0","No rechazar H0")</f>
        <v>Rechazar H0</v>
      </c>
      <c r="F3566" s="0" t="str">
        <f aca="false">IF(AND(B3566="H0 verdadera",E3566="Rechazar H0"),"Error tipo I",IF(AND(B3566="Ha verdadera",E3566="No rechazar H0"),"Error tipo II","Decisión correcta"))</f>
        <v>Decisión correcta</v>
      </c>
    </row>
    <row r="3567" customFormat="false" ht="15" hidden="false" customHeight="false" outlineLevel="0" collapsed="false">
      <c r="A3567" s="0" t="n">
        <v>3546</v>
      </c>
      <c r="B3567" s="0" t="s">
        <v>86</v>
      </c>
      <c r="C3567" s="17" t="n">
        <v>-0.182119935536965</v>
      </c>
      <c r="D3567" s="17" t="n">
        <f aca="false">(C3567-$B$4)/($B$6/SQRT($B$7))</f>
        <v>-0.910599677684826</v>
      </c>
      <c r="E3567" s="0" t="str">
        <f aca="false">IF(OR(AND($B$9="superior",D3567&gt;$B$10),AND($B$9="inferior",D3567&lt;-$B$10)),"Rechazar H0","No rechazar H0")</f>
        <v>No rechazar H0</v>
      </c>
      <c r="F3567" s="0" t="str">
        <f aca="false">IF(AND(B3567="H0 verdadera",E3567="Rechazar H0"),"Error tipo I",IF(AND(B3567="Ha verdadera",E3567="No rechazar H0"),"Error tipo II","Decisión correcta"))</f>
        <v>Error tipo II</v>
      </c>
    </row>
    <row r="3568" customFormat="false" ht="15" hidden="false" customHeight="false" outlineLevel="0" collapsed="false">
      <c r="A3568" s="0" t="n">
        <v>3547</v>
      </c>
      <c r="B3568" s="0" t="s">
        <v>86</v>
      </c>
      <c r="C3568" s="17" t="n">
        <v>-0.361927564184378</v>
      </c>
      <c r="D3568" s="17" t="n">
        <f aca="false">(C3568-$B$4)/($B$6/SQRT($B$7))</f>
        <v>-1.80963782092189</v>
      </c>
      <c r="E3568" s="0" t="str">
        <f aca="false">IF(OR(AND($B$9="superior",D3568&gt;$B$10),AND($B$9="inferior",D3568&lt;-$B$10)),"Rechazar H0","No rechazar H0")</f>
        <v>Rechazar H0</v>
      </c>
      <c r="F3568" s="0" t="str">
        <f aca="false">IF(AND(B3568="H0 verdadera",E3568="Rechazar H0"),"Error tipo I",IF(AND(B3568="Ha verdadera",E3568="No rechazar H0"),"Error tipo II","Decisión correcta"))</f>
        <v>Decisión correcta</v>
      </c>
    </row>
    <row r="3569" customFormat="false" ht="15" hidden="false" customHeight="false" outlineLevel="0" collapsed="false">
      <c r="A3569" s="0" t="n">
        <v>3548</v>
      </c>
      <c r="B3569" s="0" t="s">
        <v>85</v>
      </c>
      <c r="C3569" s="17" t="n">
        <v>-0.265967919338406</v>
      </c>
      <c r="D3569" s="17" t="n">
        <f aca="false">(C3569-$B$4)/($B$6/SQRT($B$7))</f>
        <v>-1.32983959669203</v>
      </c>
      <c r="E3569" s="0" t="str">
        <f aca="false">IF(OR(AND($B$9="superior",D3569&gt;$B$10),AND($B$9="inferior",D3569&lt;-$B$10)),"Rechazar H0","No rechazar H0")</f>
        <v>No rechazar H0</v>
      </c>
      <c r="F3569" s="0" t="str">
        <f aca="false">IF(AND(B3569="H0 verdadera",E3569="Rechazar H0"),"Error tipo I",IF(AND(B3569="Ha verdadera",E3569="No rechazar H0"),"Error tipo II","Decisión correcta"))</f>
        <v>Decisión correcta</v>
      </c>
    </row>
    <row r="3570" customFormat="false" ht="15" hidden="false" customHeight="false" outlineLevel="0" collapsed="false">
      <c r="A3570" s="0" t="n">
        <v>3549</v>
      </c>
      <c r="B3570" s="0" t="s">
        <v>86</v>
      </c>
      <c r="C3570" s="17" t="n">
        <v>-0.498984188802773</v>
      </c>
      <c r="D3570" s="17" t="n">
        <f aca="false">(C3570-$B$4)/($B$6/SQRT($B$7))</f>
        <v>-2.49492094401387</v>
      </c>
      <c r="E3570" s="0" t="str">
        <f aca="false">IF(OR(AND($B$9="superior",D3570&gt;$B$10),AND($B$9="inferior",D3570&lt;-$B$10)),"Rechazar H0","No rechazar H0")</f>
        <v>Rechazar H0</v>
      </c>
      <c r="F3570" s="0" t="str">
        <f aca="false">IF(AND(B3570="H0 verdadera",E3570="Rechazar H0"),"Error tipo I",IF(AND(B3570="Ha verdadera",E3570="No rechazar H0"),"Error tipo II","Decisión correcta"))</f>
        <v>Decisión correcta</v>
      </c>
    </row>
    <row r="3571" customFormat="false" ht="15" hidden="false" customHeight="false" outlineLevel="0" collapsed="false">
      <c r="A3571" s="0" t="n">
        <v>3550</v>
      </c>
      <c r="B3571" s="0" t="s">
        <v>85</v>
      </c>
      <c r="C3571" s="17" t="n">
        <v>0.135475205005313</v>
      </c>
      <c r="D3571" s="17" t="n">
        <f aca="false">(C3571-$B$4)/($B$6/SQRT($B$7))</f>
        <v>0.677376025026565</v>
      </c>
      <c r="E3571" s="0" t="str">
        <f aca="false">IF(OR(AND($B$9="superior",D3571&gt;$B$10),AND($B$9="inferior",D3571&lt;-$B$10)),"Rechazar H0","No rechazar H0")</f>
        <v>No rechazar H0</v>
      </c>
      <c r="F3571" s="0" t="str">
        <f aca="false">IF(AND(B3571="H0 verdadera",E3571="Rechazar H0"),"Error tipo I",IF(AND(B3571="Ha verdadera",E3571="No rechazar H0"),"Error tipo II","Decisión correcta"))</f>
        <v>Decisión correcta</v>
      </c>
    </row>
    <row r="3572" customFormat="false" ht="15" hidden="false" customHeight="false" outlineLevel="0" collapsed="false">
      <c r="A3572" s="0" t="n">
        <v>3551</v>
      </c>
      <c r="B3572" s="0" t="s">
        <v>85</v>
      </c>
      <c r="C3572" s="17" t="n">
        <v>-0.112460740733138</v>
      </c>
      <c r="D3572" s="17" t="n">
        <f aca="false">(C3572-$B$4)/($B$6/SQRT($B$7))</f>
        <v>-0.562303703665689</v>
      </c>
      <c r="E3572" s="0" t="str">
        <f aca="false">IF(OR(AND($B$9="superior",D3572&gt;$B$10),AND($B$9="inferior",D3572&lt;-$B$10)),"Rechazar H0","No rechazar H0")</f>
        <v>No rechazar H0</v>
      </c>
      <c r="F3572" s="0" t="str">
        <f aca="false">IF(AND(B3572="H0 verdadera",E3572="Rechazar H0"),"Error tipo I",IF(AND(B3572="Ha verdadera",E3572="No rechazar H0"),"Error tipo II","Decisión correcta"))</f>
        <v>Decisión correcta</v>
      </c>
    </row>
    <row r="3573" customFormat="false" ht="15" hidden="false" customHeight="false" outlineLevel="0" collapsed="false">
      <c r="A3573" s="0" t="n">
        <v>3552</v>
      </c>
      <c r="B3573" s="0" t="s">
        <v>86</v>
      </c>
      <c r="C3573" s="17" t="n">
        <v>-0.324008409664123</v>
      </c>
      <c r="D3573" s="17" t="n">
        <f aca="false">(C3573-$B$4)/($B$6/SQRT($B$7))</f>
        <v>-1.62004204832061</v>
      </c>
      <c r="E3573" s="0" t="str">
        <f aca="false">IF(OR(AND($B$9="superior",D3573&gt;$B$10),AND($B$9="inferior",D3573&lt;-$B$10)),"Rechazar H0","No rechazar H0")</f>
        <v>No rechazar H0</v>
      </c>
      <c r="F3573" s="0" t="str">
        <f aca="false">IF(AND(B3573="H0 verdadera",E3573="Rechazar H0"),"Error tipo I",IF(AND(B3573="Ha verdadera",E3573="No rechazar H0"),"Error tipo II","Decisión correcta"))</f>
        <v>Error tipo II</v>
      </c>
    </row>
    <row r="3574" customFormat="false" ht="15" hidden="false" customHeight="false" outlineLevel="0" collapsed="false">
      <c r="A3574" s="0" t="n">
        <v>3553</v>
      </c>
      <c r="B3574" s="0" t="s">
        <v>86</v>
      </c>
      <c r="C3574" s="17" t="n">
        <v>-0.426875713807905</v>
      </c>
      <c r="D3574" s="17" t="n">
        <f aca="false">(C3574-$B$4)/($B$6/SQRT($B$7))</f>
        <v>-2.13437856903953</v>
      </c>
      <c r="E3574" s="0" t="str">
        <f aca="false">IF(OR(AND($B$9="superior",D3574&gt;$B$10),AND($B$9="inferior",D3574&lt;-$B$10)),"Rechazar H0","No rechazar H0")</f>
        <v>Rechazar H0</v>
      </c>
      <c r="F3574" s="0" t="str">
        <f aca="false">IF(AND(B3574="H0 verdadera",E3574="Rechazar H0"),"Error tipo I",IF(AND(B3574="Ha verdadera",E3574="No rechazar H0"),"Error tipo II","Decisión correcta"))</f>
        <v>Decisión correcta</v>
      </c>
    </row>
    <row r="3575" customFormat="false" ht="15" hidden="false" customHeight="false" outlineLevel="0" collapsed="false">
      <c r="A3575" s="0" t="n">
        <v>3554</v>
      </c>
      <c r="B3575" s="0" t="s">
        <v>85</v>
      </c>
      <c r="C3575" s="17" t="n">
        <v>0.0257140767063507</v>
      </c>
      <c r="D3575" s="17" t="n">
        <f aca="false">(C3575-$B$4)/($B$6/SQRT($B$7))</f>
        <v>0.128570383531753</v>
      </c>
      <c r="E3575" s="0" t="str">
        <f aca="false">IF(OR(AND($B$9="superior",D3575&gt;$B$10),AND($B$9="inferior",D3575&lt;-$B$10)),"Rechazar H0","No rechazar H0")</f>
        <v>No rechazar H0</v>
      </c>
      <c r="F3575" s="0" t="str">
        <f aca="false">IF(AND(B3575="H0 verdadera",E3575="Rechazar H0"),"Error tipo I",IF(AND(B3575="Ha verdadera",E3575="No rechazar H0"),"Error tipo II","Decisión correcta"))</f>
        <v>Decisión correcta</v>
      </c>
    </row>
    <row r="3576" customFormat="false" ht="15" hidden="false" customHeight="false" outlineLevel="0" collapsed="false">
      <c r="A3576" s="0" t="n">
        <v>3555</v>
      </c>
      <c r="B3576" s="0" t="s">
        <v>86</v>
      </c>
      <c r="C3576" s="17" t="n">
        <v>-0.385683289324292</v>
      </c>
      <c r="D3576" s="17" t="n">
        <f aca="false">(C3576-$B$4)/($B$6/SQRT($B$7))</f>
        <v>-1.92841644662146</v>
      </c>
      <c r="E3576" s="0" t="str">
        <f aca="false">IF(OR(AND($B$9="superior",D3576&gt;$B$10),AND($B$9="inferior",D3576&lt;-$B$10)),"Rechazar H0","No rechazar H0")</f>
        <v>Rechazar H0</v>
      </c>
      <c r="F3576" s="0" t="str">
        <f aca="false">IF(AND(B3576="H0 verdadera",E3576="Rechazar H0"),"Error tipo I",IF(AND(B3576="Ha verdadera",E3576="No rechazar H0"),"Error tipo II","Decisión correcta"))</f>
        <v>Decisión correcta</v>
      </c>
    </row>
    <row r="3577" customFormat="false" ht="15" hidden="false" customHeight="false" outlineLevel="0" collapsed="false">
      <c r="A3577" s="0" t="n">
        <v>3556</v>
      </c>
      <c r="B3577" s="0" t="s">
        <v>86</v>
      </c>
      <c r="C3577" s="17" t="n">
        <v>-0.436074958196118</v>
      </c>
      <c r="D3577" s="17" t="n">
        <f aca="false">(C3577-$B$4)/($B$6/SQRT($B$7))</f>
        <v>-2.18037479098059</v>
      </c>
      <c r="E3577" s="0" t="str">
        <f aca="false">IF(OR(AND($B$9="superior",D3577&gt;$B$10),AND($B$9="inferior",D3577&lt;-$B$10)),"Rechazar H0","No rechazar H0")</f>
        <v>Rechazar H0</v>
      </c>
      <c r="F3577" s="0" t="str">
        <f aca="false">IF(AND(B3577="H0 verdadera",E3577="Rechazar H0"),"Error tipo I",IF(AND(B3577="Ha verdadera",E3577="No rechazar H0"),"Error tipo II","Decisión correcta"))</f>
        <v>Decisión correcta</v>
      </c>
    </row>
    <row r="3578" customFormat="false" ht="15" hidden="false" customHeight="false" outlineLevel="0" collapsed="false">
      <c r="A3578" s="0" t="n">
        <v>3557</v>
      </c>
      <c r="B3578" s="0" t="s">
        <v>85</v>
      </c>
      <c r="C3578" s="17" t="n">
        <v>-0.0551014102745055</v>
      </c>
      <c r="D3578" s="17" t="n">
        <f aca="false">(C3578-$B$4)/($B$6/SQRT($B$7))</f>
        <v>-0.275507051372528</v>
      </c>
      <c r="E3578" s="0" t="str">
        <f aca="false">IF(OR(AND($B$9="superior",D3578&gt;$B$10),AND($B$9="inferior",D3578&lt;-$B$10)),"Rechazar H0","No rechazar H0")</f>
        <v>No rechazar H0</v>
      </c>
      <c r="F3578" s="0" t="str">
        <f aca="false">IF(AND(B3578="H0 verdadera",E3578="Rechazar H0"),"Error tipo I",IF(AND(B3578="Ha verdadera",E3578="No rechazar H0"),"Error tipo II","Decisión correcta"))</f>
        <v>Decisión correcta</v>
      </c>
    </row>
    <row r="3579" customFormat="false" ht="15" hidden="false" customHeight="false" outlineLevel="0" collapsed="false">
      <c r="A3579" s="0" t="n">
        <v>3558</v>
      </c>
      <c r="B3579" s="0" t="s">
        <v>86</v>
      </c>
      <c r="C3579" s="17" t="n">
        <v>-0.362189221702007</v>
      </c>
      <c r="D3579" s="17" t="n">
        <f aca="false">(C3579-$B$4)/($B$6/SQRT($B$7))</f>
        <v>-1.81094610851003</v>
      </c>
      <c r="E3579" s="0" t="str">
        <f aca="false">IF(OR(AND($B$9="superior",D3579&gt;$B$10),AND($B$9="inferior",D3579&lt;-$B$10)),"Rechazar H0","No rechazar H0")</f>
        <v>Rechazar H0</v>
      </c>
      <c r="F3579" s="0" t="str">
        <f aca="false">IF(AND(B3579="H0 verdadera",E3579="Rechazar H0"),"Error tipo I",IF(AND(B3579="Ha verdadera",E3579="No rechazar H0"),"Error tipo II","Decisión correcta"))</f>
        <v>Decisión correcta</v>
      </c>
    </row>
    <row r="3580" customFormat="false" ht="15" hidden="false" customHeight="false" outlineLevel="0" collapsed="false">
      <c r="A3580" s="0" t="n">
        <v>3559</v>
      </c>
      <c r="B3580" s="0" t="s">
        <v>85</v>
      </c>
      <c r="C3580" s="17" t="n">
        <v>0.206215375136319</v>
      </c>
      <c r="D3580" s="17" t="n">
        <f aca="false">(C3580-$B$4)/($B$6/SQRT($B$7))</f>
        <v>1.0310768756816</v>
      </c>
      <c r="E3580" s="0" t="str">
        <f aca="false">IF(OR(AND($B$9="superior",D3580&gt;$B$10),AND($B$9="inferior",D3580&lt;-$B$10)),"Rechazar H0","No rechazar H0")</f>
        <v>No rechazar H0</v>
      </c>
      <c r="F3580" s="0" t="str">
        <f aca="false">IF(AND(B3580="H0 verdadera",E3580="Rechazar H0"),"Error tipo I",IF(AND(B3580="Ha verdadera",E3580="No rechazar H0"),"Error tipo II","Decisión correcta"))</f>
        <v>Decisión correcta</v>
      </c>
    </row>
    <row r="3581" customFormat="false" ht="15" hidden="false" customHeight="false" outlineLevel="0" collapsed="false">
      <c r="A3581" s="0" t="n">
        <v>3560</v>
      </c>
      <c r="B3581" s="0" t="s">
        <v>86</v>
      </c>
      <c r="C3581" s="17" t="n">
        <v>-0.531848014663453</v>
      </c>
      <c r="D3581" s="17" t="n">
        <f aca="false">(C3581-$B$4)/($B$6/SQRT($B$7))</f>
        <v>-2.65924007331727</v>
      </c>
      <c r="E3581" s="0" t="str">
        <f aca="false">IF(OR(AND($B$9="superior",D3581&gt;$B$10),AND($B$9="inferior",D3581&lt;-$B$10)),"Rechazar H0","No rechazar H0")</f>
        <v>Rechazar H0</v>
      </c>
      <c r="F3581" s="0" t="str">
        <f aca="false">IF(AND(B3581="H0 verdadera",E3581="Rechazar H0"),"Error tipo I",IF(AND(B3581="Ha verdadera",E3581="No rechazar H0"),"Error tipo II","Decisión correcta"))</f>
        <v>Decisión correcta</v>
      </c>
    </row>
    <row r="3582" customFormat="false" ht="15" hidden="false" customHeight="false" outlineLevel="0" collapsed="false">
      <c r="A3582" s="0" t="n">
        <v>3561</v>
      </c>
      <c r="B3582" s="0" t="s">
        <v>85</v>
      </c>
      <c r="C3582" s="17" t="n">
        <v>-0.185110559220182</v>
      </c>
      <c r="D3582" s="17" t="n">
        <f aca="false">(C3582-$B$4)/($B$6/SQRT($B$7))</f>
        <v>-0.925552796100911</v>
      </c>
      <c r="E3582" s="0" t="str">
        <f aca="false">IF(OR(AND($B$9="superior",D3582&gt;$B$10),AND($B$9="inferior",D3582&lt;-$B$10)),"Rechazar H0","No rechazar H0")</f>
        <v>No rechazar H0</v>
      </c>
      <c r="F3582" s="0" t="str">
        <f aca="false">IF(AND(B3582="H0 verdadera",E3582="Rechazar H0"),"Error tipo I",IF(AND(B3582="Ha verdadera",E3582="No rechazar H0"),"Error tipo II","Decisión correcta"))</f>
        <v>Decisión correcta</v>
      </c>
    </row>
    <row r="3583" customFormat="false" ht="15" hidden="false" customHeight="false" outlineLevel="0" collapsed="false">
      <c r="A3583" s="0" t="n">
        <v>3562</v>
      </c>
      <c r="B3583" s="0" t="s">
        <v>85</v>
      </c>
      <c r="C3583" s="17" t="n">
        <v>-0.110262660305715</v>
      </c>
      <c r="D3583" s="17" t="n">
        <f aca="false">(C3583-$B$4)/($B$6/SQRT($B$7))</f>
        <v>-0.551313301528576</v>
      </c>
      <c r="E3583" s="0" t="str">
        <f aca="false">IF(OR(AND($B$9="superior",D3583&gt;$B$10),AND($B$9="inferior",D3583&lt;-$B$10)),"Rechazar H0","No rechazar H0")</f>
        <v>No rechazar H0</v>
      </c>
      <c r="F3583" s="0" t="str">
        <f aca="false">IF(AND(B3583="H0 verdadera",E3583="Rechazar H0"),"Error tipo I",IF(AND(B3583="Ha verdadera",E3583="No rechazar H0"),"Error tipo II","Decisión correcta"))</f>
        <v>Decisión correcta</v>
      </c>
    </row>
    <row r="3584" customFormat="false" ht="15" hidden="false" customHeight="false" outlineLevel="0" collapsed="false">
      <c r="A3584" s="0" t="n">
        <v>3563</v>
      </c>
      <c r="B3584" s="0" t="s">
        <v>85</v>
      </c>
      <c r="C3584" s="17" t="n">
        <v>0.180764904423853</v>
      </c>
      <c r="D3584" s="17" t="n">
        <f aca="false">(C3584-$B$4)/($B$6/SQRT($B$7))</f>
        <v>0.903824522119264</v>
      </c>
      <c r="E3584" s="0" t="str">
        <f aca="false">IF(OR(AND($B$9="superior",D3584&gt;$B$10),AND($B$9="inferior",D3584&lt;-$B$10)),"Rechazar H0","No rechazar H0")</f>
        <v>No rechazar H0</v>
      </c>
      <c r="F3584" s="0" t="str">
        <f aca="false">IF(AND(B3584="H0 verdadera",E3584="Rechazar H0"),"Error tipo I",IF(AND(B3584="Ha verdadera",E3584="No rechazar H0"),"Error tipo II","Decisión correcta"))</f>
        <v>Decisión correcta</v>
      </c>
    </row>
    <row r="3585" customFormat="false" ht="15" hidden="false" customHeight="false" outlineLevel="0" collapsed="false">
      <c r="A3585" s="0" t="n">
        <v>3564</v>
      </c>
      <c r="B3585" s="0" t="s">
        <v>86</v>
      </c>
      <c r="C3585" s="17" t="n">
        <v>-0.378967405806889</v>
      </c>
      <c r="D3585" s="17" t="n">
        <f aca="false">(C3585-$B$4)/($B$6/SQRT($B$7))</f>
        <v>-1.89483702903444</v>
      </c>
      <c r="E3585" s="0" t="str">
        <f aca="false">IF(OR(AND($B$9="superior",D3585&gt;$B$10),AND($B$9="inferior",D3585&lt;-$B$10)),"Rechazar H0","No rechazar H0")</f>
        <v>Rechazar H0</v>
      </c>
      <c r="F3585" s="0" t="str">
        <f aca="false">IF(AND(B3585="H0 verdadera",E3585="Rechazar H0"),"Error tipo I",IF(AND(B3585="Ha verdadera",E3585="No rechazar H0"),"Error tipo II","Decisión correcta"))</f>
        <v>Decisión correcta</v>
      </c>
    </row>
    <row r="3586" customFormat="false" ht="15" hidden="false" customHeight="false" outlineLevel="0" collapsed="false">
      <c r="A3586" s="0" t="n">
        <v>3565</v>
      </c>
      <c r="B3586" s="0" t="s">
        <v>86</v>
      </c>
      <c r="C3586" s="17" t="n">
        <v>-0.799928406306183</v>
      </c>
      <c r="D3586" s="17" t="n">
        <f aca="false">(C3586-$B$4)/($B$6/SQRT($B$7))</f>
        <v>-3.99964203153091</v>
      </c>
      <c r="E3586" s="0" t="str">
        <f aca="false">IF(OR(AND($B$9="superior",D3586&gt;$B$10),AND($B$9="inferior",D3586&lt;-$B$10)),"Rechazar H0","No rechazar H0")</f>
        <v>Rechazar H0</v>
      </c>
      <c r="F3586" s="0" t="str">
        <f aca="false">IF(AND(B3586="H0 verdadera",E3586="Rechazar H0"),"Error tipo I",IF(AND(B3586="Ha verdadera",E3586="No rechazar H0"),"Error tipo II","Decisión correcta"))</f>
        <v>Decisión correcta</v>
      </c>
    </row>
    <row r="3587" customFormat="false" ht="15" hidden="false" customHeight="false" outlineLevel="0" collapsed="false">
      <c r="A3587" s="0" t="n">
        <v>3566</v>
      </c>
      <c r="B3587" s="0" t="s">
        <v>85</v>
      </c>
      <c r="C3587" s="17" t="n">
        <v>0.0777793298754956</v>
      </c>
      <c r="D3587" s="17" t="n">
        <f aca="false">(C3587-$B$4)/($B$6/SQRT($B$7))</f>
        <v>0.388896649377478</v>
      </c>
      <c r="E3587" s="0" t="str">
        <f aca="false">IF(OR(AND($B$9="superior",D3587&gt;$B$10),AND($B$9="inferior",D3587&lt;-$B$10)),"Rechazar H0","No rechazar H0")</f>
        <v>No rechazar H0</v>
      </c>
      <c r="F3587" s="0" t="str">
        <f aca="false">IF(AND(B3587="H0 verdadera",E3587="Rechazar H0"),"Error tipo I",IF(AND(B3587="Ha verdadera",E3587="No rechazar H0"),"Error tipo II","Decisión correcta"))</f>
        <v>Decisión correcta</v>
      </c>
    </row>
    <row r="3588" customFormat="false" ht="15" hidden="false" customHeight="false" outlineLevel="0" collapsed="false">
      <c r="A3588" s="0" t="n">
        <v>3567</v>
      </c>
      <c r="B3588" s="0" t="s">
        <v>86</v>
      </c>
      <c r="C3588" s="17" t="n">
        <v>-0.154636427164483</v>
      </c>
      <c r="D3588" s="17" t="n">
        <f aca="false">(C3588-$B$4)/($B$6/SQRT($B$7))</f>
        <v>-0.773182135822414</v>
      </c>
      <c r="E3588" s="0" t="str">
        <f aca="false">IF(OR(AND($B$9="superior",D3588&gt;$B$10),AND($B$9="inferior",D3588&lt;-$B$10)),"Rechazar H0","No rechazar H0")</f>
        <v>No rechazar H0</v>
      </c>
      <c r="F3588" s="0" t="str">
        <f aca="false">IF(AND(B3588="H0 verdadera",E3588="Rechazar H0"),"Error tipo I",IF(AND(B3588="Ha verdadera",E3588="No rechazar H0"),"Error tipo II","Decisión correcta"))</f>
        <v>Error tipo II</v>
      </c>
    </row>
    <row r="3589" customFormat="false" ht="15" hidden="false" customHeight="false" outlineLevel="0" collapsed="false">
      <c r="A3589" s="0" t="n">
        <v>3568</v>
      </c>
      <c r="B3589" s="0" t="s">
        <v>85</v>
      </c>
      <c r="C3589" s="17" t="n">
        <v>-0.373731944896236</v>
      </c>
      <c r="D3589" s="17" t="n">
        <f aca="false">(C3589-$B$4)/($B$6/SQRT($B$7))</f>
        <v>-1.86865972448118</v>
      </c>
      <c r="E3589" s="0" t="str">
        <f aca="false">IF(OR(AND($B$9="superior",D3589&gt;$B$10),AND($B$9="inferior",D3589&lt;-$B$10)),"Rechazar H0","No rechazar H0")</f>
        <v>Rechazar H0</v>
      </c>
      <c r="F3589" s="0" t="str">
        <f aca="false">IF(AND(B3589="H0 verdadera",E3589="Rechazar H0"),"Error tipo I",IF(AND(B3589="Ha verdadera",E3589="No rechazar H0"),"Error tipo II","Decisión correcta"))</f>
        <v>Error tipo I</v>
      </c>
    </row>
    <row r="3590" customFormat="false" ht="15" hidden="false" customHeight="false" outlineLevel="0" collapsed="false">
      <c r="A3590" s="0" t="n">
        <v>3569</v>
      </c>
      <c r="B3590" s="0" t="s">
        <v>85</v>
      </c>
      <c r="C3590" s="17" t="n">
        <v>0.0180103782350893</v>
      </c>
      <c r="D3590" s="17" t="n">
        <f aca="false">(C3590-$B$4)/($B$6/SQRT($B$7))</f>
        <v>0.0900518911754463</v>
      </c>
      <c r="E3590" s="0" t="str">
        <f aca="false">IF(OR(AND($B$9="superior",D3590&gt;$B$10),AND($B$9="inferior",D3590&lt;-$B$10)),"Rechazar H0","No rechazar H0")</f>
        <v>No rechazar H0</v>
      </c>
      <c r="F3590" s="0" t="str">
        <f aca="false">IF(AND(B3590="H0 verdadera",E3590="Rechazar H0"),"Error tipo I",IF(AND(B3590="Ha verdadera",E3590="No rechazar H0"),"Error tipo II","Decisión correcta"))</f>
        <v>Decisión correcta</v>
      </c>
    </row>
    <row r="3591" customFormat="false" ht="15" hidden="false" customHeight="false" outlineLevel="0" collapsed="false">
      <c r="A3591" s="0" t="n">
        <v>3570</v>
      </c>
      <c r="B3591" s="0" t="s">
        <v>86</v>
      </c>
      <c r="C3591" s="17" t="n">
        <v>-0.424428195016742</v>
      </c>
      <c r="D3591" s="17" t="n">
        <f aca="false">(C3591-$B$4)/($B$6/SQRT($B$7))</f>
        <v>-2.12214097508371</v>
      </c>
      <c r="E3591" s="0" t="str">
        <f aca="false">IF(OR(AND($B$9="superior",D3591&gt;$B$10),AND($B$9="inferior",D3591&lt;-$B$10)),"Rechazar H0","No rechazar H0")</f>
        <v>Rechazar H0</v>
      </c>
      <c r="F3591" s="0" t="str">
        <f aca="false">IF(AND(B3591="H0 verdadera",E3591="Rechazar H0"),"Error tipo I",IF(AND(B3591="Ha verdadera",E3591="No rechazar H0"),"Error tipo II","Decisión correcta"))</f>
        <v>Decisión correcta</v>
      </c>
    </row>
    <row r="3592" customFormat="false" ht="15" hidden="false" customHeight="false" outlineLevel="0" collapsed="false">
      <c r="A3592" s="0" t="n">
        <v>3571</v>
      </c>
      <c r="B3592" s="0" t="s">
        <v>86</v>
      </c>
      <c r="C3592" s="17" t="n">
        <v>-0.2428210876908</v>
      </c>
      <c r="D3592" s="17" t="n">
        <f aca="false">(C3592-$B$4)/($B$6/SQRT($B$7))</f>
        <v>-1.214105438454</v>
      </c>
      <c r="E3592" s="0" t="str">
        <f aca="false">IF(OR(AND($B$9="superior",D3592&gt;$B$10),AND($B$9="inferior",D3592&lt;-$B$10)),"Rechazar H0","No rechazar H0")</f>
        <v>No rechazar H0</v>
      </c>
      <c r="F3592" s="0" t="str">
        <f aca="false">IF(AND(B3592="H0 verdadera",E3592="Rechazar H0"),"Error tipo I",IF(AND(B3592="Ha verdadera",E3592="No rechazar H0"),"Error tipo II","Decisión correcta"))</f>
        <v>Error tipo II</v>
      </c>
    </row>
    <row r="3593" customFormat="false" ht="15" hidden="false" customHeight="false" outlineLevel="0" collapsed="false">
      <c r="A3593" s="0" t="n">
        <v>3572</v>
      </c>
      <c r="B3593" s="0" t="s">
        <v>86</v>
      </c>
      <c r="C3593" s="17" t="n">
        <v>-0.456038809823559</v>
      </c>
      <c r="D3593" s="17" t="n">
        <f aca="false">(C3593-$B$4)/($B$6/SQRT($B$7))</f>
        <v>-2.28019404911779</v>
      </c>
      <c r="E3593" s="0" t="str">
        <f aca="false">IF(OR(AND($B$9="superior",D3593&gt;$B$10),AND($B$9="inferior",D3593&lt;-$B$10)),"Rechazar H0","No rechazar H0")</f>
        <v>Rechazar H0</v>
      </c>
      <c r="F3593" s="0" t="str">
        <f aca="false">IF(AND(B3593="H0 verdadera",E3593="Rechazar H0"),"Error tipo I",IF(AND(B3593="Ha verdadera",E3593="No rechazar H0"),"Error tipo II","Decisión correcta"))</f>
        <v>Decisión correcta</v>
      </c>
    </row>
    <row r="3594" customFormat="false" ht="15" hidden="false" customHeight="false" outlineLevel="0" collapsed="false">
      <c r="A3594" s="0" t="n">
        <v>3573</v>
      </c>
      <c r="B3594" s="0" t="s">
        <v>85</v>
      </c>
      <c r="C3594" s="17" t="n">
        <v>0.00903319529063846</v>
      </c>
      <c r="D3594" s="17" t="n">
        <f aca="false">(C3594-$B$4)/($B$6/SQRT($B$7))</f>
        <v>0.0451659764531923</v>
      </c>
      <c r="E3594" s="0" t="str">
        <f aca="false">IF(OR(AND($B$9="superior",D3594&gt;$B$10),AND($B$9="inferior",D3594&lt;-$B$10)),"Rechazar H0","No rechazar H0")</f>
        <v>No rechazar H0</v>
      </c>
      <c r="F3594" s="0" t="str">
        <f aca="false">IF(AND(B3594="H0 verdadera",E3594="Rechazar H0"),"Error tipo I",IF(AND(B3594="Ha verdadera",E3594="No rechazar H0"),"Error tipo II","Decisión correcta"))</f>
        <v>Decisión correcta</v>
      </c>
    </row>
    <row r="3595" customFormat="false" ht="15" hidden="false" customHeight="false" outlineLevel="0" collapsed="false">
      <c r="A3595" s="0" t="n">
        <v>3574</v>
      </c>
      <c r="B3595" s="0" t="s">
        <v>86</v>
      </c>
      <c r="C3595" s="17" t="n">
        <v>-0.498351075804699</v>
      </c>
      <c r="D3595" s="17" t="n">
        <f aca="false">(C3595-$B$4)/($B$6/SQRT($B$7))</f>
        <v>-2.49175537902349</v>
      </c>
      <c r="E3595" s="0" t="str">
        <f aca="false">IF(OR(AND($B$9="superior",D3595&gt;$B$10),AND($B$9="inferior",D3595&lt;-$B$10)),"Rechazar H0","No rechazar H0")</f>
        <v>Rechazar H0</v>
      </c>
      <c r="F3595" s="0" t="str">
        <f aca="false">IF(AND(B3595="H0 verdadera",E3595="Rechazar H0"),"Error tipo I",IF(AND(B3595="Ha verdadera",E3595="No rechazar H0"),"Error tipo II","Decisión correcta"))</f>
        <v>Decisión correcta</v>
      </c>
    </row>
    <row r="3596" customFormat="false" ht="15" hidden="false" customHeight="false" outlineLevel="0" collapsed="false">
      <c r="A3596" s="0" t="n">
        <v>3575</v>
      </c>
      <c r="B3596" s="0" t="s">
        <v>85</v>
      </c>
      <c r="C3596" s="17" t="n">
        <v>-0.071849417575275</v>
      </c>
      <c r="D3596" s="17" t="n">
        <f aca="false">(C3596-$B$4)/($B$6/SQRT($B$7))</f>
        <v>-0.359247087876375</v>
      </c>
      <c r="E3596" s="0" t="str">
        <f aca="false">IF(OR(AND($B$9="superior",D3596&gt;$B$10),AND($B$9="inferior",D3596&lt;-$B$10)),"Rechazar H0","No rechazar H0")</f>
        <v>No rechazar H0</v>
      </c>
      <c r="F3596" s="0" t="str">
        <f aca="false">IF(AND(B3596="H0 verdadera",E3596="Rechazar H0"),"Error tipo I",IF(AND(B3596="Ha verdadera",E3596="No rechazar H0"),"Error tipo II","Decisión correcta"))</f>
        <v>Decisión correcta</v>
      </c>
    </row>
    <row r="3597" customFormat="false" ht="15" hidden="false" customHeight="false" outlineLevel="0" collapsed="false">
      <c r="A3597" s="0" t="n">
        <v>3576</v>
      </c>
      <c r="B3597" s="0" t="s">
        <v>85</v>
      </c>
      <c r="C3597" s="17" t="n">
        <v>0.0897672310778931</v>
      </c>
      <c r="D3597" s="17" t="n">
        <f aca="false">(C3597-$B$4)/($B$6/SQRT($B$7))</f>
        <v>0.448836155389465</v>
      </c>
      <c r="E3597" s="0" t="str">
        <f aca="false">IF(OR(AND($B$9="superior",D3597&gt;$B$10),AND($B$9="inferior",D3597&lt;-$B$10)),"Rechazar H0","No rechazar H0")</f>
        <v>No rechazar H0</v>
      </c>
      <c r="F3597" s="0" t="str">
        <f aca="false">IF(AND(B3597="H0 verdadera",E3597="Rechazar H0"),"Error tipo I",IF(AND(B3597="Ha verdadera",E3597="No rechazar H0"),"Error tipo II","Decisión correcta"))</f>
        <v>Decisión correcta</v>
      </c>
    </row>
    <row r="3598" customFormat="false" ht="15" hidden="false" customHeight="false" outlineLevel="0" collapsed="false">
      <c r="A3598" s="0" t="n">
        <v>3577</v>
      </c>
      <c r="B3598" s="0" t="s">
        <v>86</v>
      </c>
      <c r="C3598" s="17" t="n">
        <v>-0.209861323774543</v>
      </c>
      <c r="D3598" s="17" t="n">
        <f aca="false">(C3598-$B$4)/($B$6/SQRT($B$7))</f>
        <v>-1.04930661887271</v>
      </c>
      <c r="E3598" s="0" t="str">
        <f aca="false">IF(OR(AND($B$9="superior",D3598&gt;$B$10),AND($B$9="inferior",D3598&lt;-$B$10)),"Rechazar H0","No rechazar H0")</f>
        <v>No rechazar H0</v>
      </c>
      <c r="F3598" s="0" t="str">
        <f aca="false">IF(AND(B3598="H0 verdadera",E3598="Rechazar H0"),"Error tipo I",IF(AND(B3598="Ha verdadera",E3598="No rechazar H0"),"Error tipo II","Decisión correcta"))</f>
        <v>Error tipo II</v>
      </c>
    </row>
    <row r="3599" customFormat="false" ht="15" hidden="false" customHeight="false" outlineLevel="0" collapsed="false">
      <c r="A3599" s="0" t="n">
        <v>3578</v>
      </c>
      <c r="B3599" s="0" t="s">
        <v>85</v>
      </c>
      <c r="C3599" s="17" t="n">
        <v>0.264739528531101</v>
      </c>
      <c r="D3599" s="17" t="n">
        <f aca="false">(C3599-$B$4)/($B$6/SQRT($B$7))</f>
        <v>1.3236976426555</v>
      </c>
      <c r="E3599" s="0" t="str">
        <f aca="false">IF(OR(AND($B$9="superior",D3599&gt;$B$10),AND($B$9="inferior",D3599&lt;-$B$10)),"Rechazar H0","No rechazar H0")</f>
        <v>No rechazar H0</v>
      </c>
      <c r="F3599" s="0" t="str">
        <f aca="false">IF(AND(B3599="H0 verdadera",E3599="Rechazar H0"),"Error tipo I",IF(AND(B3599="Ha verdadera",E3599="No rechazar H0"),"Error tipo II","Decisión correcta"))</f>
        <v>Decisión correcta</v>
      </c>
    </row>
    <row r="3600" customFormat="false" ht="15" hidden="false" customHeight="false" outlineLevel="0" collapsed="false">
      <c r="A3600" s="0" t="n">
        <v>3579</v>
      </c>
      <c r="B3600" s="0" t="s">
        <v>86</v>
      </c>
      <c r="C3600" s="17" t="n">
        <v>-0.325206442232519</v>
      </c>
      <c r="D3600" s="17" t="n">
        <f aca="false">(C3600-$B$4)/($B$6/SQRT($B$7))</f>
        <v>-1.6260322111626</v>
      </c>
      <c r="E3600" s="0" t="str">
        <f aca="false">IF(OR(AND($B$9="superior",D3600&gt;$B$10),AND($B$9="inferior",D3600&lt;-$B$10)),"Rechazar H0","No rechazar H0")</f>
        <v>No rechazar H0</v>
      </c>
      <c r="F3600" s="0" t="str">
        <f aca="false">IF(AND(B3600="H0 verdadera",E3600="Rechazar H0"),"Error tipo I",IF(AND(B3600="Ha verdadera",E3600="No rechazar H0"),"Error tipo II","Decisión correcta"))</f>
        <v>Error tipo II</v>
      </c>
    </row>
    <row r="3601" customFormat="false" ht="15" hidden="false" customHeight="false" outlineLevel="0" collapsed="false">
      <c r="A3601" s="0" t="n">
        <v>3580</v>
      </c>
      <c r="B3601" s="0" t="s">
        <v>85</v>
      </c>
      <c r="C3601" s="17" t="n">
        <v>-0.282218844681122</v>
      </c>
      <c r="D3601" s="17" t="n">
        <f aca="false">(C3601-$B$4)/($B$6/SQRT($B$7))</f>
        <v>-1.41109422340561</v>
      </c>
      <c r="E3601" s="0" t="str">
        <f aca="false">IF(OR(AND($B$9="superior",D3601&gt;$B$10),AND($B$9="inferior",D3601&lt;-$B$10)),"Rechazar H0","No rechazar H0")</f>
        <v>No rechazar H0</v>
      </c>
      <c r="F3601" s="0" t="str">
        <f aca="false">IF(AND(B3601="H0 verdadera",E3601="Rechazar H0"),"Error tipo I",IF(AND(B3601="Ha verdadera",E3601="No rechazar H0"),"Error tipo II","Decisión correcta"))</f>
        <v>Decisión correcta</v>
      </c>
    </row>
    <row r="3602" customFormat="false" ht="15" hidden="false" customHeight="false" outlineLevel="0" collapsed="false">
      <c r="A3602" s="0" t="n">
        <v>3581</v>
      </c>
      <c r="B3602" s="0" t="s">
        <v>86</v>
      </c>
      <c r="C3602" s="17" t="n">
        <v>-0.452358311950892</v>
      </c>
      <c r="D3602" s="17" t="n">
        <f aca="false">(C3602-$B$4)/($B$6/SQRT($B$7))</f>
        <v>-2.26179155975446</v>
      </c>
      <c r="E3602" s="0" t="str">
        <f aca="false">IF(OR(AND($B$9="superior",D3602&gt;$B$10),AND($B$9="inferior",D3602&lt;-$B$10)),"Rechazar H0","No rechazar H0")</f>
        <v>Rechazar H0</v>
      </c>
      <c r="F3602" s="0" t="str">
        <f aca="false">IF(AND(B3602="H0 verdadera",E3602="Rechazar H0"),"Error tipo I",IF(AND(B3602="Ha verdadera",E3602="No rechazar H0"),"Error tipo II","Decisión correcta"))</f>
        <v>Decisión correcta</v>
      </c>
    </row>
    <row r="3603" customFormat="false" ht="15" hidden="false" customHeight="false" outlineLevel="0" collapsed="false">
      <c r="A3603" s="0" t="n">
        <v>3582</v>
      </c>
      <c r="B3603" s="0" t="s">
        <v>86</v>
      </c>
      <c r="C3603" s="17" t="n">
        <v>-0.419866905868114</v>
      </c>
      <c r="D3603" s="17" t="n">
        <f aca="false">(C3603-$B$4)/($B$6/SQRT($B$7))</f>
        <v>-2.09933452934057</v>
      </c>
      <c r="E3603" s="0" t="str">
        <f aca="false">IF(OR(AND($B$9="superior",D3603&gt;$B$10),AND($B$9="inferior",D3603&lt;-$B$10)),"Rechazar H0","No rechazar H0")</f>
        <v>Rechazar H0</v>
      </c>
      <c r="F3603" s="0" t="str">
        <f aca="false">IF(AND(B3603="H0 verdadera",E3603="Rechazar H0"),"Error tipo I",IF(AND(B3603="Ha verdadera",E3603="No rechazar H0"),"Error tipo II","Decisión correcta"))</f>
        <v>Decisión correcta</v>
      </c>
    </row>
    <row r="3604" customFormat="false" ht="15" hidden="false" customHeight="false" outlineLevel="0" collapsed="false">
      <c r="A3604" s="0" t="n">
        <v>3583</v>
      </c>
      <c r="B3604" s="0" t="s">
        <v>85</v>
      </c>
      <c r="C3604" s="17" t="n">
        <v>-0.0128788368118044</v>
      </c>
      <c r="D3604" s="17" t="n">
        <f aca="false">(C3604-$B$4)/($B$6/SQRT($B$7))</f>
        <v>-0.0643941840590222</v>
      </c>
      <c r="E3604" s="0" t="str">
        <f aca="false">IF(OR(AND($B$9="superior",D3604&gt;$B$10),AND($B$9="inferior",D3604&lt;-$B$10)),"Rechazar H0","No rechazar H0")</f>
        <v>No rechazar H0</v>
      </c>
      <c r="F3604" s="0" t="str">
        <f aca="false">IF(AND(B3604="H0 verdadera",E3604="Rechazar H0"),"Error tipo I",IF(AND(B3604="Ha verdadera",E3604="No rechazar H0"),"Error tipo II","Decisión correcta"))</f>
        <v>Decisión correcta</v>
      </c>
    </row>
    <row r="3605" customFormat="false" ht="15" hidden="false" customHeight="false" outlineLevel="0" collapsed="false">
      <c r="A3605" s="0" t="n">
        <v>3584</v>
      </c>
      <c r="B3605" s="0" t="s">
        <v>86</v>
      </c>
      <c r="C3605" s="17" t="n">
        <v>-0.336895930517033</v>
      </c>
      <c r="D3605" s="17" t="n">
        <f aca="false">(C3605-$B$4)/($B$6/SQRT($B$7))</f>
        <v>-1.68447965258516</v>
      </c>
      <c r="E3605" s="0" t="str">
        <f aca="false">IF(OR(AND($B$9="superior",D3605&gt;$B$10),AND($B$9="inferior",D3605&lt;-$B$10)),"Rechazar H0","No rechazar H0")</f>
        <v>Rechazar H0</v>
      </c>
      <c r="F3605" s="0" t="str">
        <f aca="false">IF(AND(B3605="H0 verdadera",E3605="Rechazar H0"),"Error tipo I",IF(AND(B3605="Ha verdadera",E3605="No rechazar H0"),"Error tipo II","Decisión correcta"))</f>
        <v>Decisión correcta</v>
      </c>
    </row>
    <row r="3606" customFormat="false" ht="15" hidden="false" customHeight="false" outlineLevel="0" collapsed="false">
      <c r="A3606" s="0" t="n">
        <v>3585</v>
      </c>
      <c r="B3606" s="0" t="s">
        <v>85</v>
      </c>
      <c r="C3606" s="17" t="n">
        <v>0.265041403152293</v>
      </c>
      <c r="D3606" s="17" t="n">
        <f aca="false">(C3606-$B$4)/($B$6/SQRT($B$7))</f>
        <v>1.32520701576146</v>
      </c>
      <c r="E3606" s="0" t="str">
        <f aca="false">IF(OR(AND($B$9="superior",D3606&gt;$B$10),AND($B$9="inferior",D3606&lt;-$B$10)),"Rechazar H0","No rechazar H0")</f>
        <v>No rechazar H0</v>
      </c>
      <c r="F3606" s="0" t="str">
        <f aca="false">IF(AND(B3606="H0 verdadera",E3606="Rechazar H0"),"Error tipo I",IF(AND(B3606="Ha verdadera",E3606="No rechazar H0"),"Error tipo II","Decisión correcta"))</f>
        <v>Decisión correcta</v>
      </c>
    </row>
    <row r="3607" customFormat="false" ht="15" hidden="false" customHeight="false" outlineLevel="0" collapsed="false">
      <c r="A3607" s="0" t="n">
        <v>3586</v>
      </c>
      <c r="B3607" s="0" t="s">
        <v>86</v>
      </c>
      <c r="C3607" s="17" t="n">
        <v>-0.869860346405485</v>
      </c>
      <c r="D3607" s="17" t="n">
        <f aca="false">(C3607-$B$4)/($B$6/SQRT($B$7))</f>
        <v>-4.34930173202743</v>
      </c>
      <c r="E3607" s="0" t="str">
        <f aca="false">IF(OR(AND($B$9="superior",D3607&gt;$B$10),AND($B$9="inferior",D3607&lt;-$B$10)),"Rechazar H0","No rechazar H0")</f>
        <v>Rechazar H0</v>
      </c>
      <c r="F3607" s="0" t="str">
        <f aca="false">IF(AND(B3607="H0 verdadera",E3607="Rechazar H0"),"Error tipo I",IF(AND(B3607="Ha verdadera",E3607="No rechazar H0"),"Error tipo II","Decisión correcta"))</f>
        <v>Decisión correcta</v>
      </c>
    </row>
    <row r="3608" customFormat="false" ht="15" hidden="false" customHeight="false" outlineLevel="0" collapsed="false">
      <c r="A3608" s="0" t="n">
        <v>3587</v>
      </c>
      <c r="B3608" s="0" t="s">
        <v>86</v>
      </c>
      <c r="C3608" s="17" t="n">
        <v>-0.372770703053093</v>
      </c>
      <c r="D3608" s="17" t="n">
        <f aca="false">(C3608-$B$4)/($B$6/SQRT($B$7))</f>
        <v>-1.86385351526547</v>
      </c>
      <c r="E3608" s="0" t="str">
        <f aca="false">IF(OR(AND($B$9="superior",D3608&gt;$B$10),AND($B$9="inferior",D3608&lt;-$B$10)),"Rechazar H0","No rechazar H0")</f>
        <v>Rechazar H0</v>
      </c>
      <c r="F3608" s="0" t="str">
        <f aca="false">IF(AND(B3608="H0 verdadera",E3608="Rechazar H0"),"Error tipo I",IF(AND(B3608="Ha verdadera",E3608="No rechazar H0"),"Error tipo II","Decisión correcta"))</f>
        <v>Decisión correcta</v>
      </c>
    </row>
    <row r="3609" customFormat="false" ht="15" hidden="false" customHeight="false" outlineLevel="0" collapsed="false">
      <c r="A3609" s="0" t="n">
        <v>3588</v>
      </c>
      <c r="B3609" s="0" t="s">
        <v>86</v>
      </c>
      <c r="C3609" s="17" t="n">
        <v>-0.410843028983798</v>
      </c>
      <c r="D3609" s="17" t="n">
        <f aca="false">(C3609-$B$4)/($B$6/SQRT($B$7))</f>
        <v>-2.05421514491899</v>
      </c>
      <c r="E3609" s="0" t="str">
        <f aca="false">IF(OR(AND($B$9="superior",D3609&gt;$B$10),AND($B$9="inferior",D3609&lt;-$B$10)),"Rechazar H0","No rechazar H0")</f>
        <v>Rechazar H0</v>
      </c>
      <c r="F3609" s="0" t="str">
        <f aca="false">IF(AND(B3609="H0 verdadera",E3609="Rechazar H0"),"Error tipo I",IF(AND(B3609="Ha verdadera",E3609="No rechazar H0"),"Error tipo II","Decisión correcta"))</f>
        <v>Decisión correcta</v>
      </c>
    </row>
    <row r="3610" customFormat="false" ht="15" hidden="false" customHeight="false" outlineLevel="0" collapsed="false">
      <c r="A3610" s="0" t="n">
        <v>3589</v>
      </c>
      <c r="B3610" s="0" t="s">
        <v>85</v>
      </c>
      <c r="C3610" s="17" t="n">
        <v>0.115031820721149</v>
      </c>
      <c r="D3610" s="17" t="n">
        <f aca="false">(C3610-$B$4)/($B$6/SQRT($B$7))</f>
        <v>0.575159103605745</v>
      </c>
      <c r="E3610" s="0" t="str">
        <f aca="false">IF(OR(AND($B$9="superior",D3610&gt;$B$10),AND($B$9="inferior",D3610&lt;-$B$10)),"Rechazar H0","No rechazar H0")</f>
        <v>No rechazar H0</v>
      </c>
      <c r="F3610" s="0" t="str">
        <f aca="false">IF(AND(B3610="H0 verdadera",E3610="Rechazar H0"),"Error tipo I",IF(AND(B3610="Ha verdadera",E3610="No rechazar H0"),"Error tipo II","Decisión correcta"))</f>
        <v>Decisión correcta</v>
      </c>
    </row>
    <row r="3611" customFormat="false" ht="15" hidden="false" customHeight="false" outlineLevel="0" collapsed="false">
      <c r="A3611" s="0" t="n">
        <v>3590</v>
      </c>
      <c r="B3611" s="0" t="s">
        <v>85</v>
      </c>
      <c r="C3611" s="17" t="n">
        <v>0.0738499884176846</v>
      </c>
      <c r="D3611" s="17" t="n">
        <f aca="false">(C3611-$B$4)/($B$6/SQRT($B$7))</f>
        <v>0.369249942088423</v>
      </c>
      <c r="E3611" s="0" t="str">
        <f aca="false">IF(OR(AND($B$9="superior",D3611&gt;$B$10),AND($B$9="inferior",D3611&lt;-$B$10)),"Rechazar H0","No rechazar H0")</f>
        <v>No rechazar H0</v>
      </c>
      <c r="F3611" s="0" t="str">
        <f aca="false">IF(AND(B3611="H0 verdadera",E3611="Rechazar H0"),"Error tipo I",IF(AND(B3611="Ha verdadera",E3611="No rechazar H0"),"Error tipo II","Decisión correcta"))</f>
        <v>Decisión correcta</v>
      </c>
    </row>
    <row r="3612" customFormat="false" ht="15" hidden="false" customHeight="false" outlineLevel="0" collapsed="false">
      <c r="A3612" s="0" t="n">
        <v>3591</v>
      </c>
      <c r="B3612" s="0" t="s">
        <v>85</v>
      </c>
      <c r="C3612" s="17" t="n">
        <v>0.0956960737369588</v>
      </c>
      <c r="D3612" s="17" t="n">
        <f aca="false">(C3612-$B$4)/($B$6/SQRT($B$7))</f>
        <v>0.478480368684794</v>
      </c>
      <c r="E3612" s="0" t="str">
        <f aca="false">IF(OR(AND($B$9="superior",D3612&gt;$B$10),AND($B$9="inferior",D3612&lt;-$B$10)),"Rechazar H0","No rechazar H0")</f>
        <v>No rechazar H0</v>
      </c>
      <c r="F3612" s="0" t="str">
        <f aca="false">IF(AND(B3612="H0 verdadera",E3612="Rechazar H0"),"Error tipo I",IF(AND(B3612="Ha verdadera",E3612="No rechazar H0"),"Error tipo II","Decisión correcta"))</f>
        <v>Decisión correcta</v>
      </c>
    </row>
    <row r="3613" customFormat="false" ht="15" hidden="false" customHeight="false" outlineLevel="0" collapsed="false">
      <c r="A3613" s="0" t="n">
        <v>3592</v>
      </c>
      <c r="B3613" s="0" t="s">
        <v>86</v>
      </c>
      <c r="C3613" s="17" t="n">
        <v>-0.698859837606109</v>
      </c>
      <c r="D3613" s="17" t="n">
        <f aca="false">(C3613-$B$4)/($B$6/SQRT($B$7))</f>
        <v>-3.49429918803054</v>
      </c>
      <c r="E3613" s="0" t="str">
        <f aca="false">IF(OR(AND($B$9="superior",D3613&gt;$B$10),AND($B$9="inferior",D3613&lt;-$B$10)),"Rechazar H0","No rechazar H0")</f>
        <v>Rechazar H0</v>
      </c>
      <c r="F3613" s="0" t="str">
        <f aca="false">IF(AND(B3613="H0 verdadera",E3613="Rechazar H0"),"Error tipo I",IF(AND(B3613="Ha verdadera",E3613="No rechazar H0"),"Error tipo II","Decisión correcta"))</f>
        <v>Decisión correcta</v>
      </c>
    </row>
    <row r="3614" customFormat="false" ht="15" hidden="false" customHeight="false" outlineLevel="0" collapsed="false">
      <c r="A3614" s="0" t="n">
        <v>3593</v>
      </c>
      <c r="B3614" s="0" t="s">
        <v>86</v>
      </c>
      <c r="C3614" s="17" t="n">
        <v>-0.287840667561502</v>
      </c>
      <c r="D3614" s="17" t="n">
        <f aca="false">(C3614-$B$4)/($B$6/SQRT($B$7))</f>
        <v>-1.43920333780751</v>
      </c>
      <c r="E3614" s="0" t="str">
        <f aca="false">IF(OR(AND($B$9="superior",D3614&gt;$B$10),AND($B$9="inferior",D3614&lt;-$B$10)),"Rechazar H0","No rechazar H0")</f>
        <v>No rechazar H0</v>
      </c>
      <c r="F3614" s="0" t="str">
        <f aca="false">IF(AND(B3614="H0 verdadera",E3614="Rechazar H0"),"Error tipo I",IF(AND(B3614="Ha verdadera",E3614="No rechazar H0"),"Error tipo II","Decisión correcta"))</f>
        <v>Error tipo II</v>
      </c>
    </row>
    <row r="3615" customFormat="false" ht="15" hidden="false" customHeight="false" outlineLevel="0" collapsed="false">
      <c r="A3615" s="0" t="n">
        <v>3594</v>
      </c>
      <c r="B3615" s="0" t="s">
        <v>85</v>
      </c>
      <c r="C3615" s="17" t="n">
        <v>-0.00142782049637908</v>
      </c>
      <c r="D3615" s="17" t="n">
        <f aca="false">(C3615-$B$4)/($B$6/SQRT($B$7))</f>
        <v>-0.0071391024818954</v>
      </c>
      <c r="E3615" s="0" t="str">
        <f aca="false">IF(OR(AND($B$9="superior",D3615&gt;$B$10),AND($B$9="inferior",D3615&lt;-$B$10)),"Rechazar H0","No rechazar H0")</f>
        <v>No rechazar H0</v>
      </c>
      <c r="F3615" s="0" t="str">
        <f aca="false">IF(AND(B3615="H0 verdadera",E3615="Rechazar H0"),"Error tipo I",IF(AND(B3615="Ha verdadera",E3615="No rechazar H0"),"Error tipo II","Decisión correcta"))</f>
        <v>Decisión correcta</v>
      </c>
    </row>
    <row r="3616" customFormat="false" ht="15" hidden="false" customHeight="false" outlineLevel="0" collapsed="false">
      <c r="A3616" s="0" t="n">
        <v>3595</v>
      </c>
      <c r="B3616" s="0" t="s">
        <v>85</v>
      </c>
      <c r="C3616" s="17" t="n">
        <v>-0.239981453611236</v>
      </c>
      <c r="D3616" s="17" t="n">
        <f aca="false">(C3616-$B$4)/($B$6/SQRT($B$7))</f>
        <v>-1.19990726805618</v>
      </c>
      <c r="E3616" s="0" t="str">
        <f aca="false">IF(OR(AND($B$9="superior",D3616&gt;$B$10),AND($B$9="inferior",D3616&lt;-$B$10)),"Rechazar H0","No rechazar H0")</f>
        <v>No rechazar H0</v>
      </c>
      <c r="F3616" s="0" t="str">
        <f aca="false">IF(AND(B3616="H0 verdadera",E3616="Rechazar H0"),"Error tipo I",IF(AND(B3616="Ha verdadera",E3616="No rechazar H0"),"Error tipo II","Decisión correcta"))</f>
        <v>Decisión correcta</v>
      </c>
    </row>
    <row r="3617" customFormat="false" ht="15" hidden="false" customHeight="false" outlineLevel="0" collapsed="false">
      <c r="A3617" s="0" t="n">
        <v>3596</v>
      </c>
      <c r="B3617" s="0" t="s">
        <v>85</v>
      </c>
      <c r="C3617" s="17" t="n">
        <v>0.0843077663851459</v>
      </c>
      <c r="D3617" s="17" t="n">
        <f aca="false">(C3617-$B$4)/($B$6/SQRT($B$7))</f>
        <v>0.42153883192573</v>
      </c>
      <c r="E3617" s="0" t="str">
        <f aca="false">IF(OR(AND($B$9="superior",D3617&gt;$B$10),AND($B$9="inferior",D3617&lt;-$B$10)),"Rechazar H0","No rechazar H0")</f>
        <v>No rechazar H0</v>
      </c>
      <c r="F3617" s="0" t="str">
        <f aca="false">IF(AND(B3617="H0 verdadera",E3617="Rechazar H0"),"Error tipo I",IF(AND(B3617="Ha verdadera",E3617="No rechazar H0"),"Error tipo II","Decisión correcta"))</f>
        <v>Decisión correcta</v>
      </c>
    </row>
    <row r="3618" customFormat="false" ht="15" hidden="false" customHeight="false" outlineLevel="0" collapsed="false">
      <c r="A3618" s="0" t="n">
        <v>3597</v>
      </c>
      <c r="B3618" s="0" t="s">
        <v>85</v>
      </c>
      <c r="C3618" s="17" t="n">
        <v>-0.121281099338437</v>
      </c>
      <c r="D3618" s="17" t="n">
        <f aca="false">(C3618-$B$4)/($B$6/SQRT($B$7))</f>
        <v>-0.606405496692184</v>
      </c>
      <c r="E3618" s="0" t="str">
        <f aca="false">IF(OR(AND($B$9="superior",D3618&gt;$B$10),AND($B$9="inferior",D3618&lt;-$B$10)),"Rechazar H0","No rechazar H0")</f>
        <v>No rechazar H0</v>
      </c>
      <c r="F3618" s="0" t="str">
        <f aca="false">IF(AND(B3618="H0 verdadera",E3618="Rechazar H0"),"Error tipo I",IF(AND(B3618="Ha verdadera",E3618="No rechazar H0"),"Error tipo II","Decisión correcta"))</f>
        <v>Decisión correcta</v>
      </c>
    </row>
    <row r="3619" customFormat="false" ht="15" hidden="false" customHeight="false" outlineLevel="0" collapsed="false">
      <c r="A3619" s="0" t="n">
        <v>3598</v>
      </c>
      <c r="B3619" s="0" t="s">
        <v>86</v>
      </c>
      <c r="C3619" s="17" t="n">
        <v>-0.425440838599845</v>
      </c>
      <c r="D3619" s="17" t="n">
        <f aca="false">(C3619-$B$4)/($B$6/SQRT($B$7))</f>
        <v>-2.12720419299923</v>
      </c>
      <c r="E3619" s="0" t="str">
        <f aca="false">IF(OR(AND($B$9="superior",D3619&gt;$B$10),AND($B$9="inferior",D3619&lt;-$B$10)),"Rechazar H0","No rechazar H0")</f>
        <v>Rechazar H0</v>
      </c>
      <c r="F3619" s="0" t="str">
        <f aca="false">IF(AND(B3619="H0 verdadera",E3619="Rechazar H0"),"Error tipo I",IF(AND(B3619="Ha verdadera",E3619="No rechazar H0"),"Error tipo II","Decisión correcta"))</f>
        <v>Decisión correcta</v>
      </c>
    </row>
    <row r="3620" customFormat="false" ht="15" hidden="false" customHeight="false" outlineLevel="0" collapsed="false">
      <c r="A3620" s="0" t="n">
        <v>3599</v>
      </c>
      <c r="B3620" s="0" t="s">
        <v>86</v>
      </c>
      <c r="C3620" s="17" t="n">
        <v>-0.205876745845406</v>
      </c>
      <c r="D3620" s="17" t="n">
        <f aca="false">(C3620-$B$4)/($B$6/SQRT($B$7))</f>
        <v>-1.02938372922703</v>
      </c>
      <c r="E3620" s="0" t="str">
        <f aca="false">IF(OR(AND($B$9="superior",D3620&gt;$B$10),AND($B$9="inferior",D3620&lt;-$B$10)),"Rechazar H0","No rechazar H0")</f>
        <v>No rechazar H0</v>
      </c>
      <c r="F3620" s="0" t="str">
        <f aca="false">IF(AND(B3620="H0 verdadera",E3620="Rechazar H0"),"Error tipo I",IF(AND(B3620="Ha verdadera",E3620="No rechazar H0"),"Error tipo II","Decisión correcta"))</f>
        <v>Error tipo II</v>
      </c>
    </row>
    <row r="3621" customFormat="false" ht="15" hidden="false" customHeight="false" outlineLevel="0" collapsed="false">
      <c r="A3621" s="0" t="n">
        <v>3600</v>
      </c>
      <c r="B3621" s="0" t="s">
        <v>85</v>
      </c>
      <c r="C3621" s="17" t="n">
        <v>0.0167495658598532</v>
      </c>
      <c r="D3621" s="17" t="n">
        <f aca="false">(C3621-$B$4)/($B$6/SQRT($B$7))</f>
        <v>0.0837478292992658</v>
      </c>
      <c r="E3621" s="0" t="str">
        <f aca="false">IF(OR(AND($B$9="superior",D3621&gt;$B$10),AND($B$9="inferior",D3621&lt;-$B$10)),"Rechazar H0","No rechazar H0")</f>
        <v>No rechazar H0</v>
      </c>
      <c r="F3621" s="0" t="str">
        <f aca="false">IF(AND(B3621="H0 verdadera",E3621="Rechazar H0"),"Error tipo I",IF(AND(B3621="Ha verdadera",E3621="No rechazar H0"),"Error tipo II","Decisión correcta"))</f>
        <v>Decisión correcta</v>
      </c>
    </row>
    <row r="3622" customFormat="false" ht="15" hidden="false" customHeight="false" outlineLevel="0" collapsed="false">
      <c r="A3622" s="0" t="n">
        <v>3601</v>
      </c>
      <c r="B3622" s="0" t="s">
        <v>86</v>
      </c>
      <c r="C3622" s="17" t="n">
        <v>-0.466999760167531</v>
      </c>
      <c r="D3622" s="17" t="n">
        <f aca="false">(C3622-$B$4)/($B$6/SQRT($B$7))</f>
        <v>-2.33499880083765</v>
      </c>
      <c r="E3622" s="0" t="str">
        <f aca="false">IF(OR(AND($B$9="superior",D3622&gt;$B$10),AND($B$9="inferior",D3622&lt;-$B$10)),"Rechazar H0","No rechazar H0")</f>
        <v>Rechazar H0</v>
      </c>
      <c r="F3622" s="0" t="str">
        <f aca="false">IF(AND(B3622="H0 verdadera",E3622="Rechazar H0"),"Error tipo I",IF(AND(B3622="Ha verdadera",E3622="No rechazar H0"),"Error tipo II","Decisión correcta"))</f>
        <v>Decisión correcta</v>
      </c>
    </row>
    <row r="3623" customFormat="false" ht="15" hidden="false" customHeight="false" outlineLevel="0" collapsed="false">
      <c r="A3623" s="0" t="n">
        <v>3602</v>
      </c>
      <c r="B3623" s="0" t="s">
        <v>85</v>
      </c>
      <c r="C3623" s="17" t="n">
        <v>0.218638576919185</v>
      </c>
      <c r="D3623" s="17" t="n">
        <f aca="false">(C3623-$B$4)/($B$6/SQRT($B$7))</f>
        <v>1.09319288459593</v>
      </c>
      <c r="E3623" s="0" t="str">
        <f aca="false">IF(OR(AND($B$9="superior",D3623&gt;$B$10),AND($B$9="inferior",D3623&lt;-$B$10)),"Rechazar H0","No rechazar H0")</f>
        <v>No rechazar H0</v>
      </c>
      <c r="F3623" s="0" t="str">
        <f aca="false">IF(AND(B3623="H0 verdadera",E3623="Rechazar H0"),"Error tipo I",IF(AND(B3623="Ha verdadera",E3623="No rechazar H0"),"Error tipo II","Decisión correcta"))</f>
        <v>Decisión correcta</v>
      </c>
    </row>
    <row r="3624" customFormat="false" ht="15" hidden="false" customHeight="false" outlineLevel="0" collapsed="false">
      <c r="A3624" s="0" t="n">
        <v>3603</v>
      </c>
      <c r="B3624" s="0" t="s">
        <v>85</v>
      </c>
      <c r="C3624" s="17" t="n">
        <v>0.319859424281152</v>
      </c>
      <c r="D3624" s="17" t="n">
        <f aca="false">(C3624-$B$4)/($B$6/SQRT($B$7))</f>
        <v>1.59929712140576</v>
      </c>
      <c r="E3624" s="0" t="str">
        <f aca="false">IF(OR(AND($B$9="superior",D3624&gt;$B$10),AND($B$9="inferior",D3624&lt;-$B$10)),"Rechazar H0","No rechazar H0")</f>
        <v>No rechazar H0</v>
      </c>
      <c r="F3624" s="0" t="str">
        <f aca="false">IF(AND(B3624="H0 verdadera",E3624="Rechazar H0"),"Error tipo I",IF(AND(B3624="Ha verdadera",E3624="No rechazar H0"),"Error tipo II","Decisión correcta"))</f>
        <v>Decisión correcta</v>
      </c>
    </row>
    <row r="3625" customFormat="false" ht="15" hidden="false" customHeight="false" outlineLevel="0" collapsed="false">
      <c r="A3625" s="0" t="n">
        <v>3604</v>
      </c>
      <c r="B3625" s="0" t="s">
        <v>86</v>
      </c>
      <c r="C3625" s="17" t="n">
        <v>-0.373806311203066</v>
      </c>
      <c r="D3625" s="17" t="n">
        <f aca="false">(C3625-$B$4)/($B$6/SQRT($B$7))</f>
        <v>-1.86903155601533</v>
      </c>
      <c r="E3625" s="0" t="str">
        <f aca="false">IF(OR(AND($B$9="superior",D3625&gt;$B$10),AND($B$9="inferior",D3625&lt;-$B$10)),"Rechazar H0","No rechazar H0")</f>
        <v>Rechazar H0</v>
      </c>
      <c r="F3625" s="0" t="str">
        <f aca="false">IF(AND(B3625="H0 verdadera",E3625="Rechazar H0"),"Error tipo I",IF(AND(B3625="Ha verdadera",E3625="No rechazar H0"),"Error tipo II","Decisión correcta"))</f>
        <v>Decisión correcta</v>
      </c>
    </row>
    <row r="3626" customFormat="false" ht="15" hidden="false" customHeight="false" outlineLevel="0" collapsed="false">
      <c r="A3626" s="0" t="n">
        <v>3605</v>
      </c>
      <c r="B3626" s="0" t="s">
        <v>85</v>
      </c>
      <c r="C3626" s="17" t="n">
        <v>-0.0219492838950018</v>
      </c>
      <c r="D3626" s="17" t="n">
        <f aca="false">(C3626-$B$4)/($B$6/SQRT($B$7))</f>
        <v>-0.109746419475009</v>
      </c>
      <c r="E3626" s="0" t="str">
        <f aca="false">IF(OR(AND($B$9="superior",D3626&gt;$B$10),AND($B$9="inferior",D3626&lt;-$B$10)),"Rechazar H0","No rechazar H0")</f>
        <v>No rechazar H0</v>
      </c>
      <c r="F3626" s="0" t="str">
        <f aca="false">IF(AND(B3626="H0 verdadera",E3626="Rechazar H0"),"Error tipo I",IF(AND(B3626="Ha verdadera",E3626="No rechazar H0"),"Error tipo II","Decisión correcta"))</f>
        <v>Decisión correcta</v>
      </c>
    </row>
    <row r="3627" customFormat="false" ht="15" hidden="false" customHeight="false" outlineLevel="0" collapsed="false">
      <c r="A3627" s="0" t="n">
        <v>3606</v>
      </c>
      <c r="B3627" s="0" t="s">
        <v>85</v>
      </c>
      <c r="C3627" s="17" t="n">
        <v>-0.011028459049412</v>
      </c>
      <c r="D3627" s="17" t="n">
        <f aca="false">(C3627-$B$4)/($B$6/SQRT($B$7))</f>
        <v>-0.0551422952470602</v>
      </c>
      <c r="E3627" s="0" t="str">
        <f aca="false">IF(OR(AND($B$9="superior",D3627&gt;$B$10),AND($B$9="inferior",D3627&lt;-$B$10)),"Rechazar H0","No rechazar H0")</f>
        <v>No rechazar H0</v>
      </c>
      <c r="F3627" s="0" t="str">
        <f aca="false">IF(AND(B3627="H0 verdadera",E3627="Rechazar H0"),"Error tipo I",IF(AND(B3627="Ha verdadera",E3627="No rechazar H0"),"Error tipo II","Decisión correcta"))</f>
        <v>Decisión correcta</v>
      </c>
    </row>
    <row r="3628" customFormat="false" ht="15" hidden="false" customHeight="false" outlineLevel="0" collapsed="false">
      <c r="A3628" s="0" t="n">
        <v>3607</v>
      </c>
      <c r="B3628" s="0" t="s">
        <v>86</v>
      </c>
      <c r="C3628" s="17" t="n">
        <v>-0.278871337690738</v>
      </c>
      <c r="D3628" s="17" t="n">
        <f aca="false">(C3628-$B$4)/($B$6/SQRT($B$7))</f>
        <v>-1.39435668845369</v>
      </c>
      <c r="E3628" s="0" t="str">
        <f aca="false">IF(OR(AND($B$9="superior",D3628&gt;$B$10),AND($B$9="inferior",D3628&lt;-$B$10)),"Rechazar H0","No rechazar H0")</f>
        <v>No rechazar H0</v>
      </c>
      <c r="F3628" s="0" t="str">
        <f aca="false">IF(AND(B3628="H0 verdadera",E3628="Rechazar H0"),"Error tipo I",IF(AND(B3628="Ha verdadera",E3628="No rechazar H0"),"Error tipo II","Decisión correcta"))</f>
        <v>Error tipo II</v>
      </c>
    </row>
    <row r="3629" customFormat="false" ht="15" hidden="false" customHeight="false" outlineLevel="0" collapsed="false">
      <c r="A3629" s="0" t="n">
        <v>3608</v>
      </c>
      <c r="B3629" s="0" t="s">
        <v>85</v>
      </c>
      <c r="C3629" s="17" t="n">
        <v>0.0107837701590277</v>
      </c>
      <c r="D3629" s="17" t="n">
        <f aca="false">(C3629-$B$4)/($B$6/SQRT($B$7))</f>
        <v>0.0539188507951386</v>
      </c>
      <c r="E3629" s="0" t="str">
        <f aca="false">IF(OR(AND($B$9="superior",D3629&gt;$B$10),AND($B$9="inferior",D3629&lt;-$B$10)),"Rechazar H0","No rechazar H0")</f>
        <v>No rechazar H0</v>
      </c>
      <c r="F3629" s="0" t="str">
        <f aca="false">IF(AND(B3629="H0 verdadera",E3629="Rechazar H0"),"Error tipo I",IF(AND(B3629="Ha verdadera",E3629="No rechazar H0"),"Error tipo II","Decisión correcta"))</f>
        <v>Decisión correcta</v>
      </c>
    </row>
    <row r="3630" customFormat="false" ht="15" hidden="false" customHeight="false" outlineLevel="0" collapsed="false">
      <c r="A3630" s="0" t="n">
        <v>3609</v>
      </c>
      <c r="B3630" s="0" t="s">
        <v>85</v>
      </c>
      <c r="C3630" s="17" t="n">
        <v>0.141775852018631</v>
      </c>
      <c r="D3630" s="17" t="n">
        <f aca="false">(C3630-$B$4)/($B$6/SQRT($B$7))</f>
        <v>0.708879260093156</v>
      </c>
      <c r="E3630" s="0" t="str">
        <f aca="false">IF(OR(AND($B$9="superior",D3630&gt;$B$10),AND($B$9="inferior",D3630&lt;-$B$10)),"Rechazar H0","No rechazar H0")</f>
        <v>No rechazar H0</v>
      </c>
      <c r="F3630" s="0" t="str">
        <f aca="false">IF(AND(B3630="H0 verdadera",E3630="Rechazar H0"),"Error tipo I",IF(AND(B3630="Ha verdadera",E3630="No rechazar H0"),"Error tipo II","Decisión correcta"))</f>
        <v>Decisión correcta</v>
      </c>
    </row>
    <row r="3631" customFormat="false" ht="15" hidden="false" customHeight="false" outlineLevel="0" collapsed="false">
      <c r="A3631" s="0" t="n">
        <v>3610</v>
      </c>
      <c r="B3631" s="0" t="s">
        <v>86</v>
      </c>
      <c r="C3631" s="17" t="n">
        <v>-0.79119627171543</v>
      </c>
      <c r="D3631" s="17" t="n">
        <f aca="false">(C3631-$B$4)/($B$6/SQRT($B$7))</f>
        <v>-3.95598135857715</v>
      </c>
      <c r="E3631" s="0" t="str">
        <f aca="false">IF(OR(AND($B$9="superior",D3631&gt;$B$10),AND($B$9="inferior",D3631&lt;-$B$10)),"Rechazar H0","No rechazar H0")</f>
        <v>Rechazar H0</v>
      </c>
      <c r="F3631" s="0" t="str">
        <f aca="false">IF(AND(B3631="H0 verdadera",E3631="Rechazar H0"),"Error tipo I",IF(AND(B3631="Ha verdadera",E3631="No rechazar H0"),"Error tipo II","Decisión correcta"))</f>
        <v>Decisión correcta</v>
      </c>
    </row>
    <row r="3632" customFormat="false" ht="15" hidden="false" customHeight="false" outlineLevel="0" collapsed="false">
      <c r="A3632" s="0" t="n">
        <v>3611</v>
      </c>
      <c r="B3632" s="0" t="s">
        <v>86</v>
      </c>
      <c r="C3632" s="17" t="n">
        <v>-0.398612588845686</v>
      </c>
      <c r="D3632" s="17" t="n">
        <f aca="false">(C3632-$B$4)/($B$6/SQRT($B$7))</f>
        <v>-1.99306294422843</v>
      </c>
      <c r="E3632" s="0" t="str">
        <f aca="false">IF(OR(AND($B$9="superior",D3632&gt;$B$10),AND($B$9="inferior",D3632&lt;-$B$10)),"Rechazar H0","No rechazar H0")</f>
        <v>Rechazar H0</v>
      </c>
      <c r="F3632" s="0" t="str">
        <f aca="false">IF(AND(B3632="H0 verdadera",E3632="Rechazar H0"),"Error tipo I",IF(AND(B3632="Ha verdadera",E3632="No rechazar H0"),"Error tipo II","Decisión correcta"))</f>
        <v>Decisión correcta</v>
      </c>
    </row>
    <row r="3633" customFormat="false" ht="15" hidden="false" customHeight="false" outlineLevel="0" collapsed="false">
      <c r="A3633" s="0" t="n">
        <v>3612</v>
      </c>
      <c r="B3633" s="0" t="s">
        <v>86</v>
      </c>
      <c r="C3633" s="17" t="n">
        <v>-0.358686381963369</v>
      </c>
      <c r="D3633" s="17" t="n">
        <f aca="false">(C3633-$B$4)/($B$6/SQRT($B$7))</f>
        <v>-1.79343190981685</v>
      </c>
      <c r="E3633" s="0" t="str">
        <f aca="false">IF(OR(AND($B$9="superior",D3633&gt;$B$10),AND($B$9="inferior",D3633&lt;-$B$10)),"Rechazar H0","No rechazar H0")</f>
        <v>Rechazar H0</v>
      </c>
      <c r="F3633" s="0" t="str">
        <f aca="false">IF(AND(B3633="H0 verdadera",E3633="Rechazar H0"),"Error tipo I",IF(AND(B3633="Ha verdadera",E3633="No rechazar H0"),"Error tipo II","Decisión correcta"))</f>
        <v>Decisión correcta</v>
      </c>
    </row>
    <row r="3634" customFormat="false" ht="15" hidden="false" customHeight="false" outlineLevel="0" collapsed="false">
      <c r="A3634" s="0" t="n">
        <v>3613</v>
      </c>
      <c r="B3634" s="0" t="s">
        <v>85</v>
      </c>
      <c r="C3634" s="17" t="n">
        <v>0.248454086535031</v>
      </c>
      <c r="D3634" s="17" t="n">
        <f aca="false">(C3634-$B$4)/($B$6/SQRT($B$7))</f>
        <v>1.24227043267516</v>
      </c>
      <c r="E3634" s="0" t="str">
        <f aca="false">IF(OR(AND($B$9="superior",D3634&gt;$B$10),AND($B$9="inferior",D3634&lt;-$B$10)),"Rechazar H0","No rechazar H0")</f>
        <v>No rechazar H0</v>
      </c>
      <c r="F3634" s="0" t="str">
        <f aca="false">IF(AND(B3634="H0 verdadera",E3634="Rechazar H0"),"Error tipo I",IF(AND(B3634="Ha verdadera",E3634="No rechazar H0"),"Error tipo II","Decisión correcta"))</f>
        <v>Decisión correcta</v>
      </c>
    </row>
    <row r="3635" customFormat="false" ht="15" hidden="false" customHeight="false" outlineLevel="0" collapsed="false">
      <c r="A3635" s="0" t="n">
        <v>3614</v>
      </c>
      <c r="B3635" s="0" t="s">
        <v>86</v>
      </c>
      <c r="C3635" s="17" t="n">
        <v>-0.402919524965421</v>
      </c>
      <c r="D3635" s="17" t="n">
        <f aca="false">(C3635-$B$4)/($B$6/SQRT($B$7))</f>
        <v>-2.0145976248271</v>
      </c>
      <c r="E3635" s="0" t="str">
        <f aca="false">IF(OR(AND($B$9="superior",D3635&gt;$B$10),AND($B$9="inferior",D3635&lt;-$B$10)),"Rechazar H0","No rechazar H0")</f>
        <v>Rechazar H0</v>
      </c>
      <c r="F3635" s="0" t="str">
        <f aca="false">IF(AND(B3635="H0 verdadera",E3635="Rechazar H0"),"Error tipo I",IF(AND(B3635="Ha verdadera",E3635="No rechazar H0"),"Error tipo II","Decisión correcta"))</f>
        <v>Decisión correcta</v>
      </c>
    </row>
    <row r="3636" customFormat="false" ht="15" hidden="false" customHeight="false" outlineLevel="0" collapsed="false">
      <c r="A3636" s="0" t="n">
        <v>3615</v>
      </c>
      <c r="B3636" s="0" t="s">
        <v>85</v>
      </c>
      <c r="C3636" s="17" t="n">
        <v>-0.201780769999044</v>
      </c>
      <c r="D3636" s="17" t="n">
        <f aca="false">(C3636-$B$4)/($B$6/SQRT($B$7))</f>
        <v>-1.00890384999522</v>
      </c>
      <c r="E3636" s="0" t="str">
        <f aca="false">IF(OR(AND($B$9="superior",D3636&gt;$B$10),AND($B$9="inferior",D3636&lt;-$B$10)),"Rechazar H0","No rechazar H0")</f>
        <v>No rechazar H0</v>
      </c>
      <c r="F3636" s="0" t="str">
        <f aca="false">IF(AND(B3636="H0 verdadera",E3636="Rechazar H0"),"Error tipo I",IF(AND(B3636="Ha verdadera",E3636="No rechazar H0"),"Error tipo II","Decisión correcta"))</f>
        <v>Decisión correcta</v>
      </c>
    </row>
    <row r="3637" customFormat="false" ht="15" hidden="false" customHeight="false" outlineLevel="0" collapsed="false">
      <c r="A3637" s="0" t="n">
        <v>3616</v>
      </c>
      <c r="B3637" s="0" t="s">
        <v>86</v>
      </c>
      <c r="C3637" s="17" t="n">
        <v>-0.404110720498331</v>
      </c>
      <c r="D3637" s="17" t="n">
        <f aca="false">(C3637-$B$4)/($B$6/SQRT($B$7))</f>
        <v>-2.02055360249166</v>
      </c>
      <c r="E3637" s="0" t="str">
        <f aca="false">IF(OR(AND($B$9="superior",D3637&gt;$B$10),AND($B$9="inferior",D3637&lt;-$B$10)),"Rechazar H0","No rechazar H0")</f>
        <v>Rechazar H0</v>
      </c>
      <c r="F3637" s="0" t="str">
        <f aca="false">IF(AND(B3637="H0 verdadera",E3637="Rechazar H0"),"Error tipo I",IF(AND(B3637="Ha verdadera",E3637="No rechazar H0"),"Error tipo II","Decisión correcta"))</f>
        <v>Decisión correcta</v>
      </c>
    </row>
    <row r="3638" customFormat="false" ht="15" hidden="false" customHeight="false" outlineLevel="0" collapsed="false">
      <c r="A3638" s="0" t="n">
        <v>3617</v>
      </c>
      <c r="B3638" s="0" t="s">
        <v>85</v>
      </c>
      <c r="C3638" s="17" t="n">
        <v>0.0351394082047075</v>
      </c>
      <c r="D3638" s="17" t="n">
        <f aca="false">(C3638-$B$4)/($B$6/SQRT($B$7))</f>
        <v>0.175697041023537</v>
      </c>
      <c r="E3638" s="0" t="str">
        <f aca="false">IF(OR(AND($B$9="superior",D3638&gt;$B$10),AND($B$9="inferior",D3638&lt;-$B$10)),"Rechazar H0","No rechazar H0")</f>
        <v>No rechazar H0</v>
      </c>
      <c r="F3638" s="0" t="str">
        <f aca="false">IF(AND(B3638="H0 verdadera",E3638="Rechazar H0"),"Error tipo I",IF(AND(B3638="Ha verdadera",E3638="No rechazar H0"),"Error tipo II","Decisión correcta"))</f>
        <v>Decisión correcta</v>
      </c>
    </row>
    <row r="3639" customFormat="false" ht="15" hidden="false" customHeight="false" outlineLevel="0" collapsed="false">
      <c r="A3639" s="0" t="n">
        <v>3618</v>
      </c>
      <c r="B3639" s="0" t="s">
        <v>86</v>
      </c>
      <c r="C3639" s="17" t="n">
        <v>-0.369572253339625</v>
      </c>
      <c r="D3639" s="17" t="n">
        <f aca="false">(C3639-$B$4)/($B$6/SQRT($B$7))</f>
        <v>-1.84786126669813</v>
      </c>
      <c r="E3639" s="0" t="str">
        <f aca="false">IF(OR(AND($B$9="superior",D3639&gt;$B$10),AND($B$9="inferior",D3639&lt;-$B$10)),"Rechazar H0","No rechazar H0")</f>
        <v>Rechazar H0</v>
      </c>
      <c r="F3639" s="0" t="str">
        <f aca="false">IF(AND(B3639="H0 verdadera",E3639="Rechazar H0"),"Error tipo I",IF(AND(B3639="Ha verdadera",E3639="No rechazar H0"),"Error tipo II","Decisión correcta"))</f>
        <v>Decisión correcta</v>
      </c>
    </row>
    <row r="3640" customFormat="false" ht="15" hidden="false" customHeight="false" outlineLevel="0" collapsed="false">
      <c r="A3640" s="0" t="n">
        <v>3619</v>
      </c>
      <c r="B3640" s="0" t="s">
        <v>85</v>
      </c>
      <c r="C3640" s="17" t="n">
        <v>0.390589828164192</v>
      </c>
      <c r="D3640" s="17" t="n">
        <f aca="false">(C3640-$B$4)/($B$6/SQRT($B$7))</f>
        <v>1.95294914082096</v>
      </c>
      <c r="E3640" s="0" t="str">
        <f aca="false">IF(OR(AND($B$9="superior",D3640&gt;$B$10),AND($B$9="inferior",D3640&lt;-$B$10)),"Rechazar H0","No rechazar H0")</f>
        <v>No rechazar H0</v>
      </c>
      <c r="F3640" s="0" t="str">
        <f aca="false">IF(AND(B3640="H0 verdadera",E3640="Rechazar H0"),"Error tipo I",IF(AND(B3640="Ha verdadera",E3640="No rechazar H0"),"Error tipo II","Decisión correcta"))</f>
        <v>Decisión correcta</v>
      </c>
    </row>
    <row r="3641" customFormat="false" ht="15" hidden="false" customHeight="false" outlineLevel="0" collapsed="false">
      <c r="A3641" s="0" t="n">
        <v>3620</v>
      </c>
      <c r="B3641" s="0" t="s">
        <v>85</v>
      </c>
      <c r="C3641" s="17" t="n">
        <v>-0.102224218554768</v>
      </c>
      <c r="D3641" s="17" t="n">
        <f aca="false">(C3641-$B$4)/($B$6/SQRT($B$7))</f>
        <v>-0.511121092773842</v>
      </c>
      <c r="E3641" s="0" t="str">
        <f aca="false">IF(OR(AND($B$9="superior",D3641&gt;$B$10),AND($B$9="inferior",D3641&lt;-$B$10)),"Rechazar H0","No rechazar H0")</f>
        <v>No rechazar H0</v>
      </c>
      <c r="F3641" s="0" t="str">
        <f aca="false">IF(AND(B3641="H0 verdadera",E3641="Rechazar H0"),"Error tipo I",IF(AND(B3641="Ha verdadera",E3641="No rechazar H0"),"Error tipo II","Decisión correcta"))</f>
        <v>Decisión correcta</v>
      </c>
    </row>
    <row r="3642" customFormat="false" ht="15" hidden="false" customHeight="false" outlineLevel="0" collapsed="false">
      <c r="A3642" s="0" t="n">
        <v>3621</v>
      </c>
      <c r="B3642" s="0" t="s">
        <v>86</v>
      </c>
      <c r="C3642" s="17" t="n">
        <v>-0.526243651141153</v>
      </c>
      <c r="D3642" s="17" t="n">
        <f aca="false">(C3642-$B$4)/($B$6/SQRT($B$7))</f>
        <v>-2.63121825570576</v>
      </c>
      <c r="E3642" s="0" t="str">
        <f aca="false">IF(OR(AND($B$9="superior",D3642&gt;$B$10),AND($B$9="inferior",D3642&lt;-$B$10)),"Rechazar H0","No rechazar H0")</f>
        <v>Rechazar H0</v>
      </c>
      <c r="F3642" s="0" t="str">
        <f aca="false">IF(AND(B3642="H0 verdadera",E3642="Rechazar H0"),"Error tipo I",IF(AND(B3642="Ha verdadera",E3642="No rechazar H0"),"Error tipo II","Decisión correcta"))</f>
        <v>Decisión correcta</v>
      </c>
    </row>
    <row r="3643" customFormat="false" ht="15" hidden="false" customHeight="false" outlineLevel="0" collapsed="false">
      <c r="A3643" s="0" t="n">
        <v>3622</v>
      </c>
      <c r="B3643" s="0" t="s">
        <v>86</v>
      </c>
      <c r="C3643" s="17" t="n">
        <v>-0.378932689677662</v>
      </c>
      <c r="D3643" s="17" t="n">
        <f aca="false">(C3643-$B$4)/($B$6/SQRT($B$7))</f>
        <v>-1.89466344838831</v>
      </c>
      <c r="E3643" s="0" t="str">
        <f aca="false">IF(OR(AND($B$9="superior",D3643&gt;$B$10),AND($B$9="inferior",D3643&lt;-$B$10)),"Rechazar H0","No rechazar H0")</f>
        <v>Rechazar H0</v>
      </c>
      <c r="F3643" s="0" t="str">
        <f aca="false">IF(AND(B3643="H0 verdadera",E3643="Rechazar H0"),"Error tipo I",IF(AND(B3643="Ha verdadera",E3643="No rechazar H0"),"Error tipo II","Decisión correcta"))</f>
        <v>Decisión correcta</v>
      </c>
    </row>
    <row r="3644" customFormat="false" ht="15" hidden="false" customHeight="false" outlineLevel="0" collapsed="false">
      <c r="A3644" s="0" t="n">
        <v>3623</v>
      </c>
      <c r="B3644" s="0" t="s">
        <v>86</v>
      </c>
      <c r="C3644" s="17" t="n">
        <v>-0.755415699261669</v>
      </c>
      <c r="D3644" s="17" t="n">
        <f aca="false">(C3644-$B$4)/($B$6/SQRT($B$7))</f>
        <v>-3.77707849630834</v>
      </c>
      <c r="E3644" s="0" t="str">
        <f aca="false">IF(OR(AND($B$9="superior",D3644&gt;$B$10),AND($B$9="inferior",D3644&lt;-$B$10)),"Rechazar H0","No rechazar H0")</f>
        <v>Rechazar H0</v>
      </c>
      <c r="F3644" s="0" t="str">
        <f aca="false">IF(AND(B3644="H0 verdadera",E3644="Rechazar H0"),"Error tipo I",IF(AND(B3644="Ha verdadera",E3644="No rechazar H0"),"Error tipo II","Decisión correcta"))</f>
        <v>Decisión correcta</v>
      </c>
    </row>
    <row r="3645" customFormat="false" ht="15" hidden="false" customHeight="false" outlineLevel="0" collapsed="false">
      <c r="A3645" s="0" t="n">
        <v>3624</v>
      </c>
      <c r="B3645" s="0" t="s">
        <v>86</v>
      </c>
      <c r="C3645" s="17" t="n">
        <v>-0.250976932956017</v>
      </c>
      <c r="D3645" s="17" t="n">
        <f aca="false">(C3645-$B$4)/($B$6/SQRT($B$7))</f>
        <v>-1.25488466478009</v>
      </c>
      <c r="E3645" s="0" t="str">
        <f aca="false">IF(OR(AND($B$9="superior",D3645&gt;$B$10),AND($B$9="inferior",D3645&lt;-$B$10)),"Rechazar H0","No rechazar H0")</f>
        <v>No rechazar H0</v>
      </c>
      <c r="F3645" s="0" t="str">
        <f aca="false">IF(AND(B3645="H0 verdadera",E3645="Rechazar H0"),"Error tipo I",IF(AND(B3645="Ha verdadera",E3645="No rechazar H0"),"Error tipo II","Decisión correcta"))</f>
        <v>Error tipo II</v>
      </c>
    </row>
    <row r="3646" customFormat="false" ht="15" hidden="false" customHeight="false" outlineLevel="0" collapsed="false">
      <c r="A3646" s="0" t="n">
        <v>3625</v>
      </c>
      <c r="B3646" s="0" t="s">
        <v>86</v>
      </c>
      <c r="C3646" s="17" t="n">
        <v>-0.104837966382823</v>
      </c>
      <c r="D3646" s="17" t="n">
        <f aca="false">(C3646-$B$4)/($B$6/SQRT($B$7))</f>
        <v>-0.524189831914113</v>
      </c>
      <c r="E3646" s="0" t="str">
        <f aca="false">IF(OR(AND($B$9="superior",D3646&gt;$B$10),AND($B$9="inferior",D3646&lt;-$B$10)),"Rechazar H0","No rechazar H0")</f>
        <v>No rechazar H0</v>
      </c>
      <c r="F3646" s="0" t="str">
        <f aca="false">IF(AND(B3646="H0 verdadera",E3646="Rechazar H0"),"Error tipo I",IF(AND(B3646="Ha verdadera",E3646="No rechazar H0"),"Error tipo II","Decisión correcta"))</f>
        <v>Error tipo II</v>
      </c>
    </row>
    <row r="3647" customFormat="false" ht="15" hidden="false" customHeight="false" outlineLevel="0" collapsed="false">
      <c r="A3647" s="0" t="n">
        <v>3626</v>
      </c>
      <c r="B3647" s="0" t="s">
        <v>86</v>
      </c>
      <c r="C3647" s="17" t="n">
        <v>-0.557608540964477</v>
      </c>
      <c r="D3647" s="17" t="n">
        <f aca="false">(C3647-$B$4)/($B$6/SQRT($B$7))</f>
        <v>-2.78804270482239</v>
      </c>
      <c r="E3647" s="0" t="str">
        <f aca="false">IF(OR(AND($B$9="superior",D3647&gt;$B$10),AND($B$9="inferior",D3647&lt;-$B$10)),"Rechazar H0","No rechazar H0")</f>
        <v>Rechazar H0</v>
      </c>
      <c r="F3647" s="0" t="str">
        <f aca="false">IF(AND(B3647="H0 verdadera",E3647="Rechazar H0"),"Error tipo I",IF(AND(B3647="Ha verdadera",E3647="No rechazar H0"),"Error tipo II","Decisión correcta"))</f>
        <v>Decisión correcta</v>
      </c>
    </row>
    <row r="3648" customFormat="false" ht="15" hidden="false" customHeight="false" outlineLevel="0" collapsed="false">
      <c r="A3648" s="0" t="n">
        <v>3627</v>
      </c>
      <c r="B3648" s="0" t="s">
        <v>85</v>
      </c>
      <c r="C3648" s="17" t="n">
        <v>0.0539258109645683</v>
      </c>
      <c r="D3648" s="17" t="n">
        <f aca="false">(C3648-$B$4)/($B$6/SQRT($B$7))</f>
        <v>0.269629054822842</v>
      </c>
      <c r="E3648" s="0" t="str">
        <f aca="false">IF(OR(AND($B$9="superior",D3648&gt;$B$10),AND($B$9="inferior",D3648&lt;-$B$10)),"Rechazar H0","No rechazar H0")</f>
        <v>No rechazar H0</v>
      </c>
      <c r="F3648" s="0" t="str">
        <f aca="false">IF(AND(B3648="H0 verdadera",E3648="Rechazar H0"),"Error tipo I",IF(AND(B3648="Ha verdadera",E3648="No rechazar H0"),"Error tipo II","Decisión correcta"))</f>
        <v>Decisión correcta</v>
      </c>
    </row>
    <row r="3649" customFormat="false" ht="15" hidden="false" customHeight="false" outlineLevel="0" collapsed="false">
      <c r="A3649" s="0" t="n">
        <v>3628</v>
      </c>
      <c r="B3649" s="0" t="s">
        <v>85</v>
      </c>
      <c r="C3649" s="17" t="n">
        <v>0.316938275266728</v>
      </c>
      <c r="D3649" s="17" t="n">
        <f aca="false">(C3649-$B$4)/($B$6/SQRT($B$7))</f>
        <v>1.58469137633364</v>
      </c>
      <c r="E3649" s="0" t="str">
        <f aca="false">IF(OR(AND($B$9="superior",D3649&gt;$B$10),AND($B$9="inferior",D3649&lt;-$B$10)),"Rechazar H0","No rechazar H0")</f>
        <v>No rechazar H0</v>
      </c>
      <c r="F3649" s="0" t="str">
        <f aca="false">IF(AND(B3649="H0 verdadera",E3649="Rechazar H0"),"Error tipo I",IF(AND(B3649="Ha verdadera",E3649="No rechazar H0"),"Error tipo II","Decisión correcta"))</f>
        <v>Decisión correcta</v>
      </c>
    </row>
    <row r="3650" customFormat="false" ht="15" hidden="false" customHeight="false" outlineLevel="0" collapsed="false">
      <c r="A3650" s="0" t="n">
        <v>3629</v>
      </c>
      <c r="B3650" s="0" t="s">
        <v>85</v>
      </c>
      <c r="C3650" s="17" t="n">
        <v>-0.090663481480908</v>
      </c>
      <c r="D3650" s="17" t="n">
        <f aca="false">(C3650-$B$4)/($B$6/SQRT($B$7))</f>
        <v>-0.45331740740454</v>
      </c>
      <c r="E3650" s="0" t="str">
        <f aca="false">IF(OR(AND($B$9="superior",D3650&gt;$B$10),AND($B$9="inferior",D3650&lt;-$B$10)),"Rechazar H0","No rechazar H0")</f>
        <v>No rechazar H0</v>
      </c>
      <c r="F3650" s="0" t="str">
        <f aca="false">IF(AND(B3650="H0 verdadera",E3650="Rechazar H0"),"Error tipo I",IF(AND(B3650="Ha verdadera",E3650="No rechazar H0"),"Error tipo II","Decisión correcta"))</f>
        <v>Decisión correcta</v>
      </c>
    </row>
    <row r="3651" customFormat="false" ht="15" hidden="false" customHeight="false" outlineLevel="0" collapsed="false">
      <c r="A3651" s="0" t="n">
        <v>3630</v>
      </c>
      <c r="B3651" s="0" t="s">
        <v>86</v>
      </c>
      <c r="C3651" s="17" t="n">
        <v>-0.148400728678444</v>
      </c>
      <c r="D3651" s="17" t="n">
        <f aca="false">(C3651-$B$4)/($B$6/SQRT($B$7))</f>
        <v>-0.742003643392221</v>
      </c>
      <c r="E3651" s="0" t="str">
        <f aca="false">IF(OR(AND($B$9="superior",D3651&gt;$B$10),AND($B$9="inferior",D3651&lt;-$B$10)),"Rechazar H0","No rechazar H0")</f>
        <v>No rechazar H0</v>
      </c>
      <c r="F3651" s="0" t="str">
        <f aca="false">IF(AND(B3651="H0 verdadera",E3651="Rechazar H0"),"Error tipo I",IF(AND(B3651="Ha verdadera",E3651="No rechazar H0"),"Error tipo II","Decisión correcta"))</f>
        <v>Error tipo II</v>
      </c>
    </row>
    <row r="3652" customFormat="false" ht="15" hidden="false" customHeight="false" outlineLevel="0" collapsed="false">
      <c r="A3652" s="0" t="n">
        <v>3631</v>
      </c>
      <c r="B3652" s="0" t="s">
        <v>85</v>
      </c>
      <c r="C3652" s="17" t="n">
        <v>-0.196347269716203</v>
      </c>
      <c r="D3652" s="17" t="n">
        <f aca="false">(C3652-$B$4)/($B$6/SQRT($B$7))</f>
        <v>-0.981736348581014</v>
      </c>
      <c r="E3652" s="0" t="str">
        <f aca="false">IF(OR(AND($B$9="superior",D3652&gt;$B$10),AND($B$9="inferior",D3652&lt;-$B$10)),"Rechazar H0","No rechazar H0")</f>
        <v>No rechazar H0</v>
      </c>
      <c r="F3652" s="0" t="str">
        <f aca="false">IF(AND(B3652="H0 verdadera",E3652="Rechazar H0"),"Error tipo I",IF(AND(B3652="Ha verdadera",E3652="No rechazar H0"),"Error tipo II","Decisión correcta"))</f>
        <v>Decisión correcta</v>
      </c>
    </row>
    <row r="3653" customFormat="false" ht="15" hidden="false" customHeight="false" outlineLevel="0" collapsed="false">
      <c r="A3653" s="0" t="n">
        <v>3632</v>
      </c>
      <c r="B3653" s="0" t="s">
        <v>86</v>
      </c>
      <c r="C3653" s="17" t="n">
        <v>-0.56324069962529</v>
      </c>
      <c r="D3653" s="17" t="n">
        <f aca="false">(C3653-$B$4)/($B$6/SQRT($B$7))</f>
        <v>-2.81620349812645</v>
      </c>
      <c r="E3653" s="0" t="str">
        <f aca="false">IF(OR(AND($B$9="superior",D3653&gt;$B$10),AND($B$9="inferior",D3653&lt;-$B$10)),"Rechazar H0","No rechazar H0")</f>
        <v>Rechazar H0</v>
      </c>
      <c r="F3653" s="0" t="str">
        <f aca="false">IF(AND(B3653="H0 verdadera",E3653="Rechazar H0"),"Error tipo I",IF(AND(B3653="Ha verdadera",E3653="No rechazar H0"),"Error tipo II","Decisión correcta"))</f>
        <v>Decisión correcta</v>
      </c>
    </row>
    <row r="3654" customFormat="false" ht="15" hidden="false" customHeight="false" outlineLevel="0" collapsed="false">
      <c r="A3654" s="0" t="n">
        <v>3633</v>
      </c>
      <c r="B3654" s="0" t="s">
        <v>85</v>
      </c>
      <c r="C3654" s="17" t="n">
        <v>-0.247517404944732</v>
      </c>
      <c r="D3654" s="17" t="n">
        <f aca="false">(C3654-$B$4)/($B$6/SQRT($B$7))</f>
        <v>-1.23758702472366</v>
      </c>
      <c r="E3654" s="0" t="str">
        <f aca="false">IF(OR(AND($B$9="superior",D3654&gt;$B$10),AND($B$9="inferior",D3654&lt;-$B$10)),"Rechazar H0","No rechazar H0")</f>
        <v>No rechazar H0</v>
      </c>
      <c r="F3654" s="0" t="str">
        <f aca="false">IF(AND(B3654="H0 verdadera",E3654="Rechazar H0"),"Error tipo I",IF(AND(B3654="Ha verdadera",E3654="No rechazar H0"),"Error tipo II","Decisión correcta"))</f>
        <v>Decisión correcta</v>
      </c>
    </row>
    <row r="3655" customFormat="false" ht="15" hidden="false" customHeight="false" outlineLevel="0" collapsed="false">
      <c r="A3655" s="0" t="n">
        <v>3634</v>
      </c>
      <c r="B3655" s="0" t="s">
        <v>86</v>
      </c>
      <c r="C3655" s="17" t="n">
        <v>-0.548370950334152</v>
      </c>
      <c r="D3655" s="17" t="n">
        <f aca="false">(C3655-$B$4)/($B$6/SQRT($B$7))</f>
        <v>-2.74185475167076</v>
      </c>
      <c r="E3655" s="0" t="str">
        <f aca="false">IF(OR(AND($B$9="superior",D3655&gt;$B$10),AND($B$9="inferior",D3655&lt;-$B$10)),"Rechazar H0","No rechazar H0")</f>
        <v>Rechazar H0</v>
      </c>
      <c r="F3655" s="0" t="str">
        <f aca="false">IF(AND(B3655="H0 verdadera",E3655="Rechazar H0"),"Error tipo I",IF(AND(B3655="Ha verdadera",E3655="No rechazar H0"),"Error tipo II","Decisión correcta"))</f>
        <v>Decisión correcta</v>
      </c>
    </row>
    <row r="3656" customFormat="false" ht="15" hidden="false" customHeight="false" outlineLevel="0" collapsed="false">
      <c r="A3656" s="0" t="n">
        <v>3635</v>
      </c>
      <c r="B3656" s="0" t="s">
        <v>85</v>
      </c>
      <c r="C3656" s="17" t="n">
        <v>0.260463322818552</v>
      </c>
      <c r="D3656" s="17" t="n">
        <f aca="false">(C3656-$B$4)/($B$6/SQRT($B$7))</f>
        <v>1.30231661409276</v>
      </c>
      <c r="E3656" s="0" t="str">
        <f aca="false">IF(OR(AND($B$9="superior",D3656&gt;$B$10),AND($B$9="inferior",D3656&lt;-$B$10)),"Rechazar H0","No rechazar H0")</f>
        <v>No rechazar H0</v>
      </c>
      <c r="F3656" s="0" t="str">
        <f aca="false">IF(AND(B3656="H0 verdadera",E3656="Rechazar H0"),"Error tipo I",IF(AND(B3656="Ha verdadera",E3656="No rechazar H0"),"Error tipo II","Decisión correcta"))</f>
        <v>Decisión correcta</v>
      </c>
    </row>
    <row r="3657" customFormat="false" ht="15" hidden="false" customHeight="false" outlineLevel="0" collapsed="false">
      <c r="A3657" s="0" t="n">
        <v>3636</v>
      </c>
      <c r="B3657" s="0" t="s">
        <v>85</v>
      </c>
      <c r="C3657" s="17" t="n">
        <v>-0.287602078846242</v>
      </c>
      <c r="D3657" s="17" t="n">
        <f aca="false">(C3657-$B$4)/($B$6/SQRT($B$7))</f>
        <v>-1.43801039423121</v>
      </c>
      <c r="E3657" s="0" t="str">
        <f aca="false">IF(OR(AND($B$9="superior",D3657&gt;$B$10),AND($B$9="inferior",D3657&lt;-$B$10)),"Rechazar H0","No rechazar H0")</f>
        <v>No rechazar H0</v>
      </c>
      <c r="F3657" s="0" t="str">
        <f aca="false">IF(AND(B3657="H0 verdadera",E3657="Rechazar H0"),"Error tipo I",IF(AND(B3657="Ha verdadera",E3657="No rechazar H0"),"Error tipo II","Decisión correcta"))</f>
        <v>Decisión correcta</v>
      </c>
    </row>
    <row r="3658" customFormat="false" ht="15" hidden="false" customHeight="false" outlineLevel="0" collapsed="false">
      <c r="A3658" s="0" t="n">
        <v>3637</v>
      </c>
      <c r="B3658" s="0" t="s">
        <v>85</v>
      </c>
      <c r="C3658" s="17" t="n">
        <v>-0.0202796728849965</v>
      </c>
      <c r="D3658" s="17" t="n">
        <f aca="false">(C3658-$B$4)/($B$6/SQRT($B$7))</f>
        <v>-0.101398364424982</v>
      </c>
      <c r="E3658" s="0" t="str">
        <f aca="false">IF(OR(AND($B$9="superior",D3658&gt;$B$10),AND($B$9="inferior",D3658&lt;-$B$10)),"Rechazar H0","No rechazar H0")</f>
        <v>No rechazar H0</v>
      </c>
      <c r="F3658" s="0" t="str">
        <f aca="false">IF(AND(B3658="H0 verdadera",E3658="Rechazar H0"),"Error tipo I",IF(AND(B3658="Ha verdadera",E3658="No rechazar H0"),"Error tipo II","Decisión correcta"))</f>
        <v>Decisión correcta</v>
      </c>
    </row>
    <row r="3659" customFormat="false" ht="15" hidden="false" customHeight="false" outlineLevel="0" collapsed="false">
      <c r="A3659" s="0" t="n">
        <v>3638</v>
      </c>
      <c r="B3659" s="0" t="s">
        <v>86</v>
      </c>
      <c r="C3659" s="17" t="n">
        <v>-0.248993995671112</v>
      </c>
      <c r="D3659" s="17" t="n">
        <f aca="false">(C3659-$B$4)/($B$6/SQRT($B$7))</f>
        <v>-1.24496997835556</v>
      </c>
      <c r="E3659" s="0" t="str">
        <f aca="false">IF(OR(AND($B$9="superior",D3659&gt;$B$10),AND($B$9="inferior",D3659&lt;-$B$10)),"Rechazar H0","No rechazar H0")</f>
        <v>No rechazar H0</v>
      </c>
      <c r="F3659" s="0" t="str">
        <f aca="false">IF(AND(B3659="H0 verdadera",E3659="Rechazar H0"),"Error tipo I",IF(AND(B3659="Ha verdadera",E3659="No rechazar H0"),"Error tipo II","Decisión correcta"))</f>
        <v>Error tipo II</v>
      </c>
    </row>
    <row r="3660" customFormat="false" ht="15" hidden="false" customHeight="false" outlineLevel="0" collapsed="false">
      <c r="A3660" s="0" t="n">
        <v>3639</v>
      </c>
      <c r="B3660" s="0" t="s">
        <v>86</v>
      </c>
      <c r="C3660" s="17" t="n">
        <v>-0.156412777062783</v>
      </c>
      <c r="D3660" s="17" t="n">
        <f aca="false">(C3660-$B$4)/($B$6/SQRT($B$7))</f>
        <v>-0.782063885313914</v>
      </c>
      <c r="E3660" s="0" t="str">
        <f aca="false">IF(OR(AND($B$9="superior",D3660&gt;$B$10),AND($B$9="inferior",D3660&lt;-$B$10)),"Rechazar H0","No rechazar H0")</f>
        <v>No rechazar H0</v>
      </c>
      <c r="F3660" s="0" t="str">
        <f aca="false">IF(AND(B3660="H0 verdadera",E3660="Rechazar H0"),"Error tipo I",IF(AND(B3660="Ha verdadera",E3660="No rechazar H0"),"Error tipo II","Decisión correcta"))</f>
        <v>Error tipo II</v>
      </c>
    </row>
    <row r="3661" customFormat="false" ht="15" hidden="false" customHeight="false" outlineLevel="0" collapsed="false">
      <c r="A3661" s="0" t="n">
        <v>3640</v>
      </c>
      <c r="B3661" s="0" t="s">
        <v>86</v>
      </c>
      <c r="C3661" s="17" t="n">
        <v>-0.645258177979601</v>
      </c>
      <c r="D3661" s="17" t="n">
        <f aca="false">(C3661-$B$4)/($B$6/SQRT($B$7))</f>
        <v>-3.226290889898</v>
      </c>
      <c r="E3661" s="0" t="str">
        <f aca="false">IF(OR(AND($B$9="superior",D3661&gt;$B$10),AND($B$9="inferior",D3661&lt;-$B$10)),"Rechazar H0","No rechazar H0")</f>
        <v>Rechazar H0</v>
      </c>
      <c r="F3661" s="0" t="str">
        <f aca="false">IF(AND(B3661="H0 verdadera",E3661="Rechazar H0"),"Error tipo I",IF(AND(B3661="Ha verdadera",E3661="No rechazar H0"),"Error tipo II","Decisión correcta"))</f>
        <v>Decisión correcta</v>
      </c>
    </row>
    <row r="3662" customFormat="false" ht="15" hidden="false" customHeight="false" outlineLevel="0" collapsed="false">
      <c r="A3662" s="0" t="n">
        <v>3641</v>
      </c>
      <c r="B3662" s="0" t="s">
        <v>85</v>
      </c>
      <c r="C3662" s="17" t="n">
        <v>0.118623300306823</v>
      </c>
      <c r="D3662" s="17" t="n">
        <f aca="false">(C3662-$B$4)/($B$6/SQRT($B$7))</f>
        <v>0.593116501534112</v>
      </c>
      <c r="E3662" s="0" t="str">
        <f aca="false">IF(OR(AND($B$9="superior",D3662&gt;$B$10),AND($B$9="inferior",D3662&lt;-$B$10)),"Rechazar H0","No rechazar H0")</f>
        <v>No rechazar H0</v>
      </c>
      <c r="F3662" s="0" t="str">
        <f aca="false">IF(AND(B3662="H0 verdadera",E3662="Rechazar H0"),"Error tipo I",IF(AND(B3662="Ha verdadera",E3662="No rechazar H0"),"Error tipo II","Decisión correcta"))</f>
        <v>Decisión correcta</v>
      </c>
    </row>
    <row r="3663" customFormat="false" ht="15" hidden="false" customHeight="false" outlineLevel="0" collapsed="false">
      <c r="A3663" s="0" t="n">
        <v>3642</v>
      </c>
      <c r="B3663" s="0" t="s">
        <v>85</v>
      </c>
      <c r="C3663" s="17" t="n">
        <v>0.0929296103155944</v>
      </c>
      <c r="D3663" s="17" t="n">
        <f aca="false">(C3663-$B$4)/($B$6/SQRT($B$7))</f>
        <v>0.464648051577972</v>
      </c>
      <c r="E3663" s="0" t="str">
        <f aca="false">IF(OR(AND($B$9="superior",D3663&gt;$B$10),AND($B$9="inferior",D3663&lt;-$B$10)),"Rechazar H0","No rechazar H0")</f>
        <v>No rechazar H0</v>
      </c>
      <c r="F3663" s="0" t="str">
        <f aca="false">IF(AND(B3663="H0 verdadera",E3663="Rechazar H0"),"Error tipo I",IF(AND(B3663="Ha verdadera",E3663="No rechazar H0"),"Error tipo II","Decisión correcta"))</f>
        <v>Decisión correcta</v>
      </c>
    </row>
    <row r="3664" customFormat="false" ht="15" hidden="false" customHeight="false" outlineLevel="0" collapsed="false">
      <c r="A3664" s="0" t="n">
        <v>3643</v>
      </c>
      <c r="B3664" s="0" t="s">
        <v>85</v>
      </c>
      <c r="C3664" s="17" t="n">
        <v>-0.145707656291407</v>
      </c>
      <c r="D3664" s="17" t="n">
        <f aca="false">(C3664-$B$4)/($B$6/SQRT($B$7))</f>
        <v>-0.728538281457037</v>
      </c>
      <c r="E3664" s="0" t="str">
        <f aca="false">IF(OR(AND($B$9="superior",D3664&gt;$B$10),AND($B$9="inferior",D3664&lt;-$B$10)),"Rechazar H0","No rechazar H0")</f>
        <v>No rechazar H0</v>
      </c>
      <c r="F3664" s="0" t="str">
        <f aca="false">IF(AND(B3664="H0 verdadera",E3664="Rechazar H0"),"Error tipo I",IF(AND(B3664="Ha verdadera",E3664="No rechazar H0"),"Error tipo II","Decisión correcta"))</f>
        <v>Decisión correcta</v>
      </c>
    </row>
    <row r="3665" customFormat="false" ht="15" hidden="false" customHeight="false" outlineLevel="0" collapsed="false">
      <c r="A3665" s="0" t="n">
        <v>3644</v>
      </c>
      <c r="B3665" s="0" t="s">
        <v>85</v>
      </c>
      <c r="C3665" s="17" t="n">
        <v>0.0284218672606739</v>
      </c>
      <c r="D3665" s="17" t="n">
        <f aca="false">(C3665-$B$4)/($B$6/SQRT($B$7))</f>
        <v>0.14210933630337</v>
      </c>
      <c r="E3665" s="0" t="str">
        <f aca="false">IF(OR(AND($B$9="superior",D3665&gt;$B$10),AND($B$9="inferior",D3665&lt;-$B$10)),"Rechazar H0","No rechazar H0")</f>
        <v>No rechazar H0</v>
      </c>
      <c r="F3665" s="0" t="str">
        <f aca="false">IF(AND(B3665="H0 verdadera",E3665="Rechazar H0"),"Error tipo I",IF(AND(B3665="Ha verdadera",E3665="No rechazar H0"),"Error tipo II","Decisión correcta"))</f>
        <v>Decisión correcta</v>
      </c>
    </row>
    <row r="3666" customFormat="false" ht="15" hidden="false" customHeight="false" outlineLevel="0" collapsed="false">
      <c r="A3666" s="0" t="n">
        <v>3645</v>
      </c>
      <c r="B3666" s="0" t="s">
        <v>86</v>
      </c>
      <c r="C3666" s="17" t="n">
        <v>-0.627119330694405</v>
      </c>
      <c r="D3666" s="17" t="n">
        <f aca="false">(C3666-$B$4)/($B$6/SQRT($B$7))</f>
        <v>-3.13559665347203</v>
      </c>
      <c r="E3666" s="0" t="str">
        <f aca="false">IF(OR(AND($B$9="superior",D3666&gt;$B$10),AND($B$9="inferior",D3666&lt;-$B$10)),"Rechazar H0","No rechazar H0")</f>
        <v>Rechazar H0</v>
      </c>
      <c r="F3666" s="0" t="str">
        <f aca="false">IF(AND(B3666="H0 verdadera",E3666="Rechazar H0"),"Error tipo I",IF(AND(B3666="Ha verdadera",E3666="No rechazar H0"),"Error tipo II","Decisión correcta"))</f>
        <v>Decisión correcta</v>
      </c>
    </row>
    <row r="3667" customFormat="false" ht="15" hidden="false" customHeight="false" outlineLevel="0" collapsed="false">
      <c r="A3667" s="0" t="n">
        <v>3646</v>
      </c>
      <c r="B3667" s="0" t="s">
        <v>86</v>
      </c>
      <c r="C3667" s="17" t="n">
        <v>-0.30984086991793</v>
      </c>
      <c r="D3667" s="17" t="n">
        <f aca="false">(C3667-$B$4)/($B$6/SQRT($B$7))</f>
        <v>-1.54920434958965</v>
      </c>
      <c r="E3667" s="0" t="str">
        <f aca="false">IF(OR(AND($B$9="superior",D3667&gt;$B$10),AND($B$9="inferior",D3667&lt;-$B$10)),"Rechazar H0","No rechazar H0")</f>
        <v>No rechazar H0</v>
      </c>
      <c r="F3667" s="0" t="str">
        <f aca="false">IF(AND(B3667="H0 verdadera",E3667="Rechazar H0"),"Error tipo I",IF(AND(B3667="Ha verdadera",E3667="No rechazar H0"),"Error tipo II","Decisión correcta"))</f>
        <v>Error tipo II</v>
      </c>
    </row>
    <row r="3668" customFormat="false" ht="15" hidden="false" customHeight="false" outlineLevel="0" collapsed="false">
      <c r="A3668" s="0" t="n">
        <v>3647</v>
      </c>
      <c r="B3668" s="0" t="s">
        <v>85</v>
      </c>
      <c r="C3668" s="17" t="n">
        <v>-0.3580973712631</v>
      </c>
      <c r="D3668" s="17" t="n">
        <f aca="false">(C3668-$B$4)/($B$6/SQRT($B$7))</f>
        <v>-1.7904868563155</v>
      </c>
      <c r="E3668" s="0" t="str">
        <f aca="false">IF(OR(AND($B$9="superior",D3668&gt;$B$10),AND($B$9="inferior",D3668&lt;-$B$10)),"Rechazar H0","No rechazar H0")</f>
        <v>Rechazar H0</v>
      </c>
      <c r="F3668" s="0" t="str">
        <f aca="false">IF(AND(B3668="H0 verdadera",E3668="Rechazar H0"),"Error tipo I",IF(AND(B3668="Ha verdadera",E3668="No rechazar H0"),"Error tipo II","Decisión correcta"))</f>
        <v>Error tipo I</v>
      </c>
    </row>
    <row r="3669" customFormat="false" ht="15" hidden="false" customHeight="false" outlineLevel="0" collapsed="false">
      <c r="A3669" s="0" t="n">
        <v>3648</v>
      </c>
      <c r="B3669" s="0" t="s">
        <v>85</v>
      </c>
      <c r="C3669" s="17" t="n">
        <v>-0.119998638204694</v>
      </c>
      <c r="D3669" s="17" t="n">
        <f aca="false">(C3669-$B$4)/($B$6/SQRT($B$7))</f>
        <v>-0.59999319102347</v>
      </c>
      <c r="E3669" s="0" t="str">
        <f aca="false">IF(OR(AND($B$9="superior",D3669&gt;$B$10),AND($B$9="inferior",D3669&lt;-$B$10)),"Rechazar H0","No rechazar H0")</f>
        <v>No rechazar H0</v>
      </c>
      <c r="F3669" s="0" t="str">
        <f aca="false">IF(AND(B3669="H0 verdadera",E3669="Rechazar H0"),"Error tipo I",IF(AND(B3669="Ha verdadera",E3669="No rechazar H0"),"Error tipo II","Decisión correcta"))</f>
        <v>Decisión correcta</v>
      </c>
    </row>
    <row r="3670" customFormat="false" ht="15" hidden="false" customHeight="false" outlineLevel="0" collapsed="false">
      <c r="A3670" s="0" t="n">
        <v>3649</v>
      </c>
      <c r="B3670" s="0" t="s">
        <v>86</v>
      </c>
      <c r="C3670" s="17" t="n">
        <v>-0.294592759015931</v>
      </c>
      <c r="D3670" s="17" t="n">
        <f aca="false">(C3670-$B$4)/($B$6/SQRT($B$7))</f>
        <v>-1.47296379507965</v>
      </c>
      <c r="E3670" s="0" t="str">
        <f aca="false">IF(OR(AND($B$9="superior",D3670&gt;$B$10),AND($B$9="inferior",D3670&lt;-$B$10)),"Rechazar H0","No rechazar H0")</f>
        <v>No rechazar H0</v>
      </c>
      <c r="F3670" s="0" t="str">
        <f aca="false">IF(AND(B3670="H0 verdadera",E3670="Rechazar H0"),"Error tipo I",IF(AND(B3670="Ha verdadera",E3670="No rechazar H0"),"Error tipo II","Decisión correcta"))</f>
        <v>Error tipo II</v>
      </c>
    </row>
    <row r="3671" customFormat="false" ht="15" hidden="false" customHeight="false" outlineLevel="0" collapsed="false">
      <c r="A3671" s="0" t="n">
        <v>3650</v>
      </c>
      <c r="B3671" s="0" t="s">
        <v>86</v>
      </c>
      <c r="C3671" s="17" t="n">
        <v>-0.338001593380307</v>
      </c>
      <c r="D3671" s="17" t="n">
        <f aca="false">(C3671-$B$4)/($B$6/SQRT($B$7))</f>
        <v>-1.69000796690154</v>
      </c>
      <c r="E3671" s="0" t="str">
        <f aca="false">IF(OR(AND($B$9="superior",D3671&gt;$B$10),AND($B$9="inferior",D3671&lt;-$B$10)),"Rechazar H0","No rechazar H0")</f>
        <v>Rechazar H0</v>
      </c>
      <c r="F3671" s="0" t="str">
        <f aca="false">IF(AND(B3671="H0 verdadera",E3671="Rechazar H0"),"Error tipo I",IF(AND(B3671="Ha verdadera",E3671="No rechazar H0"),"Error tipo II","Decisión correcta"))</f>
        <v>Decisión correcta</v>
      </c>
    </row>
    <row r="3672" customFormat="false" ht="15" hidden="false" customHeight="false" outlineLevel="0" collapsed="false">
      <c r="A3672" s="0" t="n">
        <v>3651</v>
      </c>
      <c r="B3672" s="0" t="s">
        <v>85</v>
      </c>
      <c r="C3672" s="17" t="n">
        <v>-0.442666225429396</v>
      </c>
      <c r="D3672" s="17" t="n">
        <f aca="false">(C3672-$B$4)/($B$6/SQRT($B$7))</f>
        <v>-2.21333112714698</v>
      </c>
      <c r="E3672" s="0" t="str">
        <f aca="false">IF(OR(AND($B$9="superior",D3672&gt;$B$10),AND($B$9="inferior",D3672&lt;-$B$10)),"Rechazar H0","No rechazar H0")</f>
        <v>Rechazar H0</v>
      </c>
      <c r="F3672" s="0" t="str">
        <f aca="false">IF(AND(B3672="H0 verdadera",E3672="Rechazar H0"),"Error tipo I",IF(AND(B3672="Ha verdadera",E3672="No rechazar H0"),"Error tipo II","Decisión correcta"))</f>
        <v>Error tipo I</v>
      </c>
    </row>
    <row r="3673" customFormat="false" ht="15" hidden="false" customHeight="false" outlineLevel="0" collapsed="false">
      <c r="A3673" s="0" t="n">
        <v>3652</v>
      </c>
      <c r="B3673" s="0" t="s">
        <v>86</v>
      </c>
      <c r="C3673" s="17" t="n">
        <v>-0.731309822844899</v>
      </c>
      <c r="D3673" s="17" t="n">
        <f aca="false">(C3673-$B$4)/($B$6/SQRT($B$7))</f>
        <v>-3.6565491142245</v>
      </c>
      <c r="E3673" s="0" t="str">
        <f aca="false">IF(OR(AND($B$9="superior",D3673&gt;$B$10),AND($B$9="inferior",D3673&lt;-$B$10)),"Rechazar H0","No rechazar H0")</f>
        <v>Rechazar H0</v>
      </c>
      <c r="F3673" s="0" t="str">
        <f aca="false">IF(AND(B3673="H0 verdadera",E3673="Rechazar H0"),"Error tipo I",IF(AND(B3673="Ha verdadera",E3673="No rechazar H0"),"Error tipo II","Decisión correcta"))</f>
        <v>Decisión correcta</v>
      </c>
    </row>
    <row r="3674" customFormat="false" ht="15" hidden="false" customHeight="false" outlineLevel="0" collapsed="false">
      <c r="A3674" s="0" t="n">
        <v>3653</v>
      </c>
      <c r="B3674" s="0" t="s">
        <v>85</v>
      </c>
      <c r="C3674" s="17" t="n">
        <v>0.0749642845433198</v>
      </c>
      <c r="D3674" s="17" t="n">
        <f aca="false">(C3674-$B$4)/($B$6/SQRT($B$7))</f>
        <v>0.374821422716599</v>
      </c>
      <c r="E3674" s="0" t="str">
        <f aca="false">IF(OR(AND($B$9="superior",D3674&gt;$B$10),AND($B$9="inferior",D3674&lt;-$B$10)),"Rechazar H0","No rechazar H0")</f>
        <v>No rechazar H0</v>
      </c>
      <c r="F3674" s="0" t="str">
        <f aca="false">IF(AND(B3674="H0 verdadera",E3674="Rechazar H0"),"Error tipo I",IF(AND(B3674="Ha verdadera",E3674="No rechazar H0"),"Error tipo II","Decisión correcta"))</f>
        <v>Decisión correcta</v>
      </c>
    </row>
    <row r="3675" customFormat="false" ht="15" hidden="false" customHeight="false" outlineLevel="0" collapsed="false">
      <c r="A3675" s="0" t="n">
        <v>3654</v>
      </c>
      <c r="B3675" s="0" t="s">
        <v>86</v>
      </c>
      <c r="C3675" s="17" t="n">
        <v>-0.490812822099966</v>
      </c>
      <c r="D3675" s="17" t="n">
        <f aca="false">(C3675-$B$4)/($B$6/SQRT($B$7))</f>
        <v>-2.45406411049983</v>
      </c>
      <c r="E3675" s="0" t="str">
        <f aca="false">IF(OR(AND($B$9="superior",D3675&gt;$B$10),AND($B$9="inferior",D3675&lt;-$B$10)),"Rechazar H0","No rechazar H0")</f>
        <v>Rechazar H0</v>
      </c>
      <c r="F3675" s="0" t="str">
        <f aca="false">IF(AND(B3675="H0 verdadera",E3675="Rechazar H0"),"Error tipo I",IF(AND(B3675="Ha verdadera",E3675="No rechazar H0"),"Error tipo II","Decisión correcta"))</f>
        <v>Decisión correcta</v>
      </c>
    </row>
    <row r="3676" customFormat="false" ht="15" hidden="false" customHeight="false" outlineLevel="0" collapsed="false">
      <c r="A3676" s="0" t="n">
        <v>3655</v>
      </c>
      <c r="B3676" s="0" t="s">
        <v>85</v>
      </c>
      <c r="C3676" s="17" t="n">
        <v>0.172849802347975</v>
      </c>
      <c r="D3676" s="17" t="n">
        <f aca="false">(C3676-$B$4)/($B$6/SQRT($B$7))</f>
        <v>0.864249011739876</v>
      </c>
      <c r="E3676" s="0" t="str">
        <f aca="false">IF(OR(AND($B$9="superior",D3676&gt;$B$10),AND($B$9="inferior",D3676&lt;-$B$10)),"Rechazar H0","No rechazar H0")</f>
        <v>No rechazar H0</v>
      </c>
      <c r="F3676" s="0" t="str">
        <f aca="false">IF(AND(B3676="H0 verdadera",E3676="Rechazar H0"),"Error tipo I",IF(AND(B3676="Ha verdadera",E3676="No rechazar H0"),"Error tipo II","Decisión correcta"))</f>
        <v>Decisión correcta</v>
      </c>
    </row>
    <row r="3677" customFormat="false" ht="15" hidden="false" customHeight="false" outlineLevel="0" collapsed="false">
      <c r="A3677" s="0" t="n">
        <v>3656</v>
      </c>
      <c r="B3677" s="0" t="s">
        <v>86</v>
      </c>
      <c r="C3677" s="17" t="n">
        <v>-0.552834578037161</v>
      </c>
      <c r="D3677" s="17" t="n">
        <f aca="false">(C3677-$B$4)/($B$6/SQRT($B$7))</f>
        <v>-2.7641728901858</v>
      </c>
      <c r="E3677" s="0" t="str">
        <f aca="false">IF(OR(AND($B$9="superior",D3677&gt;$B$10),AND($B$9="inferior",D3677&lt;-$B$10)),"Rechazar H0","No rechazar H0")</f>
        <v>Rechazar H0</v>
      </c>
      <c r="F3677" s="0" t="str">
        <f aca="false">IF(AND(B3677="H0 verdadera",E3677="Rechazar H0"),"Error tipo I",IF(AND(B3677="Ha verdadera",E3677="No rechazar H0"),"Error tipo II","Decisión correcta"))</f>
        <v>Decisión correcta</v>
      </c>
    </row>
    <row r="3678" customFormat="false" ht="15" hidden="false" customHeight="false" outlineLevel="0" collapsed="false">
      <c r="A3678" s="0" t="n">
        <v>3657</v>
      </c>
      <c r="B3678" s="0" t="s">
        <v>85</v>
      </c>
      <c r="C3678" s="17" t="n">
        <v>-0.0556325403517974</v>
      </c>
      <c r="D3678" s="17" t="n">
        <f aca="false">(C3678-$B$4)/($B$6/SQRT($B$7))</f>
        <v>-0.278162701758987</v>
      </c>
      <c r="E3678" s="0" t="str">
        <f aca="false">IF(OR(AND($B$9="superior",D3678&gt;$B$10),AND($B$9="inferior",D3678&lt;-$B$10)),"Rechazar H0","No rechazar H0")</f>
        <v>No rechazar H0</v>
      </c>
      <c r="F3678" s="0" t="str">
        <f aca="false">IF(AND(B3678="H0 verdadera",E3678="Rechazar H0"),"Error tipo I",IF(AND(B3678="Ha verdadera",E3678="No rechazar H0"),"Error tipo II","Decisión correcta"))</f>
        <v>Decisión correcta</v>
      </c>
    </row>
    <row r="3679" customFormat="false" ht="15" hidden="false" customHeight="false" outlineLevel="0" collapsed="false">
      <c r="A3679" s="0" t="n">
        <v>3658</v>
      </c>
      <c r="B3679" s="0" t="s">
        <v>86</v>
      </c>
      <c r="C3679" s="17" t="n">
        <v>-0.390939704001989</v>
      </c>
      <c r="D3679" s="17" t="n">
        <f aca="false">(C3679-$B$4)/($B$6/SQRT($B$7))</f>
        <v>-1.95469852000994</v>
      </c>
      <c r="E3679" s="0" t="str">
        <f aca="false">IF(OR(AND($B$9="superior",D3679&gt;$B$10),AND($B$9="inferior",D3679&lt;-$B$10)),"Rechazar H0","No rechazar H0")</f>
        <v>Rechazar H0</v>
      </c>
      <c r="F3679" s="0" t="str">
        <f aca="false">IF(AND(B3679="H0 verdadera",E3679="Rechazar H0"),"Error tipo I",IF(AND(B3679="Ha verdadera",E3679="No rechazar H0"),"Error tipo II","Decisión correcta"))</f>
        <v>Decisión correcta</v>
      </c>
    </row>
    <row r="3680" customFormat="false" ht="15" hidden="false" customHeight="false" outlineLevel="0" collapsed="false">
      <c r="A3680" s="0" t="n">
        <v>3659</v>
      </c>
      <c r="B3680" s="0" t="s">
        <v>86</v>
      </c>
      <c r="C3680" s="17" t="n">
        <v>-0.446209069719071</v>
      </c>
      <c r="D3680" s="17" t="n">
        <f aca="false">(C3680-$B$4)/($B$6/SQRT($B$7))</f>
        <v>-2.23104534859536</v>
      </c>
      <c r="E3680" s="0" t="str">
        <f aca="false">IF(OR(AND($B$9="superior",D3680&gt;$B$10),AND($B$9="inferior",D3680&lt;-$B$10)),"Rechazar H0","No rechazar H0")</f>
        <v>Rechazar H0</v>
      </c>
      <c r="F3680" s="0" t="str">
        <f aca="false">IF(AND(B3680="H0 verdadera",E3680="Rechazar H0"),"Error tipo I",IF(AND(B3680="Ha verdadera",E3680="No rechazar H0"),"Error tipo II","Decisión correcta"))</f>
        <v>Decisión correcta</v>
      </c>
    </row>
    <row r="3681" customFormat="false" ht="15" hidden="false" customHeight="false" outlineLevel="0" collapsed="false">
      <c r="A3681" s="0" t="n">
        <v>3660</v>
      </c>
      <c r="B3681" s="0" t="s">
        <v>86</v>
      </c>
      <c r="C3681" s="17" t="n">
        <v>-0.431629113614961</v>
      </c>
      <c r="D3681" s="17" t="n">
        <f aca="false">(C3681-$B$4)/($B$6/SQRT($B$7))</f>
        <v>-2.15814556807481</v>
      </c>
      <c r="E3681" s="0" t="str">
        <f aca="false">IF(OR(AND($B$9="superior",D3681&gt;$B$10),AND($B$9="inferior",D3681&lt;-$B$10)),"Rechazar H0","No rechazar H0")</f>
        <v>Rechazar H0</v>
      </c>
      <c r="F3681" s="0" t="str">
        <f aca="false">IF(AND(B3681="H0 verdadera",E3681="Rechazar H0"),"Error tipo I",IF(AND(B3681="Ha verdadera",E3681="No rechazar H0"),"Error tipo II","Decisión correcta"))</f>
        <v>Decisión correcta</v>
      </c>
    </row>
    <row r="3682" customFormat="false" ht="15" hidden="false" customHeight="false" outlineLevel="0" collapsed="false">
      <c r="A3682" s="0" t="n">
        <v>3661</v>
      </c>
      <c r="B3682" s="0" t="s">
        <v>85</v>
      </c>
      <c r="C3682" s="17" t="n">
        <v>-0.152060098009829</v>
      </c>
      <c r="D3682" s="17" t="n">
        <f aca="false">(C3682-$B$4)/($B$6/SQRT($B$7))</f>
        <v>-0.760300490049145</v>
      </c>
      <c r="E3682" s="0" t="str">
        <f aca="false">IF(OR(AND($B$9="superior",D3682&gt;$B$10),AND($B$9="inferior",D3682&lt;-$B$10)),"Rechazar H0","No rechazar H0")</f>
        <v>No rechazar H0</v>
      </c>
      <c r="F3682" s="0" t="str">
        <f aca="false">IF(AND(B3682="H0 verdadera",E3682="Rechazar H0"),"Error tipo I",IF(AND(B3682="Ha verdadera",E3682="No rechazar H0"),"Error tipo II","Decisión correcta"))</f>
        <v>Decisión correcta</v>
      </c>
    </row>
    <row r="3683" customFormat="false" ht="15" hidden="false" customHeight="false" outlineLevel="0" collapsed="false">
      <c r="A3683" s="0" t="n">
        <v>3662</v>
      </c>
      <c r="B3683" s="0" t="s">
        <v>86</v>
      </c>
      <c r="C3683" s="17" t="n">
        <v>-0.539249506612153</v>
      </c>
      <c r="D3683" s="17" t="n">
        <f aca="false">(C3683-$B$4)/($B$6/SQRT($B$7))</f>
        <v>-2.69624753306076</v>
      </c>
      <c r="E3683" s="0" t="str">
        <f aca="false">IF(OR(AND($B$9="superior",D3683&gt;$B$10),AND($B$9="inferior",D3683&lt;-$B$10)),"Rechazar H0","No rechazar H0")</f>
        <v>Rechazar H0</v>
      </c>
      <c r="F3683" s="0" t="str">
        <f aca="false">IF(AND(B3683="H0 verdadera",E3683="Rechazar H0"),"Error tipo I",IF(AND(B3683="Ha verdadera",E3683="No rechazar H0"),"Error tipo II","Decisión correcta"))</f>
        <v>Decisión correcta</v>
      </c>
    </row>
    <row r="3684" customFormat="false" ht="15" hidden="false" customHeight="false" outlineLevel="0" collapsed="false">
      <c r="A3684" s="0" t="n">
        <v>3663</v>
      </c>
      <c r="B3684" s="0" t="s">
        <v>85</v>
      </c>
      <c r="C3684" s="17" t="n">
        <v>0.101731951947952</v>
      </c>
      <c r="D3684" s="17" t="n">
        <f aca="false">(C3684-$B$4)/($B$6/SQRT($B$7))</f>
        <v>0.50865975973976</v>
      </c>
      <c r="E3684" s="0" t="str">
        <f aca="false">IF(OR(AND($B$9="superior",D3684&gt;$B$10),AND($B$9="inferior",D3684&lt;-$B$10)),"Rechazar H0","No rechazar H0")</f>
        <v>No rechazar H0</v>
      </c>
      <c r="F3684" s="0" t="str">
        <f aca="false">IF(AND(B3684="H0 verdadera",E3684="Rechazar H0"),"Error tipo I",IF(AND(B3684="Ha verdadera",E3684="No rechazar H0"),"Error tipo II","Decisión correcta"))</f>
        <v>Decisión correcta</v>
      </c>
    </row>
    <row r="3685" customFormat="false" ht="15" hidden="false" customHeight="false" outlineLevel="0" collapsed="false">
      <c r="A3685" s="0" t="n">
        <v>3664</v>
      </c>
      <c r="B3685" s="0" t="s">
        <v>85</v>
      </c>
      <c r="C3685" s="17" t="n">
        <v>-0.138396930520377</v>
      </c>
      <c r="D3685" s="17" t="n">
        <f aca="false">(C3685-$B$4)/($B$6/SQRT($B$7))</f>
        <v>-0.691984652601883</v>
      </c>
      <c r="E3685" s="0" t="str">
        <f aca="false">IF(OR(AND($B$9="superior",D3685&gt;$B$10),AND($B$9="inferior",D3685&lt;-$B$10)),"Rechazar H0","No rechazar H0")</f>
        <v>No rechazar H0</v>
      </c>
      <c r="F3685" s="0" t="str">
        <f aca="false">IF(AND(B3685="H0 verdadera",E3685="Rechazar H0"),"Error tipo I",IF(AND(B3685="Ha verdadera",E3685="No rechazar H0"),"Error tipo II","Decisión correcta"))</f>
        <v>Decisión correcta</v>
      </c>
    </row>
    <row r="3686" customFormat="false" ht="15" hidden="false" customHeight="false" outlineLevel="0" collapsed="false">
      <c r="A3686" s="0" t="n">
        <v>3665</v>
      </c>
      <c r="B3686" s="0" t="s">
        <v>85</v>
      </c>
      <c r="C3686" s="17" t="n">
        <v>-0.195762067818366</v>
      </c>
      <c r="D3686" s="17" t="n">
        <f aca="false">(C3686-$B$4)/($B$6/SQRT($B$7))</f>
        <v>-0.978810339091829</v>
      </c>
      <c r="E3686" s="0" t="str">
        <f aca="false">IF(OR(AND($B$9="superior",D3686&gt;$B$10),AND($B$9="inferior",D3686&lt;-$B$10)),"Rechazar H0","No rechazar H0")</f>
        <v>No rechazar H0</v>
      </c>
      <c r="F3686" s="0" t="str">
        <f aca="false">IF(AND(B3686="H0 verdadera",E3686="Rechazar H0"),"Error tipo I",IF(AND(B3686="Ha verdadera",E3686="No rechazar H0"),"Error tipo II","Decisión correcta"))</f>
        <v>Decisión correcta</v>
      </c>
    </row>
    <row r="3687" customFormat="false" ht="15" hidden="false" customHeight="false" outlineLevel="0" collapsed="false">
      <c r="A3687" s="0" t="n">
        <v>3666</v>
      </c>
      <c r="B3687" s="0" t="s">
        <v>85</v>
      </c>
      <c r="C3687" s="17" t="n">
        <v>-0.107992047279249</v>
      </c>
      <c r="D3687" s="17" t="n">
        <f aca="false">(C3687-$B$4)/($B$6/SQRT($B$7))</f>
        <v>-0.539960236396246</v>
      </c>
      <c r="E3687" s="0" t="str">
        <f aca="false">IF(OR(AND($B$9="superior",D3687&gt;$B$10),AND($B$9="inferior",D3687&lt;-$B$10)),"Rechazar H0","No rechazar H0")</f>
        <v>No rechazar H0</v>
      </c>
      <c r="F3687" s="0" t="str">
        <f aca="false">IF(AND(B3687="H0 verdadera",E3687="Rechazar H0"),"Error tipo I",IF(AND(B3687="Ha verdadera",E3687="No rechazar H0"),"Error tipo II","Decisión correcta"))</f>
        <v>Decisión correcta</v>
      </c>
    </row>
    <row r="3688" customFormat="false" ht="15" hidden="false" customHeight="false" outlineLevel="0" collapsed="false">
      <c r="A3688" s="0" t="n">
        <v>3667</v>
      </c>
      <c r="B3688" s="0" t="s">
        <v>86</v>
      </c>
      <c r="C3688" s="17" t="n">
        <v>-0.120347288871977</v>
      </c>
      <c r="D3688" s="17" t="n">
        <f aca="false">(C3688-$B$4)/($B$6/SQRT($B$7))</f>
        <v>-0.601736444359884</v>
      </c>
      <c r="E3688" s="0" t="str">
        <f aca="false">IF(OR(AND($B$9="superior",D3688&gt;$B$10),AND($B$9="inferior",D3688&lt;-$B$10)),"Rechazar H0","No rechazar H0")</f>
        <v>No rechazar H0</v>
      </c>
      <c r="F3688" s="0" t="str">
        <f aca="false">IF(AND(B3688="H0 verdadera",E3688="Rechazar H0"),"Error tipo I",IF(AND(B3688="Ha verdadera",E3688="No rechazar H0"),"Error tipo II","Decisión correcta"))</f>
        <v>Error tipo II</v>
      </c>
    </row>
    <row r="3689" customFormat="false" ht="15" hidden="false" customHeight="false" outlineLevel="0" collapsed="false">
      <c r="A3689" s="0" t="n">
        <v>3668</v>
      </c>
      <c r="B3689" s="0" t="s">
        <v>86</v>
      </c>
      <c r="C3689" s="17" t="n">
        <v>-0.307152076753958</v>
      </c>
      <c r="D3689" s="17" t="n">
        <f aca="false">(C3689-$B$4)/($B$6/SQRT($B$7))</f>
        <v>-1.53576038376979</v>
      </c>
      <c r="E3689" s="0" t="str">
        <f aca="false">IF(OR(AND($B$9="superior",D3689&gt;$B$10),AND($B$9="inferior",D3689&lt;-$B$10)),"Rechazar H0","No rechazar H0")</f>
        <v>No rechazar H0</v>
      </c>
      <c r="F3689" s="0" t="str">
        <f aca="false">IF(AND(B3689="H0 verdadera",E3689="Rechazar H0"),"Error tipo I",IF(AND(B3689="Ha verdadera",E3689="No rechazar H0"),"Error tipo II","Decisión correcta"))</f>
        <v>Error tipo II</v>
      </c>
    </row>
    <row r="3690" customFormat="false" ht="15" hidden="false" customHeight="false" outlineLevel="0" collapsed="false">
      <c r="A3690" s="0" t="n">
        <v>3669</v>
      </c>
      <c r="B3690" s="0" t="s">
        <v>85</v>
      </c>
      <c r="C3690" s="17" t="n">
        <v>0.0640351798634638</v>
      </c>
      <c r="D3690" s="17" t="n">
        <f aca="false">(C3690-$B$4)/($B$6/SQRT($B$7))</f>
        <v>0.320175899317319</v>
      </c>
      <c r="E3690" s="0" t="str">
        <f aca="false">IF(OR(AND($B$9="superior",D3690&gt;$B$10),AND($B$9="inferior",D3690&lt;-$B$10)),"Rechazar H0","No rechazar H0")</f>
        <v>No rechazar H0</v>
      </c>
      <c r="F3690" s="0" t="str">
        <f aca="false">IF(AND(B3690="H0 verdadera",E3690="Rechazar H0"),"Error tipo I",IF(AND(B3690="Ha verdadera",E3690="No rechazar H0"),"Error tipo II","Decisión correcta"))</f>
        <v>Decisión correcta</v>
      </c>
    </row>
    <row r="3691" customFormat="false" ht="15" hidden="false" customHeight="false" outlineLevel="0" collapsed="false">
      <c r="A3691" s="0" t="n">
        <v>3670</v>
      </c>
      <c r="B3691" s="0" t="s">
        <v>85</v>
      </c>
      <c r="C3691" s="17" t="n">
        <v>0.263117273155266</v>
      </c>
      <c r="D3691" s="17" t="n">
        <f aca="false">(C3691-$B$4)/($B$6/SQRT($B$7))</f>
        <v>1.31558636577633</v>
      </c>
      <c r="E3691" s="0" t="str">
        <f aca="false">IF(OR(AND($B$9="superior",D3691&gt;$B$10),AND($B$9="inferior",D3691&lt;-$B$10)),"Rechazar H0","No rechazar H0")</f>
        <v>No rechazar H0</v>
      </c>
      <c r="F3691" s="0" t="str">
        <f aca="false">IF(AND(B3691="H0 verdadera",E3691="Rechazar H0"),"Error tipo I",IF(AND(B3691="Ha verdadera",E3691="No rechazar H0"),"Error tipo II","Decisión correcta"))</f>
        <v>Decisión correcta</v>
      </c>
    </row>
    <row r="3692" customFormat="false" ht="15" hidden="false" customHeight="false" outlineLevel="0" collapsed="false">
      <c r="A3692" s="0" t="n">
        <v>3671</v>
      </c>
      <c r="B3692" s="0" t="s">
        <v>85</v>
      </c>
      <c r="C3692" s="17" t="n">
        <v>-0.0409034619980364</v>
      </c>
      <c r="D3692" s="17" t="n">
        <f aca="false">(C3692-$B$4)/($B$6/SQRT($B$7))</f>
        <v>-0.204517309990182</v>
      </c>
      <c r="E3692" s="0" t="str">
        <f aca="false">IF(OR(AND($B$9="superior",D3692&gt;$B$10),AND($B$9="inferior",D3692&lt;-$B$10)),"Rechazar H0","No rechazar H0")</f>
        <v>No rechazar H0</v>
      </c>
      <c r="F3692" s="0" t="str">
        <f aca="false">IF(AND(B3692="H0 verdadera",E3692="Rechazar H0"),"Error tipo I",IF(AND(B3692="Ha verdadera",E3692="No rechazar H0"),"Error tipo II","Decisión correcta"))</f>
        <v>Decisión correcta</v>
      </c>
    </row>
    <row r="3693" customFormat="false" ht="15" hidden="false" customHeight="false" outlineLevel="0" collapsed="false">
      <c r="A3693" s="0" t="n">
        <v>3672</v>
      </c>
      <c r="B3693" s="0" t="s">
        <v>85</v>
      </c>
      <c r="C3693" s="17" t="n">
        <v>0.108028777559418</v>
      </c>
      <c r="D3693" s="17" t="n">
        <f aca="false">(C3693-$B$4)/($B$6/SQRT($B$7))</f>
        <v>0.540143887797088</v>
      </c>
      <c r="E3693" s="0" t="str">
        <f aca="false">IF(OR(AND($B$9="superior",D3693&gt;$B$10),AND($B$9="inferior",D3693&lt;-$B$10)),"Rechazar H0","No rechazar H0")</f>
        <v>No rechazar H0</v>
      </c>
      <c r="F3693" s="0" t="str">
        <f aca="false">IF(AND(B3693="H0 verdadera",E3693="Rechazar H0"),"Error tipo I",IF(AND(B3693="Ha verdadera",E3693="No rechazar H0"),"Error tipo II","Decisión correcta"))</f>
        <v>Decisión correcta</v>
      </c>
    </row>
    <row r="3694" customFormat="false" ht="15" hidden="false" customHeight="false" outlineLevel="0" collapsed="false">
      <c r="A3694" s="0" t="n">
        <v>3673</v>
      </c>
      <c r="B3694" s="0" t="s">
        <v>85</v>
      </c>
      <c r="C3694" s="17" t="n">
        <v>0.333903121617395</v>
      </c>
      <c r="D3694" s="17" t="n">
        <f aca="false">(C3694-$B$4)/($B$6/SQRT($B$7))</f>
        <v>1.66951560808698</v>
      </c>
      <c r="E3694" s="0" t="str">
        <f aca="false">IF(OR(AND($B$9="superior",D3694&gt;$B$10),AND($B$9="inferior",D3694&lt;-$B$10)),"Rechazar H0","No rechazar H0")</f>
        <v>No rechazar H0</v>
      </c>
      <c r="F3694" s="0" t="str">
        <f aca="false">IF(AND(B3694="H0 verdadera",E3694="Rechazar H0"),"Error tipo I",IF(AND(B3694="Ha verdadera",E3694="No rechazar H0"),"Error tipo II","Decisión correcta"))</f>
        <v>Decisión correcta</v>
      </c>
    </row>
    <row r="3695" customFormat="false" ht="15" hidden="false" customHeight="false" outlineLevel="0" collapsed="false">
      <c r="A3695" s="0" t="n">
        <v>3674</v>
      </c>
      <c r="B3695" s="0" t="s">
        <v>86</v>
      </c>
      <c r="C3695" s="17" t="n">
        <v>-0.729234752917951</v>
      </c>
      <c r="D3695" s="17" t="n">
        <f aca="false">(C3695-$B$4)/($B$6/SQRT($B$7))</f>
        <v>-3.64617376458975</v>
      </c>
      <c r="E3695" s="0" t="str">
        <f aca="false">IF(OR(AND($B$9="superior",D3695&gt;$B$10),AND($B$9="inferior",D3695&lt;-$B$10)),"Rechazar H0","No rechazar H0")</f>
        <v>Rechazar H0</v>
      </c>
      <c r="F3695" s="0" t="str">
        <f aca="false">IF(AND(B3695="H0 verdadera",E3695="Rechazar H0"),"Error tipo I",IF(AND(B3695="Ha verdadera",E3695="No rechazar H0"),"Error tipo II","Decisión correcta"))</f>
        <v>Decisión correcta</v>
      </c>
    </row>
    <row r="3696" customFormat="false" ht="15" hidden="false" customHeight="false" outlineLevel="0" collapsed="false">
      <c r="A3696" s="0" t="n">
        <v>3675</v>
      </c>
      <c r="B3696" s="0" t="s">
        <v>86</v>
      </c>
      <c r="C3696" s="17" t="n">
        <v>-0.378586685259857</v>
      </c>
      <c r="D3696" s="17" t="n">
        <f aca="false">(C3696-$B$4)/($B$6/SQRT($B$7))</f>
        <v>-1.89293342629929</v>
      </c>
      <c r="E3696" s="0" t="str">
        <f aca="false">IF(OR(AND($B$9="superior",D3696&gt;$B$10),AND($B$9="inferior",D3696&lt;-$B$10)),"Rechazar H0","No rechazar H0")</f>
        <v>Rechazar H0</v>
      </c>
      <c r="F3696" s="0" t="str">
        <f aca="false">IF(AND(B3696="H0 verdadera",E3696="Rechazar H0"),"Error tipo I",IF(AND(B3696="Ha verdadera",E3696="No rechazar H0"),"Error tipo II","Decisión correcta"))</f>
        <v>Decisión correcta</v>
      </c>
    </row>
    <row r="3697" customFormat="false" ht="15" hidden="false" customHeight="false" outlineLevel="0" collapsed="false">
      <c r="A3697" s="0" t="n">
        <v>3676</v>
      </c>
      <c r="B3697" s="0" t="s">
        <v>85</v>
      </c>
      <c r="C3697" s="17" t="n">
        <v>0.228664369680165</v>
      </c>
      <c r="D3697" s="17" t="n">
        <f aca="false">(C3697-$B$4)/($B$6/SQRT($B$7))</f>
        <v>1.14332184840083</v>
      </c>
      <c r="E3697" s="0" t="str">
        <f aca="false">IF(OR(AND($B$9="superior",D3697&gt;$B$10),AND($B$9="inferior",D3697&lt;-$B$10)),"Rechazar H0","No rechazar H0")</f>
        <v>No rechazar H0</v>
      </c>
      <c r="F3697" s="0" t="str">
        <f aca="false">IF(AND(B3697="H0 verdadera",E3697="Rechazar H0"),"Error tipo I",IF(AND(B3697="Ha verdadera",E3697="No rechazar H0"),"Error tipo II","Decisión correcta"))</f>
        <v>Decisión correcta</v>
      </c>
    </row>
    <row r="3698" customFormat="false" ht="15" hidden="false" customHeight="false" outlineLevel="0" collapsed="false">
      <c r="A3698" s="0" t="n">
        <v>3677</v>
      </c>
      <c r="B3698" s="0" t="s">
        <v>86</v>
      </c>
      <c r="C3698" s="17" t="n">
        <v>-0.358506174052588</v>
      </c>
      <c r="D3698" s="17" t="n">
        <f aca="false">(C3698-$B$4)/($B$6/SQRT($B$7))</f>
        <v>-1.79253087026294</v>
      </c>
      <c r="E3698" s="0" t="str">
        <f aca="false">IF(OR(AND($B$9="superior",D3698&gt;$B$10),AND($B$9="inferior",D3698&lt;-$B$10)),"Rechazar H0","No rechazar H0")</f>
        <v>Rechazar H0</v>
      </c>
      <c r="F3698" s="0" t="str">
        <f aca="false">IF(AND(B3698="H0 verdadera",E3698="Rechazar H0"),"Error tipo I",IF(AND(B3698="Ha verdadera",E3698="No rechazar H0"),"Error tipo II","Decisión correcta"))</f>
        <v>Decisión correcta</v>
      </c>
    </row>
    <row r="3699" customFormat="false" ht="15" hidden="false" customHeight="false" outlineLevel="0" collapsed="false">
      <c r="A3699" s="0" t="n">
        <v>3678</v>
      </c>
      <c r="B3699" s="0" t="s">
        <v>85</v>
      </c>
      <c r="C3699" s="17" t="n">
        <v>0.126102310796903</v>
      </c>
      <c r="D3699" s="17" t="n">
        <f aca="false">(C3699-$B$4)/($B$6/SQRT($B$7))</f>
        <v>0.630511553984514</v>
      </c>
      <c r="E3699" s="0" t="str">
        <f aca="false">IF(OR(AND($B$9="superior",D3699&gt;$B$10),AND($B$9="inferior",D3699&lt;-$B$10)),"Rechazar H0","No rechazar H0")</f>
        <v>No rechazar H0</v>
      </c>
      <c r="F3699" s="0" t="str">
        <f aca="false">IF(AND(B3699="H0 verdadera",E3699="Rechazar H0"),"Error tipo I",IF(AND(B3699="Ha verdadera",E3699="No rechazar H0"),"Error tipo II","Decisión correcta"))</f>
        <v>Decisión correcta</v>
      </c>
    </row>
    <row r="3700" customFormat="false" ht="15" hidden="false" customHeight="false" outlineLevel="0" collapsed="false">
      <c r="A3700" s="0" t="n">
        <v>3679</v>
      </c>
      <c r="B3700" s="0" t="s">
        <v>86</v>
      </c>
      <c r="C3700" s="17" t="n">
        <v>-0.469042394918903</v>
      </c>
      <c r="D3700" s="17" t="n">
        <f aca="false">(C3700-$B$4)/($B$6/SQRT($B$7))</f>
        <v>-2.34521197459452</v>
      </c>
      <c r="E3700" s="0" t="str">
        <f aca="false">IF(OR(AND($B$9="superior",D3700&gt;$B$10),AND($B$9="inferior",D3700&lt;-$B$10)),"Rechazar H0","No rechazar H0")</f>
        <v>Rechazar H0</v>
      </c>
      <c r="F3700" s="0" t="str">
        <f aca="false">IF(AND(B3700="H0 verdadera",E3700="Rechazar H0"),"Error tipo I",IF(AND(B3700="Ha verdadera",E3700="No rechazar H0"),"Error tipo II","Decisión correcta"))</f>
        <v>Decisión correcta</v>
      </c>
    </row>
    <row r="3701" customFormat="false" ht="15" hidden="false" customHeight="false" outlineLevel="0" collapsed="false">
      <c r="A3701" s="0" t="n">
        <v>3680</v>
      </c>
      <c r="B3701" s="0" t="s">
        <v>85</v>
      </c>
      <c r="C3701" s="17" t="n">
        <v>0.0441425640327717</v>
      </c>
      <c r="D3701" s="17" t="n">
        <f aca="false">(C3701-$B$4)/($B$6/SQRT($B$7))</f>
        <v>0.220712820163859</v>
      </c>
      <c r="E3701" s="0" t="str">
        <f aca="false">IF(OR(AND($B$9="superior",D3701&gt;$B$10),AND($B$9="inferior",D3701&lt;-$B$10)),"Rechazar H0","No rechazar H0")</f>
        <v>No rechazar H0</v>
      </c>
      <c r="F3701" s="0" t="str">
        <f aca="false">IF(AND(B3701="H0 verdadera",E3701="Rechazar H0"),"Error tipo I",IF(AND(B3701="Ha verdadera",E3701="No rechazar H0"),"Error tipo II","Decisión correcta"))</f>
        <v>Decisión correcta</v>
      </c>
    </row>
    <row r="3702" customFormat="false" ht="15" hidden="false" customHeight="false" outlineLevel="0" collapsed="false">
      <c r="A3702" s="0" t="n">
        <v>3681</v>
      </c>
      <c r="B3702" s="0" t="s">
        <v>86</v>
      </c>
      <c r="C3702" s="17" t="n">
        <v>-0.291718734583748</v>
      </c>
      <c r="D3702" s="17" t="n">
        <f aca="false">(C3702-$B$4)/($B$6/SQRT($B$7))</f>
        <v>-1.45859367291874</v>
      </c>
      <c r="E3702" s="0" t="str">
        <f aca="false">IF(OR(AND($B$9="superior",D3702&gt;$B$10),AND($B$9="inferior",D3702&lt;-$B$10)),"Rechazar H0","No rechazar H0")</f>
        <v>No rechazar H0</v>
      </c>
      <c r="F3702" s="0" t="str">
        <f aca="false">IF(AND(B3702="H0 verdadera",E3702="Rechazar H0"),"Error tipo I",IF(AND(B3702="Ha verdadera",E3702="No rechazar H0"),"Error tipo II","Decisión correcta"))</f>
        <v>Error tipo II</v>
      </c>
    </row>
    <row r="3703" customFormat="false" ht="15" hidden="false" customHeight="false" outlineLevel="0" collapsed="false">
      <c r="A3703" s="0" t="n">
        <v>3682</v>
      </c>
      <c r="B3703" s="0" t="s">
        <v>86</v>
      </c>
      <c r="C3703" s="17" t="n">
        <v>-0.0919870219936358</v>
      </c>
      <c r="D3703" s="17" t="n">
        <f aca="false">(C3703-$B$4)/($B$6/SQRT($B$7))</f>
        <v>-0.459935109968179</v>
      </c>
      <c r="E3703" s="0" t="str">
        <f aca="false">IF(OR(AND($B$9="superior",D3703&gt;$B$10),AND($B$9="inferior",D3703&lt;-$B$10)),"Rechazar H0","No rechazar H0")</f>
        <v>No rechazar H0</v>
      </c>
      <c r="F3703" s="0" t="str">
        <f aca="false">IF(AND(B3703="H0 verdadera",E3703="Rechazar H0"),"Error tipo I",IF(AND(B3703="Ha verdadera",E3703="No rechazar H0"),"Error tipo II","Decisión correcta"))</f>
        <v>Error tipo II</v>
      </c>
    </row>
    <row r="3704" customFormat="false" ht="15" hidden="false" customHeight="false" outlineLevel="0" collapsed="false">
      <c r="A3704" s="0" t="n">
        <v>3683</v>
      </c>
      <c r="B3704" s="0" t="s">
        <v>86</v>
      </c>
      <c r="C3704" s="17" t="n">
        <v>-0.139830970179898</v>
      </c>
      <c r="D3704" s="17" t="n">
        <f aca="false">(C3704-$B$4)/($B$6/SQRT($B$7))</f>
        <v>-0.699154850899489</v>
      </c>
      <c r="E3704" s="0" t="str">
        <f aca="false">IF(OR(AND($B$9="superior",D3704&gt;$B$10),AND($B$9="inferior",D3704&lt;-$B$10)),"Rechazar H0","No rechazar H0")</f>
        <v>No rechazar H0</v>
      </c>
      <c r="F3704" s="0" t="str">
        <f aca="false">IF(AND(B3704="H0 verdadera",E3704="Rechazar H0"),"Error tipo I",IF(AND(B3704="Ha verdadera",E3704="No rechazar H0"),"Error tipo II","Decisión correcta"))</f>
        <v>Error tipo II</v>
      </c>
    </row>
    <row r="3705" customFormat="false" ht="15" hidden="false" customHeight="false" outlineLevel="0" collapsed="false">
      <c r="A3705" s="0" t="n">
        <v>3684</v>
      </c>
      <c r="B3705" s="0" t="s">
        <v>86</v>
      </c>
      <c r="C3705" s="17" t="n">
        <v>-0.571496750731917</v>
      </c>
      <c r="D3705" s="17" t="n">
        <f aca="false">(C3705-$B$4)/($B$6/SQRT($B$7))</f>
        <v>-2.85748375365958</v>
      </c>
      <c r="E3705" s="0" t="str">
        <f aca="false">IF(OR(AND($B$9="superior",D3705&gt;$B$10),AND($B$9="inferior",D3705&lt;-$B$10)),"Rechazar H0","No rechazar H0")</f>
        <v>Rechazar H0</v>
      </c>
      <c r="F3705" s="0" t="str">
        <f aca="false">IF(AND(B3705="H0 verdadera",E3705="Rechazar H0"),"Error tipo I",IF(AND(B3705="Ha verdadera",E3705="No rechazar H0"),"Error tipo II","Decisión correcta"))</f>
        <v>Decisión correcta</v>
      </c>
    </row>
    <row r="3706" customFormat="false" ht="15" hidden="false" customHeight="false" outlineLevel="0" collapsed="false">
      <c r="A3706" s="0" t="n">
        <v>3685</v>
      </c>
      <c r="B3706" s="0" t="s">
        <v>86</v>
      </c>
      <c r="C3706" s="17" t="n">
        <v>-0.347149767592264</v>
      </c>
      <c r="D3706" s="17" t="n">
        <f aca="false">(C3706-$B$4)/($B$6/SQRT($B$7))</f>
        <v>-1.73574883796132</v>
      </c>
      <c r="E3706" s="0" t="str">
        <f aca="false">IF(OR(AND($B$9="superior",D3706&gt;$B$10),AND($B$9="inferior",D3706&lt;-$B$10)),"Rechazar H0","No rechazar H0")</f>
        <v>Rechazar H0</v>
      </c>
      <c r="F3706" s="0" t="str">
        <f aca="false">IF(AND(B3706="H0 verdadera",E3706="Rechazar H0"),"Error tipo I",IF(AND(B3706="Ha verdadera",E3706="No rechazar H0"),"Error tipo II","Decisión correcta"))</f>
        <v>Decisión correcta</v>
      </c>
    </row>
    <row r="3707" customFormat="false" ht="15" hidden="false" customHeight="false" outlineLevel="0" collapsed="false">
      <c r="A3707" s="0" t="n">
        <v>3686</v>
      </c>
      <c r="B3707" s="0" t="s">
        <v>86</v>
      </c>
      <c r="C3707" s="17" t="n">
        <v>-0.0684364522410914</v>
      </c>
      <c r="D3707" s="17" t="n">
        <f aca="false">(C3707-$B$4)/($B$6/SQRT($B$7))</f>
        <v>-0.342182261205457</v>
      </c>
      <c r="E3707" s="0" t="str">
        <f aca="false">IF(OR(AND($B$9="superior",D3707&gt;$B$10),AND($B$9="inferior",D3707&lt;-$B$10)),"Rechazar H0","No rechazar H0")</f>
        <v>No rechazar H0</v>
      </c>
      <c r="F3707" s="0" t="str">
        <f aca="false">IF(AND(B3707="H0 verdadera",E3707="Rechazar H0"),"Error tipo I",IF(AND(B3707="Ha verdadera",E3707="No rechazar H0"),"Error tipo II","Decisión correcta"))</f>
        <v>Error tipo II</v>
      </c>
    </row>
    <row r="3708" customFormat="false" ht="15" hidden="false" customHeight="false" outlineLevel="0" collapsed="false">
      <c r="A3708" s="0" t="n">
        <v>3687</v>
      </c>
      <c r="B3708" s="0" t="s">
        <v>86</v>
      </c>
      <c r="C3708" s="17" t="n">
        <v>-0.106279791540489</v>
      </c>
      <c r="D3708" s="17" t="n">
        <f aca="false">(C3708-$B$4)/($B$6/SQRT($B$7))</f>
        <v>-0.531398957702445</v>
      </c>
      <c r="E3708" s="0" t="str">
        <f aca="false">IF(OR(AND($B$9="superior",D3708&gt;$B$10),AND($B$9="inferior",D3708&lt;-$B$10)),"Rechazar H0","No rechazar H0")</f>
        <v>No rechazar H0</v>
      </c>
      <c r="F3708" s="0" t="str">
        <f aca="false">IF(AND(B3708="H0 verdadera",E3708="Rechazar H0"),"Error tipo I",IF(AND(B3708="Ha verdadera",E3708="No rechazar H0"),"Error tipo II","Decisión correcta"))</f>
        <v>Error tipo II</v>
      </c>
    </row>
    <row r="3709" customFormat="false" ht="15" hidden="false" customHeight="false" outlineLevel="0" collapsed="false">
      <c r="A3709" s="0" t="n">
        <v>3688</v>
      </c>
      <c r="B3709" s="0" t="s">
        <v>85</v>
      </c>
      <c r="C3709" s="17" t="n">
        <v>0.0792738489664161</v>
      </c>
      <c r="D3709" s="17" t="n">
        <f aca="false">(C3709-$B$4)/($B$6/SQRT($B$7))</f>
        <v>0.396369244832081</v>
      </c>
      <c r="E3709" s="0" t="str">
        <f aca="false">IF(OR(AND($B$9="superior",D3709&gt;$B$10),AND($B$9="inferior",D3709&lt;-$B$10)),"Rechazar H0","No rechazar H0")</f>
        <v>No rechazar H0</v>
      </c>
      <c r="F3709" s="0" t="str">
        <f aca="false">IF(AND(B3709="H0 verdadera",E3709="Rechazar H0"),"Error tipo I",IF(AND(B3709="Ha verdadera",E3709="No rechazar H0"),"Error tipo II","Decisión correcta"))</f>
        <v>Decisión correcta</v>
      </c>
    </row>
    <row r="3710" customFormat="false" ht="15" hidden="false" customHeight="false" outlineLevel="0" collapsed="false">
      <c r="A3710" s="0" t="n">
        <v>3689</v>
      </c>
      <c r="B3710" s="0" t="s">
        <v>86</v>
      </c>
      <c r="C3710" s="17" t="n">
        <v>-0.118246552698007</v>
      </c>
      <c r="D3710" s="17" t="n">
        <f aca="false">(C3710-$B$4)/($B$6/SQRT($B$7))</f>
        <v>-0.591232763490034</v>
      </c>
      <c r="E3710" s="0" t="str">
        <f aca="false">IF(OR(AND($B$9="superior",D3710&gt;$B$10),AND($B$9="inferior",D3710&lt;-$B$10)),"Rechazar H0","No rechazar H0")</f>
        <v>No rechazar H0</v>
      </c>
      <c r="F3710" s="0" t="str">
        <f aca="false">IF(AND(B3710="H0 verdadera",E3710="Rechazar H0"),"Error tipo I",IF(AND(B3710="Ha verdadera",E3710="No rechazar H0"),"Error tipo II","Decisión correcta"))</f>
        <v>Error tipo II</v>
      </c>
    </row>
    <row r="3711" customFormat="false" ht="15" hidden="false" customHeight="false" outlineLevel="0" collapsed="false">
      <c r="A3711" s="0" t="n">
        <v>3690</v>
      </c>
      <c r="B3711" s="0" t="s">
        <v>85</v>
      </c>
      <c r="C3711" s="17" t="n">
        <v>-0.154941503691012</v>
      </c>
      <c r="D3711" s="17" t="n">
        <f aca="false">(C3711-$B$4)/($B$6/SQRT($B$7))</f>
        <v>-0.774707518455058</v>
      </c>
      <c r="E3711" s="0" t="str">
        <f aca="false">IF(OR(AND($B$9="superior",D3711&gt;$B$10),AND($B$9="inferior",D3711&lt;-$B$10)),"Rechazar H0","No rechazar H0")</f>
        <v>No rechazar H0</v>
      </c>
      <c r="F3711" s="0" t="str">
        <f aca="false">IF(AND(B3711="H0 verdadera",E3711="Rechazar H0"),"Error tipo I",IF(AND(B3711="Ha verdadera",E3711="No rechazar H0"),"Error tipo II","Decisión correcta"))</f>
        <v>Decisión correcta</v>
      </c>
    </row>
    <row r="3712" customFormat="false" ht="15" hidden="false" customHeight="false" outlineLevel="0" collapsed="false">
      <c r="A3712" s="0" t="n">
        <v>3691</v>
      </c>
      <c r="B3712" s="0" t="s">
        <v>86</v>
      </c>
      <c r="C3712" s="17" t="n">
        <v>-0.34999059883242</v>
      </c>
      <c r="D3712" s="17" t="n">
        <f aca="false">(C3712-$B$4)/($B$6/SQRT($B$7))</f>
        <v>-1.7499529941621</v>
      </c>
      <c r="E3712" s="0" t="str">
        <f aca="false">IF(OR(AND($B$9="superior",D3712&gt;$B$10),AND($B$9="inferior",D3712&lt;-$B$10)),"Rechazar H0","No rechazar H0")</f>
        <v>Rechazar H0</v>
      </c>
      <c r="F3712" s="0" t="str">
        <f aca="false">IF(AND(B3712="H0 verdadera",E3712="Rechazar H0"),"Error tipo I",IF(AND(B3712="Ha verdadera",E3712="No rechazar H0"),"Error tipo II","Decisión correcta"))</f>
        <v>Decisión correcta</v>
      </c>
    </row>
    <row r="3713" customFormat="false" ht="15" hidden="false" customHeight="false" outlineLevel="0" collapsed="false">
      <c r="A3713" s="0" t="n">
        <v>3692</v>
      </c>
      <c r="B3713" s="0" t="s">
        <v>85</v>
      </c>
      <c r="C3713" s="17" t="n">
        <v>0.158212413194085</v>
      </c>
      <c r="D3713" s="17" t="n">
        <f aca="false">(C3713-$B$4)/($B$6/SQRT($B$7))</f>
        <v>0.791062065970425</v>
      </c>
      <c r="E3713" s="0" t="str">
        <f aca="false">IF(OR(AND($B$9="superior",D3713&gt;$B$10),AND($B$9="inferior",D3713&lt;-$B$10)),"Rechazar H0","No rechazar H0")</f>
        <v>No rechazar H0</v>
      </c>
      <c r="F3713" s="0" t="str">
        <f aca="false">IF(AND(B3713="H0 verdadera",E3713="Rechazar H0"),"Error tipo I",IF(AND(B3713="Ha verdadera",E3713="No rechazar H0"),"Error tipo II","Decisión correcta"))</f>
        <v>Decisión correcta</v>
      </c>
    </row>
    <row r="3714" customFormat="false" ht="15" hidden="false" customHeight="false" outlineLevel="0" collapsed="false">
      <c r="A3714" s="0" t="n">
        <v>3693</v>
      </c>
      <c r="B3714" s="0" t="s">
        <v>85</v>
      </c>
      <c r="C3714" s="17" t="n">
        <v>-0.00405405229277545</v>
      </c>
      <c r="D3714" s="17" t="n">
        <f aca="false">(C3714-$B$4)/($B$6/SQRT($B$7))</f>
        <v>-0.0202702614638772</v>
      </c>
      <c r="E3714" s="0" t="str">
        <f aca="false">IF(OR(AND($B$9="superior",D3714&gt;$B$10),AND($B$9="inferior",D3714&lt;-$B$10)),"Rechazar H0","No rechazar H0")</f>
        <v>No rechazar H0</v>
      </c>
      <c r="F3714" s="0" t="str">
        <f aca="false">IF(AND(B3714="H0 verdadera",E3714="Rechazar H0"),"Error tipo I",IF(AND(B3714="Ha verdadera",E3714="No rechazar H0"),"Error tipo II","Decisión correcta"))</f>
        <v>Decisión correcta</v>
      </c>
    </row>
    <row r="3715" customFormat="false" ht="15" hidden="false" customHeight="false" outlineLevel="0" collapsed="false">
      <c r="A3715" s="0" t="n">
        <v>3694</v>
      </c>
      <c r="B3715" s="0" t="s">
        <v>85</v>
      </c>
      <c r="C3715" s="17" t="n">
        <v>-0.0489450971262503</v>
      </c>
      <c r="D3715" s="17" t="n">
        <f aca="false">(C3715-$B$4)/($B$6/SQRT($B$7))</f>
        <v>-0.244725485631251</v>
      </c>
      <c r="E3715" s="0" t="str">
        <f aca="false">IF(OR(AND($B$9="superior",D3715&gt;$B$10),AND($B$9="inferior",D3715&lt;-$B$10)),"Rechazar H0","No rechazar H0")</f>
        <v>No rechazar H0</v>
      </c>
      <c r="F3715" s="0" t="str">
        <f aca="false">IF(AND(B3715="H0 verdadera",E3715="Rechazar H0"),"Error tipo I",IF(AND(B3715="Ha verdadera",E3715="No rechazar H0"),"Error tipo II","Decisión correcta"))</f>
        <v>Decisión correcta</v>
      </c>
    </row>
    <row r="3716" customFormat="false" ht="15" hidden="false" customHeight="false" outlineLevel="0" collapsed="false">
      <c r="A3716" s="0" t="n">
        <v>3695</v>
      </c>
      <c r="B3716" s="0" t="s">
        <v>85</v>
      </c>
      <c r="C3716" s="17" t="n">
        <v>-0.0944035716773673</v>
      </c>
      <c r="D3716" s="17" t="n">
        <f aca="false">(C3716-$B$4)/($B$6/SQRT($B$7))</f>
        <v>-0.472017858386837</v>
      </c>
      <c r="E3716" s="0" t="str">
        <f aca="false">IF(OR(AND($B$9="superior",D3716&gt;$B$10),AND($B$9="inferior",D3716&lt;-$B$10)),"Rechazar H0","No rechazar H0")</f>
        <v>No rechazar H0</v>
      </c>
      <c r="F3716" s="0" t="str">
        <f aca="false">IF(AND(B3716="H0 verdadera",E3716="Rechazar H0"),"Error tipo I",IF(AND(B3716="Ha verdadera",E3716="No rechazar H0"),"Error tipo II","Decisión correcta"))</f>
        <v>Decisión correcta</v>
      </c>
    </row>
    <row r="3717" customFormat="false" ht="15" hidden="false" customHeight="false" outlineLevel="0" collapsed="false">
      <c r="A3717" s="0" t="n">
        <v>3696</v>
      </c>
      <c r="B3717" s="0" t="s">
        <v>86</v>
      </c>
      <c r="C3717" s="17" t="n">
        <v>-0.302172829877807</v>
      </c>
      <c r="D3717" s="17" t="n">
        <f aca="false">(C3717-$B$4)/($B$6/SQRT($B$7))</f>
        <v>-1.51086414938903</v>
      </c>
      <c r="E3717" s="0" t="str">
        <f aca="false">IF(OR(AND($B$9="superior",D3717&gt;$B$10),AND($B$9="inferior",D3717&lt;-$B$10)),"Rechazar H0","No rechazar H0")</f>
        <v>No rechazar H0</v>
      </c>
      <c r="F3717" s="0" t="str">
        <f aca="false">IF(AND(B3717="H0 verdadera",E3717="Rechazar H0"),"Error tipo I",IF(AND(B3717="Ha verdadera",E3717="No rechazar H0"),"Error tipo II","Decisión correcta"))</f>
        <v>Error tipo II</v>
      </c>
    </row>
    <row r="3718" customFormat="false" ht="15" hidden="false" customHeight="false" outlineLevel="0" collapsed="false">
      <c r="A3718" s="0" t="n">
        <v>3697</v>
      </c>
      <c r="B3718" s="0" t="s">
        <v>86</v>
      </c>
      <c r="C3718" s="17" t="n">
        <v>-0.541596541719668</v>
      </c>
      <c r="D3718" s="17" t="n">
        <f aca="false">(C3718-$B$4)/($B$6/SQRT($B$7))</f>
        <v>-2.70798270859834</v>
      </c>
      <c r="E3718" s="0" t="str">
        <f aca="false">IF(OR(AND($B$9="superior",D3718&gt;$B$10),AND($B$9="inferior",D3718&lt;-$B$10)),"Rechazar H0","No rechazar H0")</f>
        <v>Rechazar H0</v>
      </c>
      <c r="F3718" s="0" t="str">
        <f aca="false">IF(AND(B3718="H0 verdadera",E3718="Rechazar H0"),"Error tipo I",IF(AND(B3718="Ha verdadera",E3718="No rechazar H0"),"Error tipo II","Decisión correcta"))</f>
        <v>Decisión correcta</v>
      </c>
    </row>
    <row r="3719" customFormat="false" ht="15" hidden="false" customHeight="false" outlineLevel="0" collapsed="false">
      <c r="A3719" s="0" t="n">
        <v>3698</v>
      </c>
      <c r="B3719" s="0" t="s">
        <v>85</v>
      </c>
      <c r="C3719" s="17" t="n">
        <v>-0.0318795052333346</v>
      </c>
      <c r="D3719" s="17" t="n">
        <f aca="false">(C3719-$B$4)/($B$6/SQRT($B$7))</f>
        <v>-0.159397526166673</v>
      </c>
      <c r="E3719" s="0" t="str">
        <f aca="false">IF(OR(AND($B$9="superior",D3719&gt;$B$10),AND($B$9="inferior",D3719&lt;-$B$10)),"Rechazar H0","No rechazar H0")</f>
        <v>No rechazar H0</v>
      </c>
      <c r="F3719" s="0" t="str">
        <f aca="false">IF(AND(B3719="H0 verdadera",E3719="Rechazar H0"),"Error tipo I",IF(AND(B3719="Ha verdadera",E3719="No rechazar H0"),"Error tipo II","Decisión correcta"))</f>
        <v>Decisión correcta</v>
      </c>
    </row>
    <row r="3720" customFormat="false" ht="15" hidden="false" customHeight="false" outlineLevel="0" collapsed="false">
      <c r="A3720" s="0" t="n">
        <v>3699</v>
      </c>
      <c r="B3720" s="0" t="s">
        <v>86</v>
      </c>
      <c r="C3720" s="17" t="n">
        <v>-0.440191866123316</v>
      </c>
      <c r="D3720" s="17" t="n">
        <f aca="false">(C3720-$B$4)/($B$6/SQRT($B$7))</f>
        <v>-2.20095933061658</v>
      </c>
      <c r="E3720" s="0" t="str">
        <f aca="false">IF(OR(AND($B$9="superior",D3720&gt;$B$10),AND($B$9="inferior",D3720&lt;-$B$10)),"Rechazar H0","No rechazar H0")</f>
        <v>Rechazar H0</v>
      </c>
      <c r="F3720" s="0" t="str">
        <f aca="false">IF(AND(B3720="H0 verdadera",E3720="Rechazar H0"),"Error tipo I",IF(AND(B3720="Ha verdadera",E3720="No rechazar H0"),"Error tipo II","Decisión correcta"))</f>
        <v>Decisión correcta</v>
      </c>
    </row>
    <row r="3721" customFormat="false" ht="15" hidden="false" customHeight="false" outlineLevel="0" collapsed="false">
      <c r="A3721" s="0" t="n">
        <v>3700</v>
      </c>
      <c r="B3721" s="0" t="s">
        <v>86</v>
      </c>
      <c r="C3721" s="17" t="n">
        <v>-0.62302355327666</v>
      </c>
      <c r="D3721" s="17" t="n">
        <f aca="false">(C3721-$B$4)/($B$6/SQRT($B$7))</f>
        <v>-3.1151177663833</v>
      </c>
      <c r="E3721" s="0" t="str">
        <f aca="false">IF(OR(AND($B$9="superior",D3721&gt;$B$10),AND($B$9="inferior",D3721&lt;-$B$10)),"Rechazar H0","No rechazar H0")</f>
        <v>Rechazar H0</v>
      </c>
      <c r="F3721" s="0" t="str">
        <f aca="false">IF(AND(B3721="H0 verdadera",E3721="Rechazar H0"),"Error tipo I",IF(AND(B3721="Ha verdadera",E3721="No rechazar H0"),"Error tipo II","Decisión correcta"))</f>
        <v>Decisión correcta</v>
      </c>
    </row>
    <row r="3722" customFormat="false" ht="15" hidden="false" customHeight="false" outlineLevel="0" collapsed="false">
      <c r="A3722" s="0" t="n">
        <v>3701</v>
      </c>
      <c r="B3722" s="0" t="s">
        <v>86</v>
      </c>
      <c r="C3722" s="17" t="n">
        <v>-0.460795365121278</v>
      </c>
      <c r="D3722" s="17" t="n">
        <f aca="false">(C3722-$B$4)/($B$6/SQRT($B$7))</f>
        <v>-2.30397682560639</v>
      </c>
      <c r="E3722" s="0" t="str">
        <f aca="false">IF(OR(AND($B$9="superior",D3722&gt;$B$10),AND($B$9="inferior",D3722&lt;-$B$10)),"Rechazar H0","No rechazar H0")</f>
        <v>Rechazar H0</v>
      </c>
      <c r="F3722" s="0" t="str">
        <f aca="false">IF(AND(B3722="H0 verdadera",E3722="Rechazar H0"),"Error tipo I",IF(AND(B3722="Ha verdadera",E3722="No rechazar H0"),"Error tipo II","Decisión correcta"))</f>
        <v>Decisión correcta</v>
      </c>
    </row>
    <row r="3723" customFormat="false" ht="15" hidden="false" customHeight="false" outlineLevel="0" collapsed="false">
      <c r="A3723" s="0" t="n">
        <v>3702</v>
      </c>
      <c r="B3723" s="0" t="s">
        <v>85</v>
      </c>
      <c r="C3723" s="17" t="n">
        <v>0.180898665907883</v>
      </c>
      <c r="D3723" s="17" t="n">
        <f aca="false">(C3723-$B$4)/($B$6/SQRT($B$7))</f>
        <v>0.904493329539413</v>
      </c>
      <c r="E3723" s="0" t="str">
        <f aca="false">IF(OR(AND($B$9="superior",D3723&gt;$B$10),AND($B$9="inferior",D3723&lt;-$B$10)),"Rechazar H0","No rechazar H0")</f>
        <v>No rechazar H0</v>
      </c>
      <c r="F3723" s="0" t="str">
        <f aca="false">IF(AND(B3723="H0 verdadera",E3723="Rechazar H0"),"Error tipo I",IF(AND(B3723="Ha verdadera",E3723="No rechazar H0"),"Error tipo II","Decisión correcta"))</f>
        <v>Decisión correcta</v>
      </c>
    </row>
    <row r="3724" customFormat="false" ht="15" hidden="false" customHeight="false" outlineLevel="0" collapsed="false">
      <c r="A3724" s="0" t="n">
        <v>3703</v>
      </c>
      <c r="B3724" s="0" t="s">
        <v>85</v>
      </c>
      <c r="C3724" s="17" t="n">
        <v>-0.07631378429431</v>
      </c>
      <c r="D3724" s="17" t="n">
        <f aca="false">(C3724-$B$4)/($B$6/SQRT($B$7))</f>
        <v>-0.38156892147155</v>
      </c>
      <c r="E3724" s="0" t="str">
        <f aca="false">IF(OR(AND($B$9="superior",D3724&gt;$B$10),AND($B$9="inferior",D3724&lt;-$B$10)),"Rechazar H0","No rechazar H0")</f>
        <v>No rechazar H0</v>
      </c>
      <c r="F3724" s="0" t="str">
        <f aca="false">IF(AND(B3724="H0 verdadera",E3724="Rechazar H0"),"Error tipo I",IF(AND(B3724="Ha verdadera",E3724="No rechazar H0"),"Error tipo II","Decisión correcta"))</f>
        <v>Decisión correcta</v>
      </c>
    </row>
    <row r="3725" customFormat="false" ht="15" hidden="false" customHeight="false" outlineLevel="0" collapsed="false">
      <c r="A3725" s="0" t="n">
        <v>3704</v>
      </c>
      <c r="B3725" s="0" t="s">
        <v>86</v>
      </c>
      <c r="C3725" s="17" t="n">
        <v>-0.293831921682429</v>
      </c>
      <c r="D3725" s="17" t="n">
        <f aca="false">(C3725-$B$4)/($B$6/SQRT($B$7))</f>
        <v>-1.46915960841215</v>
      </c>
      <c r="E3725" s="0" t="str">
        <f aca="false">IF(OR(AND($B$9="superior",D3725&gt;$B$10),AND($B$9="inferior",D3725&lt;-$B$10)),"Rechazar H0","No rechazar H0")</f>
        <v>No rechazar H0</v>
      </c>
      <c r="F3725" s="0" t="str">
        <f aca="false">IF(AND(B3725="H0 verdadera",E3725="Rechazar H0"),"Error tipo I",IF(AND(B3725="Ha verdadera",E3725="No rechazar H0"),"Error tipo II","Decisión correcta"))</f>
        <v>Error tipo II</v>
      </c>
    </row>
    <row r="3726" customFormat="false" ht="15" hidden="false" customHeight="false" outlineLevel="0" collapsed="false">
      <c r="A3726" s="0" t="n">
        <v>3705</v>
      </c>
      <c r="B3726" s="0" t="s">
        <v>86</v>
      </c>
      <c r="C3726" s="17" t="n">
        <v>-0.480122445849682</v>
      </c>
      <c r="D3726" s="17" t="n">
        <f aca="false">(C3726-$B$4)/($B$6/SQRT($B$7))</f>
        <v>-2.40061222924841</v>
      </c>
      <c r="E3726" s="0" t="str">
        <f aca="false">IF(OR(AND($B$9="superior",D3726&gt;$B$10),AND($B$9="inferior",D3726&lt;-$B$10)),"Rechazar H0","No rechazar H0")</f>
        <v>Rechazar H0</v>
      </c>
      <c r="F3726" s="0" t="str">
        <f aca="false">IF(AND(B3726="H0 verdadera",E3726="Rechazar H0"),"Error tipo I",IF(AND(B3726="Ha verdadera",E3726="No rechazar H0"),"Error tipo II","Decisión correcta"))</f>
        <v>Decisión correcta</v>
      </c>
    </row>
    <row r="3727" customFormat="false" ht="15" hidden="false" customHeight="false" outlineLevel="0" collapsed="false">
      <c r="A3727" s="0" t="n">
        <v>3706</v>
      </c>
      <c r="B3727" s="0" t="s">
        <v>85</v>
      </c>
      <c r="C3727" s="17" t="n">
        <v>-0.0201495194842804</v>
      </c>
      <c r="D3727" s="17" t="n">
        <f aca="false">(C3727-$B$4)/($B$6/SQRT($B$7))</f>
        <v>-0.100747597421402</v>
      </c>
      <c r="E3727" s="0" t="str">
        <f aca="false">IF(OR(AND($B$9="superior",D3727&gt;$B$10),AND($B$9="inferior",D3727&lt;-$B$10)),"Rechazar H0","No rechazar H0")</f>
        <v>No rechazar H0</v>
      </c>
      <c r="F3727" s="0" t="str">
        <f aca="false">IF(AND(B3727="H0 verdadera",E3727="Rechazar H0"),"Error tipo I",IF(AND(B3727="Ha verdadera",E3727="No rechazar H0"),"Error tipo II","Decisión correcta"))</f>
        <v>Decisión correcta</v>
      </c>
    </row>
    <row r="3728" customFormat="false" ht="15" hidden="false" customHeight="false" outlineLevel="0" collapsed="false">
      <c r="A3728" s="0" t="n">
        <v>3707</v>
      </c>
      <c r="B3728" s="0" t="s">
        <v>85</v>
      </c>
      <c r="C3728" s="17" t="n">
        <v>0.189018330703331</v>
      </c>
      <c r="D3728" s="17" t="n">
        <f aca="false">(C3728-$B$4)/($B$6/SQRT($B$7))</f>
        <v>0.945091653516656</v>
      </c>
      <c r="E3728" s="0" t="str">
        <f aca="false">IF(OR(AND($B$9="superior",D3728&gt;$B$10),AND($B$9="inferior",D3728&lt;-$B$10)),"Rechazar H0","No rechazar H0")</f>
        <v>No rechazar H0</v>
      </c>
      <c r="F3728" s="0" t="str">
        <f aca="false">IF(AND(B3728="H0 verdadera",E3728="Rechazar H0"),"Error tipo I",IF(AND(B3728="Ha verdadera",E3728="No rechazar H0"),"Error tipo II","Decisión correcta"))</f>
        <v>Decisión correcta</v>
      </c>
    </row>
    <row r="3729" customFormat="false" ht="15" hidden="false" customHeight="false" outlineLevel="0" collapsed="false">
      <c r="A3729" s="0" t="n">
        <v>3708</v>
      </c>
      <c r="B3729" s="0" t="s">
        <v>86</v>
      </c>
      <c r="C3729" s="17" t="n">
        <v>-0.243059753302856</v>
      </c>
      <c r="D3729" s="17" t="n">
        <f aca="false">(C3729-$B$4)/($B$6/SQRT($B$7))</f>
        <v>-1.21529876651428</v>
      </c>
      <c r="E3729" s="0" t="str">
        <f aca="false">IF(OR(AND($B$9="superior",D3729&gt;$B$10),AND($B$9="inferior",D3729&lt;-$B$10)),"Rechazar H0","No rechazar H0")</f>
        <v>No rechazar H0</v>
      </c>
      <c r="F3729" s="0" t="str">
        <f aca="false">IF(AND(B3729="H0 verdadera",E3729="Rechazar H0"),"Error tipo I",IF(AND(B3729="Ha verdadera",E3729="No rechazar H0"),"Error tipo II","Decisión correcta"))</f>
        <v>Error tipo II</v>
      </c>
    </row>
    <row r="3730" customFormat="false" ht="15" hidden="false" customHeight="false" outlineLevel="0" collapsed="false">
      <c r="A3730" s="0" t="n">
        <v>3709</v>
      </c>
      <c r="B3730" s="0" t="s">
        <v>85</v>
      </c>
      <c r="C3730" s="17" t="n">
        <v>-0.0322062379926563</v>
      </c>
      <c r="D3730" s="17" t="n">
        <f aca="false">(C3730-$B$4)/($B$6/SQRT($B$7))</f>
        <v>-0.161031189963281</v>
      </c>
      <c r="E3730" s="0" t="str">
        <f aca="false">IF(OR(AND($B$9="superior",D3730&gt;$B$10),AND($B$9="inferior",D3730&lt;-$B$10)),"Rechazar H0","No rechazar H0")</f>
        <v>No rechazar H0</v>
      </c>
      <c r="F3730" s="0" t="str">
        <f aca="false">IF(AND(B3730="H0 verdadera",E3730="Rechazar H0"),"Error tipo I",IF(AND(B3730="Ha verdadera",E3730="No rechazar H0"),"Error tipo II","Decisión correcta"))</f>
        <v>Decisión correcta</v>
      </c>
    </row>
    <row r="3731" customFormat="false" ht="15" hidden="false" customHeight="false" outlineLevel="0" collapsed="false">
      <c r="A3731" s="0" t="n">
        <v>3710</v>
      </c>
      <c r="B3731" s="0" t="s">
        <v>86</v>
      </c>
      <c r="C3731" s="17" t="n">
        <v>-0.32937803539678</v>
      </c>
      <c r="D3731" s="17" t="n">
        <f aca="false">(C3731-$B$4)/($B$6/SQRT($B$7))</f>
        <v>-1.6468901769839</v>
      </c>
      <c r="E3731" s="0" t="str">
        <f aca="false">IF(OR(AND($B$9="superior",D3731&gt;$B$10),AND($B$9="inferior",D3731&lt;-$B$10)),"Rechazar H0","No rechazar H0")</f>
        <v>Rechazar H0</v>
      </c>
      <c r="F3731" s="0" t="str">
        <f aca="false">IF(AND(B3731="H0 verdadera",E3731="Rechazar H0"),"Error tipo I",IF(AND(B3731="Ha verdadera",E3731="No rechazar H0"),"Error tipo II","Decisión correcta"))</f>
        <v>Decisión correcta</v>
      </c>
    </row>
    <row r="3732" customFormat="false" ht="15" hidden="false" customHeight="false" outlineLevel="0" collapsed="false">
      <c r="A3732" s="0" t="n">
        <v>3711</v>
      </c>
      <c r="B3732" s="0" t="s">
        <v>86</v>
      </c>
      <c r="C3732" s="17" t="n">
        <v>-0.475540644563505</v>
      </c>
      <c r="D3732" s="17" t="n">
        <f aca="false">(C3732-$B$4)/($B$6/SQRT($B$7))</f>
        <v>-2.37770322281752</v>
      </c>
      <c r="E3732" s="0" t="str">
        <f aca="false">IF(OR(AND($B$9="superior",D3732&gt;$B$10),AND($B$9="inferior",D3732&lt;-$B$10)),"Rechazar H0","No rechazar H0")</f>
        <v>Rechazar H0</v>
      </c>
      <c r="F3732" s="0" t="str">
        <f aca="false">IF(AND(B3732="H0 verdadera",E3732="Rechazar H0"),"Error tipo I",IF(AND(B3732="Ha verdadera",E3732="No rechazar H0"),"Error tipo II","Decisión correcta"))</f>
        <v>Decisión correcta</v>
      </c>
    </row>
    <row r="3733" customFormat="false" ht="15" hidden="false" customHeight="false" outlineLevel="0" collapsed="false">
      <c r="A3733" s="0" t="n">
        <v>3712</v>
      </c>
      <c r="B3733" s="0" t="s">
        <v>85</v>
      </c>
      <c r="C3733" s="17" t="n">
        <v>-0.227560026916511</v>
      </c>
      <c r="D3733" s="17" t="n">
        <f aca="false">(C3733-$B$4)/($B$6/SQRT($B$7))</f>
        <v>-1.13780013458255</v>
      </c>
      <c r="E3733" s="0" t="str">
        <f aca="false">IF(OR(AND($B$9="superior",D3733&gt;$B$10),AND($B$9="inferior",D3733&lt;-$B$10)),"Rechazar H0","No rechazar H0")</f>
        <v>No rechazar H0</v>
      </c>
      <c r="F3733" s="0" t="str">
        <f aca="false">IF(AND(B3733="H0 verdadera",E3733="Rechazar H0"),"Error tipo I",IF(AND(B3733="Ha verdadera",E3733="No rechazar H0"),"Error tipo II","Decisión correcta"))</f>
        <v>Decisión correcta</v>
      </c>
    </row>
    <row r="3734" customFormat="false" ht="15" hidden="false" customHeight="false" outlineLevel="0" collapsed="false">
      <c r="A3734" s="0" t="n">
        <v>3713</v>
      </c>
      <c r="B3734" s="0" t="s">
        <v>86</v>
      </c>
      <c r="C3734" s="17" t="n">
        <v>-0.186331208423732</v>
      </c>
      <c r="D3734" s="17" t="n">
        <f aca="false">(C3734-$B$4)/($B$6/SQRT($B$7))</f>
        <v>-0.931656042118662</v>
      </c>
      <c r="E3734" s="0" t="str">
        <f aca="false">IF(OR(AND($B$9="superior",D3734&gt;$B$10),AND($B$9="inferior",D3734&lt;-$B$10)),"Rechazar H0","No rechazar H0")</f>
        <v>No rechazar H0</v>
      </c>
      <c r="F3734" s="0" t="str">
        <f aca="false">IF(AND(B3734="H0 verdadera",E3734="Rechazar H0"),"Error tipo I",IF(AND(B3734="Ha verdadera",E3734="No rechazar H0"),"Error tipo II","Decisión correcta"))</f>
        <v>Error tipo II</v>
      </c>
    </row>
    <row r="3735" customFormat="false" ht="15" hidden="false" customHeight="false" outlineLevel="0" collapsed="false">
      <c r="A3735" s="0" t="n">
        <v>3714</v>
      </c>
      <c r="B3735" s="0" t="s">
        <v>86</v>
      </c>
      <c r="C3735" s="17" t="n">
        <v>-0.461616763107103</v>
      </c>
      <c r="D3735" s="17" t="n">
        <f aca="false">(C3735-$B$4)/($B$6/SQRT($B$7))</f>
        <v>-2.30808381553552</v>
      </c>
      <c r="E3735" s="0" t="str">
        <f aca="false">IF(OR(AND($B$9="superior",D3735&gt;$B$10),AND($B$9="inferior",D3735&lt;-$B$10)),"Rechazar H0","No rechazar H0")</f>
        <v>Rechazar H0</v>
      </c>
      <c r="F3735" s="0" t="str">
        <f aca="false">IF(AND(B3735="H0 verdadera",E3735="Rechazar H0"),"Error tipo I",IF(AND(B3735="Ha verdadera",E3735="No rechazar H0"),"Error tipo II","Decisión correcta"))</f>
        <v>Decisión correcta</v>
      </c>
    </row>
    <row r="3736" customFormat="false" ht="15" hidden="false" customHeight="false" outlineLevel="0" collapsed="false">
      <c r="A3736" s="0" t="n">
        <v>3715</v>
      </c>
      <c r="B3736" s="0" t="s">
        <v>86</v>
      </c>
      <c r="C3736" s="17" t="n">
        <v>-0.376958355611405</v>
      </c>
      <c r="D3736" s="17" t="n">
        <f aca="false">(C3736-$B$4)/($B$6/SQRT($B$7))</f>
        <v>-1.88479177805703</v>
      </c>
      <c r="E3736" s="0" t="str">
        <f aca="false">IF(OR(AND($B$9="superior",D3736&gt;$B$10),AND($B$9="inferior",D3736&lt;-$B$10)),"Rechazar H0","No rechazar H0")</f>
        <v>Rechazar H0</v>
      </c>
      <c r="F3736" s="0" t="str">
        <f aca="false">IF(AND(B3736="H0 verdadera",E3736="Rechazar H0"),"Error tipo I",IF(AND(B3736="Ha verdadera",E3736="No rechazar H0"),"Error tipo II","Decisión correcta"))</f>
        <v>Decisión correcta</v>
      </c>
    </row>
    <row r="3737" customFormat="false" ht="15" hidden="false" customHeight="false" outlineLevel="0" collapsed="false">
      <c r="A3737" s="0" t="n">
        <v>3716</v>
      </c>
      <c r="B3737" s="0" t="s">
        <v>85</v>
      </c>
      <c r="C3737" s="17" t="n">
        <v>0.353386363179175</v>
      </c>
      <c r="D3737" s="17" t="n">
        <f aca="false">(C3737-$B$4)/($B$6/SQRT($B$7))</f>
        <v>1.76693181589587</v>
      </c>
      <c r="E3737" s="0" t="str">
        <f aca="false">IF(OR(AND($B$9="superior",D3737&gt;$B$10),AND($B$9="inferior",D3737&lt;-$B$10)),"Rechazar H0","No rechazar H0")</f>
        <v>No rechazar H0</v>
      </c>
      <c r="F3737" s="0" t="str">
        <f aca="false">IF(AND(B3737="H0 verdadera",E3737="Rechazar H0"),"Error tipo I",IF(AND(B3737="Ha verdadera",E3737="No rechazar H0"),"Error tipo II","Decisión correcta"))</f>
        <v>Decisión correcta</v>
      </c>
    </row>
    <row r="3738" customFormat="false" ht="15" hidden="false" customHeight="false" outlineLevel="0" collapsed="false">
      <c r="A3738" s="0" t="n">
        <v>3717</v>
      </c>
      <c r="B3738" s="0" t="s">
        <v>85</v>
      </c>
      <c r="C3738" s="17" t="n">
        <v>-0.036430975009226</v>
      </c>
      <c r="D3738" s="17" t="n">
        <f aca="false">(C3738-$B$4)/($B$6/SQRT($B$7))</f>
        <v>-0.18215487504613</v>
      </c>
      <c r="E3738" s="0" t="str">
        <f aca="false">IF(OR(AND($B$9="superior",D3738&gt;$B$10),AND($B$9="inferior",D3738&lt;-$B$10)),"Rechazar H0","No rechazar H0")</f>
        <v>No rechazar H0</v>
      </c>
      <c r="F3738" s="0" t="str">
        <f aca="false">IF(AND(B3738="H0 verdadera",E3738="Rechazar H0"),"Error tipo I",IF(AND(B3738="Ha verdadera",E3738="No rechazar H0"),"Error tipo II","Decisión correcta"))</f>
        <v>Decisión correcta</v>
      </c>
    </row>
    <row r="3739" customFormat="false" ht="15" hidden="false" customHeight="false" outlineLevel="0" collapsed="false">
      <c r="A3739" s="0" t="n">
        <v>3718</v>
      </c>
      <c r="B3739" s="0" t="s">
        <v>86</v>
      </c>
      <c r="C3739" s="17" t="n">
        <v>-0.743971932805605</v>
      </c>
      <c r="D3739" s="17" t="n">
        <f aca="false">(C3739-$B$4)/($B$6/SQRT($B$7))</f>
        <v>-3.71985966402802</v>
      </c>
      <c r="E3739" s="0" t="str">
        <f aca="false">IF(OR(AND($B$9="superior",D3739&gt;$B$10),AND($B$9="inferior",D3739&lt;-$B$10)),"Rechazar H0","No rechazar H0")</f>
        <v>Rechazar H0</v>
      </c>
      <c r="F3739" s="0" t="str">
        <f aca="false">IF(AND(B3739="H0 verdadera",E3739="Rechazar H0"),"Error tipo I",IF(AND(B3739="Ha verdadera",E3739="No rechazar H0"),"Error tipo II","Decisión correcta"))</f>
        <v>Decisión correcta</v>
      </c>
    </row>
    <row r="3740" customFormat="false" ht="15" hidden="false" customHeight="false" outlineLevel="0" collapsed="false">
      <c r="A3740" s="0" t="n">
        <v>3719</v>
      </c>
      <c r="B3740" s="0" t="s">
        <v>86</v>
      </c>
      <c r="C3740" s="17" t="n">
        <v>-0.641009250861289</v>
      </c>
      <c r="D3740" s="17" t="n">
        <f aca="false">(C3740-$B$4)/($B$6/SQRT($B$7))</f>
        <v>-3.20504625430644</v>
      </c>
      <c r="E3740" s="0" t="str">
        <f aca="false">IF(OR(AND($B$9="superior",D3740&gt;$B$10),AND($B$9="inferior",D3740&lt;-$B$10)),"Rechazar H0","No rechazar H0")</f>
        <v>Rechazar H0</v>
      </c>
      <c r="F3740" s="0" t="str">
        <f aca="false">IF(AND(B3740="H0 verdadera",E3740="Rechazar H0"),"Error tipo I",IF(AND(B3740="Ha verdadera",E3740="No rechazar H0"),"Error tipo II","Decisión correcta"))</f>
        <v>Decisión correcta</v>
      </c>
    </row>
    <row r="3741" customFormat="false" ht="15" hidden="false" customHeight="false" outlineLevel="0" collapsed="false">
      <c r="A3741" s="0" t="n">
        <v>3720</v>
      </c>
      <c r="B3741" s="0" t="s">
        <v>86</v>
      </c>
      <c r="C3741" s="17" t="n">
        <v>-0.352544800747242</v>
      </c>
      <c r="D3741" s="17" t="n">
        <f aca="false">(C3741-$B$4)/($B$6/SQRT($B$7))</f>
        <v>-1.76272400373621</v>
      </c>
      <c r="E3741" s="0" t="str">
        <f aca="false">IF(OR(AND($B$9="superior",D3741&gt;$B$10),AND($B$9="inferior",D3741&lt;-$B$10)),"Rechazar H0","No rechazar H0")</f>
        <v>Rechazar H0</v>
      </c>
      <c r="F3741" s="0" t="str">
        <f aca="false">IF(AND(B3741="H0 verdadera",E3741="Rechazar H0"),"Error tipo I",IF(AND(B3741="Ha verdadera",E3741="No rechazar H0"),"Error tipo II","Decisión correcta"))</f>
        <v>Decisión correcta</v>
      </c>
    </row>
    <row r="3742" customFormat="false" ht="15" hidden="false" customHeight="false" outlineLevel="0" collapsed="false">
      <c r="A3742" s="0" t="n">
        <v>3721</v>
      </c>
      <c r="B3742" s="0" t="s">
        <v>86</v>
      </c>
      <c r="C3742" s="17" t="n">
        <v>-0.553533256720257</v>
      </c>
      <c r="D3742" s="17" t="n">
        <f aca="false">(C3742-$B$4)/($B$6/SQRT($B$7))</f>
        <v>-2.76766628360128</v>
      </c>
      <c r="E3742" s="0" t="str">
        <f aca="false">IF(OR(AND($B$9="superior",D3742&gt;$B$10),AND($B$9="inferior",D3742&lt;-$B$10)),"Rechazar H0","No rechazar H0")</f>
        <v>Rechazar H0</v>
      </c>
      <c r="F3742" s="0" t="str">
        <f aca="false">IF(AND(B3742="H0 verdadera",E3742="Rechazar H0"),"Error tipo I",IF(AND(B3742="Ha verdadera",E3742="No rechazar H0"),"Error tipo II","Decisión correcta"))</f>
        <v>Decisión correcta</v>
      </c>
    </row>
    <row r="3743" customFormat="false" ht="15" hidden="false" customHeight="false" outlineLevel="0" collapsed="false">
      <c r="A3743" s="0" t="n">
        <v>3722</v>
      </c>
      <c r="B3743" s="0" t="s">
        <v>86</v>
      </c>
      <c r="C3743" s="17" t="n">
        <v>-0.454232374917756</v>
      </c>
      <c r="D3743" s="17" t="n">
        <f aca="false">(C3743-$B$4)/($B$6/SQRT($B$7))</f>
        <v>-2.27116187458878</v>
      </c>
      <c r="E3743" s="0" t="str">
        <f aca="false">IF(OR(AND($B$9="superior",D3743&gt;$B$10),AND($B$9="inferior",D3743&lt;-$B$10)),"Rechazar H0","No rechazar H0")</f>
        <v>Rechazar H0</v>
      </c>
      <c r="F3743" s="0" t="str">
        <f aca="false">IF(AND(B3743="H0 verdadera",E3743="Rechazar H0"),"Error tipo I",IF(AND(B3743="Ha verdadera",E3743="No rechazar H0"),"Error tipo II","Decisión correcta"))</f>
        <v>Decisión correcta</v>
      </c>
    </row>
    <row r="3744" customFormat="false" ht="15" hidden="false" customHeight="false" outlineLevel="0" collapsed="false">
      <c r="A3744" s="0" t="n">
        <v>3723</v>
      </c>
      <c r="B3744" s="0" t="s">
        <v>86</v>
      </c>
      <c r="C3744" s="17" t="n">
        <v>-0.632251797847215</v>
      </c>
      <c r="D3744" s="17" t="n">
        <f aca="false">(C3744-$B$4)/($B$6/SQRT($B$7))</f>
        <v>-3.16125898923607</v>
      </c>
      <c r="E3744" s="0" t="str">
        <f aca="false">IF(OR(AND($B$9="superior",D3744&gt;$B$10),AND($B$9="inferior",D3744&lt;-$B$10)),"Rechazar H0","No rechazar H0")</f>
        <v>Rechazar H0</v>
      </c>
      <c r="F3744" s="0" t="str">
        <f aca="false">IF(AND(B3744="H0 verdadera",E3744="Rechazar H0"),"Error tipo I",IF(AND(B3744="Ha verdadera",E3744="No rechazar H0"),"Error tipo II","Decisión correcta"))</f>
        <v>Decisión correcta</v>
      </c>
    </row>
    <row r="3745" customFormat="false" ht="15" hidden="false" customHeight="false" outlineLevel="0" collapsed="false">
      <c r="A3745" s="0" t="n">
        <v>3724</v>
      </c>
      <c r="B3745" s="0" t="s">
        <v>85</v>
      </c>
      <c r="C3745" s="17" t="n">
        <v>-0.0654603300940855</v>
      </c>
      <c r="D3745" s="17" t="n">
        <f aca="false">(C3745-$B$4)/($B$6/SQRT($B$7))</f>
        <v>-0.327301650470427</v>
      </c>
      <c r="E3745" s="0" t="str">
        <f aca="false">IF(OR(AND($B$9="superior",D3745&gt;$B$10),AND($B$9="inferior",D3745&lt;-$B$10)),"Rechazar H0","No rechazar H0")</f>
        <v>No rechazar H0</v>
      </c>
      <c r="F3745" s="0" t="str">
        <f aca="false">IF(AND(B3745="H0 verdadera",E3745="Rechazar H0"),"Error tipo I",IF(AND(B3745="Ha verdadera",E3745="No rechazar H0"),"Error tipo II","Decisión correcta"))</f>
        <v>Decisión correcta</v>
      </c>
    </row>
    <row r="3746" customFormat="false" ht="15" hidden="false" customHeight="false" outlineLevel="0" collapsed="false">
      <c r="A3746" s="0" t="n">
        <v>3725</v>
      </c>
      <c r="B3746" s="0" t="s">
        <v>86</v>
      </c>
      <c r="C3746" s="17" t="n">
        <v>-0.459416385176793</v>
      </c>
      <c r="D3746" s="17" t="n">
        <f aca="false">(C3746-$B$4)/($B$6/SQRT($B$7))</f>
        <v>-2.29708192588396</v>
      </c>
      <c r="E3746" s="0" t="str">
        <f aca="false">IF(OR(AND($B$9="superior",D3746&gt;$B$10),AND($B$9="inferior",D3746&lt;-$B$10)),"Rechazar H0","No rechazar H0")</f>
        <v>Rechazar H0</v>
      </c>
      <c r="F3746" s="0" t="str">
        <f aca="false">IF(AND(B3746="H0 verdadera",E3746="Rechazar H0"),"Error tipo I",IF(AND(B3746="Ha verdadera",E3746="No rechazar H0"),"Error tipo II","Decisión correcta"))</f>
        <v>Decisión correcta</v>
      </c>
    </row>
    <row r="3747" customFormat="false" ht="15" hidden="false" customHeight="false" outlineLevel="0" collapsed="false">
      <c r="A3747" s="0" t="n">
        <v>3726</v>
      </c>
      <c r="B3747" s="0" t="s">
        <v>86</v>
      </c>
      <c r="C3747" s="17" t="n">
        <v>-0.649299195030105</v>
      </c>
      <c r="D3747" s="17" t="n">
        <f aca="false">(C3747-$B$4)/($B$6/SQRT($B$7))</f>
        <v>-3.24649597515053</v>
      </c>
      <c r="E3747" s="0" t="str">
        <f aca="false">IF(OR(AND($B$9="superior",D3747&gt;$B$10),AND($B$9="inferior",D3747&lt;-$B$10)),"Rechazar H0","No rechazar H0")</f>
        <v>Rechazar H0</v>
      </c>
      <c r="F3747" s="0" t="str">
        <f aca="false">IF(AND(B3747="H0 verdadera",E3747="Rechazar H0"),"Error tipo I",IF(AND(B3747="Ha verdadera",E3747="No rechazar H0"),"Error tipo II","Decisión correcta"))</f>
        <v>Decisión correcta</v>
      </c>
    </row>
    <row r="3748" customFormat="false" ht="15" hidden="false" customHeight="false" outlineLevel="0" collapsed="false">
      <c r="A3748" s="0" t="n">
        <v>3727</v>
      </c>
      <c r="B3748" s="0" t="s">
        <v>85</v>
      </c>
      <c r="C3748" s="17" t="n">
        <v>0.0338761357957113</v>
      </c>
      <c r="D3748" s="17" t="n">
        <f aca="false">(C3748-$B$4)/($B$6/SQRT($B$7))</f>
        <v>0.169380678978557</v>
      </c>
      <c r="E3748" s="0" t="str">
        <f aca="false">IF(OR(AND($B$9="superior",D3748&gt;$B$10),AND($B$9="inferior",D3748&lt;-$B$10)),"Rechazar H0","No rechazar H0")</f>
        <v>No rechazar H0</v>
      </c>
      <c r="F3748" s="0" t="str">
        <f aca="false">IF(AND(B3748="H0 verdadera",E3748="Rechazar H0"),"Error tipo I",IF(AND(B3748="Ha verdadera",E3748="No rechazar H0"),"Error tipo II","Decisión correcta"))</f>
        <v>Decisión correcta</v>
      </c>
    </row>
    <row r="3749" customFormat="false" ht="15" hidden="false" customHeight="false" outlineLevel="0" collapsed="false">
      <c r="A3749" s="0" t="n">
        <v>3728</v>
      </c>
      <c r="B3749" s="0" t="s">
        <v>86</v>
      </c>
      <c r="C3749" s="17" t="n">
        <v>-0.431179193290445</v>
      </c>
      <c r="D3749" s="17" t="n">
        <f aca="false">(C3749-$B$4)/($B$6/SQRT($B$7))</f>
        <v>-2.15589596645223</v>
      </c>
      <c r="E3749" s="0" t="str">
        <f aca="false">IF(OR(AND($B$9="superior",D3749&gt;$B$10),AND($B$9="inferior",D3749&lt;-$B$10)),"Rechazar H0","No rechazar H0")</f>
        <v>Rechazar H0</v>
      </c>
      <c r="F3749" s="0" t="str">
        <f aca="false">IF(AND(B3749="H0 verdadera",E3749="Rechazar H0"),"Error tipo I",IF(AND(B3749="Ha verdadera",E3749="No rechazar H0"),"Error tipo II","Decisión correcta"))</f>
        <v>Decisión correcta</v>
      </c>
    </row>
    <row r="3750" customFormat="false" ht="15" hidden="false" customHeight="false" outlineLevel="0" collapsed="false">
      <c r="A3750" s="0" t="n">
        <v>3729</v>
      </c>
      <c r="B3750" s="0" t="s">
        <v>85</v>
      </c>
      <c r="C3750" s="17" t="n">
        <v>0.109570551435164</v>
      </c>
      <c r="D3750" s="17" t="n">
        <f aca="false">(C3750-$B$4)/($B$6/SQRT($B$7))</f>
        <v>0.547852757175818</v>
      </c>
      <c r="E3750" s="0" t="str">
        <f aca="false">IF(OR(AND($B$9="superior",D3750&gt;$B$10),AND($B$9="inferior",D3750&lt;-$B$10)),"Rechazar H0","No rechazar H0")</f>
        <v>No rechazar H0</v>
      </c>
      <c r="F3750" s="0" t="str">
        <f aca="false">IF(AND(B3750="H0 verdadera",E3750="Rechazar H0"),"Error tipo I",IF(AND(B3750="Ha verdadera",E3750="No rechazar H0"),"Error tipo II","Decisión correcta"))</f>
        <v>Decisión correcta</v>
      </c>
    </row>
    <row r="3751" customFormat="false" ht="15" hidden="false" customHeight="false" outlineLevel="0" collapsed="false">
      <c r="A3751" s="0" t="n">
        <v>3730</v>
      </c>
      <c r="B3751" s="0" t="s">
        <v>85</v>
      </c>
      <c r="C3751" s="17" t="n">
        <v>-0.0334556426179593</v>
      </c>
      <c r="D3751" s="17" t="n">
        <f aca="false">(C3751-$B$4)/($B$6/SQRT($B$7))</f>
        <v>-0.167278213089796</v>
      </c>
      <c r="E3751" s="0" t="str">
        <f aca="false">IF(OR(AND($B$9="superior",D3751&gt;$B$10),AND($B$9="inferior",D3751&lt;-$B$10)),"Rechazar H0","No rechazar H0")</f>
        <v>No rechazar H0</v>
      </c>
      <c r="F3751" s="0" t="str">
        <f aca="false">IF(AND(B3751="H0 verdadera",E3751="Rechazar H0"),"Error tipo I",IF(AND(B3751="Ha verdadera",E3751="No rechazar H0"),"Error tipo II","Decisión correcta"))</f>
        <v>Decisión correcta</v>
      </c>
    </row>
    <row r="3752" customFormat="false" ht="15" hidden="false" customHeight="false" outlineLevel="0" collapsed="false">
      <c r="A3752" s="0" t="n">
        <v>3731</v>
      </c>
      <c r="B3752" s="0" t="s">
        <v>85</v>
      </c>
      <c r="C3752" s="17" t="n">
        <v>-0.0773304292101372</v>
      </c>
      <c r="D3752" s="17" t="n">
        <f aca="false">(C3752-$B$4)/($B$6/SQRT($B$7))</f>
        <v>-0.386652146050686</v>
      </c>
      <c r="E3752" s="0" t="str">
        <f aca="false">IF(OR(AND($B$9="superior",D3752&gt;$B$10),AND($B$9="inferior",D3752&lt;-$B$10)),"Rechazar H0","No rechazar H0")</f>
        <v>No rechazar H0</v>
      </c>
      <c r="F3752" s="0" t="str">
        <f aca="false">IF(AND(B3752="H0 verdadera",E3752="Rechazar H0"),"Error tipo I",IF(AND(B3752="Ha verdadera",E3752="No rechazar H0"),"Error tipo II","Decisión correcta"))</f>
        <v>Decisión correcta</v>
      </c>
    </row>
    <row r="3753" customFormat="false" ht="15" hidden="false" customHeight="false" outlineLevel="0" collapsed="false">
      <c r="A3753" s="0" t="n">
        <v>3732</v>
      </c>
      <c r="B3753" s="0" t="s">
        <v>86</v>
      </c>
      <c r="C3753" s="17" t="n">
        <v>-0.695791797196897</v>
      </c>
      <c r="D3753" s="17" t="n">
        <f aca="false">(C3753-$B$4)/($B$6/SQRT($B$7))</f>
        <v>-3.47895898598449</v>
      </c>
      <c r="E3753" s="0" t="str">
        <f aca="false">IF(OR(AND($B$9="superior",D3753&gt;$B$10),AND($B$9="inferior",D3753&lt;-$B$10)),"Rechazar H0","No rechazar H0")</f>
        <v>Rechazar H0</v>
      </c>
      <c r="F3753" s="0" t="str">
        <f aca="false">IF(AND(B3753="H0 verdadera",E3753="Rechazar H0"),"Error tipo I",IF(AND(B3753="Ha verdadera",E3753="No rechazar H0"),"Error tipo II","Decisión correcta"))</f>
        <v>Decisión correcta</v>
      </c>
    </row>
    <row r="3754" customFormat="false" ht="15" hidden="false" customHeight="false" outlineLevel="0" collapsed="false">
      <c r="A3754" s="0" t="n">
        <v>3733</v>
      </c>
      <c r="B3754" s="0" t="s">
        <v>86</v>
      </c>
      <c r="C3754" s="17" t="n">
        <v>-0.488035922669608</v>
      </c>
      <c r="D3754" s="17" t="n">
        <f aca="false">(C3754-$B$4)/($B$6/SQRT($B$7))</f>
        <v>-2.44017961334804</v>
      </c>
      <c r="E3754" s="0" t="str">
        <f aca="false">IF(OR(AND($B$9="superior",D3754&gt;$B$10),AND($B$9="inferior",D3754&lt;-$B$10)),"Rechazar H0","No rechazar H0")</f>
        <v>Rechazar H0</v>
      </c>
      <c r="F3754" s="0" t="str">
        <f aca="false">IF(AND(B3754="H0 verdadera",E3754="Rechazar H0"),"Error tipo I",IF(AND(B3754="Ha verdadera",E3754="No rechazar H0"),"Error tipo II","Decisión correcta"))</f>
        <v>Decisión correcta</v>
      </c>
    </row>
    <row r="3755" customFormat="false" ht="15" hidden="false" customHeight="false" outlineLevel="0" collapsed="false">
      <c r="A3755" s="0" t="n">
        <v>3734</v>
      </c>
      <c r="B3755" s="0" t="s">
        <v>86</v>
      </c>
      <c r="C3755" s="17" t="n">
        <v>-0.304374765046436</v>
      </c>
      <c r="D3755" s="17" t="n">
        <f aca="false">(C3755-$B$4)/($B$6/SQRT($B$7))</f>
        <v>-1.52187382523218</v>
      </c>
      <c r="E3755" s="0" t="str">
        <f aca="false">IF(OR(AND($B$9="superior",D3755&gt;$B$10),AND($B$9="inferior",D3755&lt;-$B$10)),"Rechazar H0","No rechazar H0")</f>
        <v>No rechazar H0</v>
      </c>
      <c r="F3755" s="0" t="str">
        <f aca="false">IF(AND(B3755="H0 verdadera",E3755="Rechazar H0"),"Error tipo I",IF(AND(B3755="Ha verdadera",E3755="No rechazar H0"),"Error tipo II","Decisión correcta"))</f>
        <v>Error tipo II</v>
      </c>
    </row>
    <row r="3756" customFormat="false" ht="15" hidden="false" customHeight="false" outlineLevel="0" collapsed="false">
      <c r="A3756" s="0" t="n">
        <v>3735</v>
      </c>
      <c r="B3756" s="0" t="s">
        <v>85</v>
      </c>
      <c r="C3756" s="17" t="n">
        <v>-0.155219018134241</v>
      </c>
      <c r="D3756" s="17" t="n">
        <f aca="false">(C3756-$B$4)/($B$6/SQRT($B$7))</f>
        <v>-0.776095090671207</v>
      </c>
      <c r="E3756" s="0" t="str">
        <f aca="false">IF(OR(AND($B$9="superior",D3756&gt;$B$10),AND($B$9="inferior",D3756&lt;-$B$10)),"Rechazar H0","No rechazar H0")</f>
        <v>No rechazar H0</v>
      </c>
      <c r="F3756" s="0" t="str">
        <f aca="false">IF(AND(B3756="H0 verdadera",E3756="Rechazar H0"),"Error tipo I",IF(AND(B3756="Ha verdadera",E3756="No rechazar H0"),"Error tipo II","Decisión correcta"))</f>
        <v>Decisión correcta</v>
      </c>
    </row>
    <row r="3757" customFormat="false" ht="15" hidden="false" customHeight="false" outlineLevel="0" collapsed="false">
      <c r="A3757" s="0" t="n">
        <v>3736</v>
      </c>
      <c r="B3757" s="0" t="s">
        <v>85</v>
      </c>
      <c r="C3757" s="17" t="n">
        <v>-0.00382666717324254</v>
      </c>
      <c r="D3757" s="17" t="n">
        <f aca="false">(C3757-$B$4)/($B$6/SQRT($B$7))</f>
        <v>-0.0191333358662127</v>
      </c>
      <c r="E3757" s="0" t="str">
        <f aca="false">IF(OR(AND($B$9="superior",D3757&gt;$B$10),AND($B$9="inferior",D3757&lt;-$B$10)),"Rechazar H0","No rechazar H0")</f>
        <v>No rechazar H0</v>
      </c>
      <c r="F3757" s="0" t="str">
        <f aca="false">IF(AND(B3757="H0 verdadera",E3757="Rechazar H0"),"Error tipo I",IF(AND(B3757="Ha verdadera",E3757="No rechazar H0"),"Error tipo II","Decisión correcta"))</f>
        <v>Decisión correcta</v>
      </c>
    </row>
    <row r="3758" customFormat="false" ht="15" hidden="false" customHeight="false" outlineLevel="0" collapsed="false">
      <c r="A3758" s="0" t="n">
        <v>3737</v>
      </c>
      <c r="B3758" s="0" t="s">
        <v>85</v>
      </c>
      <c r="C3758" s="17" t="n">
        <v>-0.0160148333529711</v>
      </c>
      <c r="D3758" s="17" t="n">
        <f aca="false">(C3758-$B$4)/($B$6/SQRT($B$7))</f>
        <v>-0.0800741667648554</v>
      </c>
      <c r="E3758" s="0" t="str">
        <f aca="false">IF(OR(AND($B$9="superior",D3758&gt;$B$10),AND($B$9="inferior",D3758&lt;-$B$10)),"Rechazar H0","No rechazar H0")</f>
        <v>No rechazar H0</v>
      </c>
      <c r="F3758" s="0" t="str">
        <f aca="false">IF(AND(B3758="H0 verdadera",E3758="Rechazar H0"),"Error tipo I",IF(AND(B3758="Ha verdadera",E3758="No rechazar H0"),"Error tipo II","Decisión correcta"))</f>
        <v>Decisión correcta</v>
      </c>
    </row>
    <row r="3759" customFormat="false" ht="15" hidden="false" customHeight="false" outlineLevel="0" collapsed="false">
      <c r="A3759" s="0" t="n">
        <v>3738</v>
      </c>
      <c r="B3759" s="0" t="s">
        <v>86</v>
      </c>
      <c r="C3759" s="17" t="n">
        <v>-0.337880435491463</v>
      </c>
      <c r="D3759" s="17" t="n">
        <f aca="false">(C3759-$B$4)/($B$6/SQRT($B$7))</f>
        <v>-1.68940217745732</v>
      </c>
      <c r="E3759" s="0" t="str">
        <f aca="false">IF(OR(AND($B$9="superior",D3759&gt;$B$10),AND($B$9="inferior",D3759&lt;-$B$10)),"Rechazar H0","No rechazar H0")</f>
        <v>Rechazar H0</v>
      </c>
      <c r="F3759" s="0" t="str">
        <f aca="false">IF(AND(B3759="H0 verdadera",E3759="Rechazar H0"),"Error tipo I",IF(AND(B3759="Ha verdadera",E3759="No rechazar H0"),"Error tipo II","Decisión correcta"))</f>
        <v>Decisión correcta</v>
      </c>
    </row>
    <row r="3760" customFormat="false" ht="15" hidden="false" customHeight="false" outlineLevel="0" collapsed="false">
      <c r="A3760" s="0" t="n">
        <v>3739</v>
      </c>
      <c r="B3760" s="0" t="s">
        <v>85</v>
      </c>
      <c r="C3760" s="17" t="n">
        <v>0.00438383050769203</v>
      </c>
      <c r="D3760" s="17" t="n">
        <f aca="false">(C3760-$B$4)/($B$6/SQRT($B$7))</f>
        <v>0.0219191525384602</v>
      </c>
      <c r="E3760" s="0" t="str">
        <f aca="false">IF(OR(AND($B$9="superior",D3760&gt;$B$10),AND($B$9="inferior",D3760&lt;-$B$10)),"Rechazar H0","No rechazar H0")</f>
        <v>No rechazar H0</v>
      </c>
      <c r="F3760" s="0" t="str">
        <f aca="false">IF(AND(B3760="H0 verdadera",E3760="Rechazar H0"),"Error tipo I",IF(AND(B3760="Ha verdadera",E3760="No rechazar H0"),"Error tipo II","Decisión correcta"))</f>
        <v>Decisión correcta</v>
      </c>
    </row>
    <row r="3761" customFormat="false" ht="15" hidden="false" customHeight="false" outlineLevel="0" collapsed="false">
      <c r="A3761" s="0" t="n">
        <v>3740</v>
      </c>
      <c r="B3761" s="0" t="s">
        <v>86</v>
      </c>
      <c r="C3761" s="17" t="n">
        <v>-0.643304245015568</v>
      </c>
      <c r="D3761" s="17" t="n">
        <f aca="false">(C3761-$B$4)/($B$6/SQRT($B$7))</f>
        <v>-3.21652122507784</v>
      </c>
      <c r="E3761" s="0" t="str">
        <f aca="false">IF(OR(AND($B$9="superior",D3761&gt;$B$10),AND($B$9="inferior",D3761&lt;-$B$10)),"Rechazar H0","No rechazar H0")</f>
        <v>Rechazar H0</v>
      </c>
      <c r="F3761" s="0" t="str">
        <f aca="false">IF(AND(B3761="H0 verdadera",E3761="Rechazar H0"),"Error tipo I",IF(AND(B3761="Ha verdadera",E3761="No rechazar H0"),"Error tipo II","Decisión correcta"))</f>
        <v>Decisión correcta</v>
      </c>
    </row>
    <row r="3762" customFormat="false" ht="15" hidden="false" customHeight="false" outlineLevel="0" collapsed="false">
      <c r="A3762" s="0" t="n">
        <v>3741</v>
      </c>
      <c r="B3762" s="0" t="s">
        <v>85</v>
      </c>
      <c r="C3762" s="17" t="n">
        <v>0.0158879456869698</v>
      </c>
      <c r="D3762" s="17" t="n">
        <f aca="false">(C3762-$B$4)/($B$6/SQRT($B$7))</f>
        <v>0.0794397284348487</v>
      </c>
      <c r="E3762" s="0" t="str">
        <f aca="false">IF(OR(AND($B$9="superior",D3762&gt;$B$10),AND($B$9="inferior",D3762&lt;-$B$10)),"Rechazar H0","No rechazar H0")</f>
        <v>No rechazar H0</v>
      </c>
      <c r="F3762" s="0" t="str">
        <f aca="false">IF(AND(B3762="H0 verdadera",E3762="Rechazar H0"),"Error tipo I",IF(AND(B3762="Ha verdadera",E3762="No rechazar H0"),"Error tipo II","Decisión correcta"))</f>
        <v>Decisión correcta</v>
      </c>
    </row>
    <row r="3763" customFormat="false" ht="15" hidden="false" customHeight="false" outlineLevel="0" collapsed="false">
      <c r="A3763" s="0" t="n">
        <v>3742</v>
      </c>
      <c r="B3763" s="0" t="s">
        <v>86</v>
      </c>
      <c r="C3763" s="17" t="n">
        <v>-0.48151478518106</v>
      </c>
      <c r="D3763" s="17" t="n">
        <f aca="false">(C3763-$B$4)/($B$6/SQRT($B$7))</f>
        <v>-2.4075739259053</v>
      </c>
      <c r="E3763" s="0" t="str">
        <f aca="false">IF(OR(AND($B$9="superior",D3763&gt;$B$10),AND($B$9="inferior",D3763&lt;-$B$10)),"Rechazar H0","No rechazar H0")</f>
        <v>Rechazar H0</v>
      </c>
      <c r="F3763" s="0" t="str">
        <f aca="false">IF(AND(B3763="H0 verdadera",E3763="Rechazar H0"),"Error tipo I",IF(AND(B3763="Ha verdadera",E3763="No rechazar H0"),"Error tipo II","Decisión correcta"))</f>
        <v>Decisión correcta</v>
      </c>
    </row>
    <row r="3764" customFormat="false" ht="15" hidden="false" customHeight="false" outlineLevel="0" collapsed="false">
      <c r="A3764" s="0" t="n">
        <v>3743</v>
      </c>
      <c r="B3764" s="0" t="s">
        <v>86</v>
      </c>
      <c r="C3764" s="17" t="n">
        <v>-0.587518781244328</v>
      </c>
      <c r="D3764" s="17" t="n">
        <f aca="false">(C3764-$B$4)/($B$6/SQRT($B$7))</f>
        <v>-2.93759390622164</v>
      </c>
      <c r="E3764" s="0" t="str">
        <f aca="false">IF(OR(AND($B$9="superior",D3764&gt;$B$10),AND($B$9="inferior",D3764&lt;-$B$10)),"Rechazar H0","No rechazar H0")</f>
        <v>Rechazar H0</v>
      </c>
      <c r="F3764" s="0" t="str">
        <f aca="false">IF(AND(B3764="H0 verdadera",E3764="Rechazar H0"),"Error tipo I",IF(AND(B3764="Ha verdadera",E3764="No rechazar H0"),"Error tipo II","Decisión correcta"))</f>
        <v>Decisión correcta</v>
      </c>
    </row>
    <row r="3765" customFormat="false" ht="15" hidden="false" customHeight="false" outlineLevel="0" collapsed="false">
      <c r="A3765" s="0" t="n">
        <v>3744</v>
      </c>
      <c r="B3765" s="0" t="s">
        <v>85</v>
      </c>
      <c r="C3765" s="17" t="n">
        <v>-0.485170866990665</v>
      </c>
      <c r="D3765" s="17" t="n">
        <f aca="false">(C3765-$B$4)/($B$6/SQRT($B$7))</f>
        <v>-2.42585433495332</v>
      </c>
      <c r="E3765" s="0" t="str">
        <f aca="false">IF(OR(AND($B$9="superior",D3765&gt;$B$10),AND($B$9="inferior",D3765&lt;-$B$10)),"Rechazar H0","No rechazar H0")</f>
        <v>Rechazar H0</v>
      </c>
      <c r="F3765" s="0" t="str">
        <f aca="false">IF(AND(B3765="H0 verdadera",E3765="Rechazar H0"),"Error tipo I",IF(AND(B3765="Ha verdadera",E3765="No rechazar H0"),"Error tipo II","Decisión correcta"))</f>
        <v>Error tipo I</v>
      </c>
    </row>
    <row r="3766" customFormat="false" ht="15" hidden="false" customHeight="false" outlineLevel="0" collapsed="false">
      <c r="A3766" s="0" t="n">
        <v>3745</v>
      </c>
      <c r="B3766" s="0" t="s">
        <v>86</v>
      </c>
      <c r="C3766" s="17" t="n">
        <v>-0.184407812830763</v>
      </c>
      <c r="D3766" s="17" t="n">
        <f aca="false">(C3766-$B$4)/($B$6/SQRT($B$7))</f>
        <v>-0.922039064153817</v>
      </c>
      <c r="E3766" s="0" t="str">
        <f aca="false">IF(OR(AND($B$9="superior",D3766&gt;$B$10),AND($B$9="inferior",D3766&lt;-$B$10)),"Rechazar H0","No rechazar H0")</f>
        <v>No rechazar H0</v>
      </c>
      <c r="F3766" s="0" t="str">
        <f aca="false">IF(AND(B3766="H0 verdadera",E3766="Rechazar H0"),"Error tipo I",IF(AND(B3766="Ha verdadera",E3766="No rechazar H0"),"Error tipo II","Decisión correcta"))</f>
        <v>Error tipo II</v>
      </c>
    </row>
    <row r="3767" customFormat="false" ht="15" hidden="false" customHeight="false" outlineLevel="0" collapsed="false">
      <c r="A3767" s="0" t="n">
        <v>3746</v>
      </c>
      <c r="B3767" s="0" t="s">
        <v>85</v>
      </c>
      <c r="C3767" s="17" t="n">
        <v>-0.233889103829734</v>
      </c>
      <c r="D3767" s="17" t="n">
        <f aca="false">(C3767-$B$4)/($B$6/SQRT($B$7))</f>
        <v>-1.16944551914867</v>
      </c>
      <c r="E3767" s="0" t="str">
        <f aca="false">IF(OR(AND($B$9="superior",D3767&gt;$B$10),AND($B$9="inferior",D3767&lt;-$B$10)),"Rechazar H0","No rechazar H0")</f>
        <v>No rechazar H0</v>
      </c>
      <c r="F3767" s="0" t="str">
        <f aca="false">IF(AND(B3767="H0 verdadera",E3767="Rechazar H0"),"Error tipo I",IF(AND(B3767="Ha verdadera",E3767="No rechazar H0"),"Error tipo II","Decisión correcta"))</f>
        <v>Decisión correcta</v>
      </c>
    </row>
    <row r="3768" customFormat="false" ht="15" hidden="false" customHeight="false" outlineLevel="0" collapsed="false">
      <c r="A3768" s="0" t="n">
        <v>3747</v>
      </c>
      <c r="B3768" s="0" t="s">
        <v>86</v>
      </c>
      <c r="C3768" s="17" t="n">
        <v>-0.340135296060483</v>
      </c>
      <c r="D3768" s="17" t="n">
        <f aca="false">(C3768-$B$4)/($B$6/SQRT($B$7))</f>
        <v>-1.70067648030241</v>
      </c>
      <c r="E3768" s="0" t="str">
        <f aca="false">IF(OR(AND($B$9="superior",D3768&gt;$B$10),AND($B$9="inferior",D3768&lt;-$B$10)),"Rechazar H0","No rechazar H0")</f>
        <v>Rechazar H0</v>
      </c>
      <c r="F3768" s="0" t="str">
        <f aca="false">IF(AND(B3768="H0 verdadera",E3768="Rechazar H0"),"Error tipo I",IF(AND(B3768="Ha verdadera",E3768="No rechazar H0"),"Error tipo II","Decisión correcta"))</f>
        <v>Decisión correcta</v>
      </c>
    </row>
    <row r="3769" customFormat="false" ht="15" hidden="false" customHeight="false" outlineLevel="0" collapsed="false">
      <c r="A3769" s="0" t="n">
        <v>3748</v>
      </c>
      <c r="B3769" s="0" t="s">
        <v>86</v>
      </c>
      <c r="C3769" s="17" t="n">
        <v>-0.290749317252141</v>
      </c>
      <c r="D3769" s="17" t="n">
        <f aca="false">(C3769-$B$4)/($B$6/SQRT($B$7))</f>
        <v>-1.45374658626071</v>
      </c>
      <c r="E3769" s="0" t="str">
        <f aca="false">IF(OR(AND($B$9="superior",D3769&gt;$B$10),AND($B$9="inferior",D3769&lt;-$B$10)),"Rechazar H0","No rechazar H0")</f>
        <v>No rechazar H0</v>
      </c>
      <c r="F3769" s="0" t="str">
        <f aca="false">IF(AND(B3769="H0 verdadera",E3769="Rechazar H0"),"Error tipo I",IF(AND(B3769="Ha verdadera",E3769="No rechazar H0"),"Error tipo II","Decisión correcta"))</f>
        <v>Error tipo II</v>
      </c>
    </row>
    <row r="3770" customFormat="false" ht="15" hidden="false" customHeight="false" outlineLevel="0" collapsed="false">
      <c r="A3770" s="0" t="n">
        <v>3749</v>
      </c>
      <c r="B3770" s="0" t="s">
        <v>85</v>
      </c>
      <c r="C3770" s="17" t="n">
        <v>-0.00464411271592451</v>
      </c>
      <c r="D3770" s="17" t="n">
        <f aca="false">(C3770-$B$4)/($B$6/SQRT($B$7))</f>
        <v>-0.0232205635796226</v>
      </c>
      <c r="E3770" s="0" t="str">
        <f aca="false">IF(OR(AND($B$9="superior",D3770&gt;$B$10),AND($B$9="inferior",D3770&lt;-$B$10)),"Rechazar H0","No rechazar H0")</f>
        <v>No rechazar H0</v>
      </c>
      <c r="F3770" s="0" t="str">
        <f aca="false">IF(AND(B3770="H0 verdadera",E3770="Rechazar H0"),"Error tipo I",IF(AND(B3770="Ha verdadera",E3770="No rechazar H0"),"Error tipo II","Decisión correcta"))</f>
        <v>Decisión correcta</v>
      </c>
    </row>
    <row r="3771" customFormat="false" ht="15" hidden="false" customHeight="false" outlineLevel="0" collapsed="false">
      <c r="A3771" s="0" t="n">
        <v>3750</v>
      </c>
      <c r="B3771" s="0" t="s">
        <v>85</v>
      </c>
      <c r="C3771" s="17" t="n">
        <v>0.321602877371413</v>
      </c>
      <c r="D3771" s="17" t="n">
        <f aca="false">(C3771-$B$4)/($B$6/SQRT($B$7))</f>
        <v>1.60801438685706</v>
      </c>
      <c r="E3771" s="0" t="str">
        <f aca="false">IF(OR(AND($B$9="superior",D3771&gt;$B$10),AND($B$9="inferior",D3771&lt;-$B$10)),"Rechazar H0","No rechazar H0")</f>
        <v>No rechazar H0</v>
      </c>
      <c r="F3771" s="0" t="str">
        <f aca="false">IF(AND(B3771="H0 verdadera",E3771="Rechazar H0"),"Error tipo I",IF(AND(B3771="Ha verdadera",E3771="No rechazar H0"),"Error tipo II","Decisión correcta"))</f>
        <v>Decisión correcta</v>
      </c>
    </row>
    <row r="3772" customFormat="false" ht="15" hidden="false" customHeight="false" outlineLevel="0" collapsed="false">
      <c r="A3772" s="0" t="n">
        <v>3751</v>
      </c>
      <c r="B3772" s="0" t="s">
        <v>86</v>
      </c>
      <c r="C3772" s="17" t="n">
        <v>-0.667964435995413</v>
      </c>
      <c r="D3772" s="17" t="n">
        <f aca="false">(C3772-$B$4)/($B$6/SQRT($B$7))</f>
        <v>-3.33982217997707</v>
      </c>
      <c r="E3772" s="0" t="str">
        <f aca="false">IF(OR(AND($B$9="superior",D3772&gt;$B$10),AND($B$9="inferior",D3772&lt;-$B$10)),"Rechazar H0","No rechazar H0")</f>
        <v>Rechazar H0</v>
      </c>
      <c r="F3772" s="0" t="str">
        <f aca="false">IF(AND(B3772="H0 verdadera",E3772="Rechazar H0"),"Error tipo I",IF(AND(B3772="Ha verdadera",E3772="No rechazar H0"),"Error tipo II","Decisión correcta"))</f>
        <v>Decisión correcta</v>
      </c>
    </row>
    <row r="3773" customFormat="false" ht="15" hidden="false" customHeight="false" outlineLevel="0" collapsed="false">
      <c r="A3773" s="0" t="n">
        <v>3752</v>
      </c>
      <c r="B3773" s="0" t="s">
        <v>86</v>
      </c>
      <c r="C3773" s="17" t="n">
        <v>-0.66361772969664</v>
      </c>
      <c r="D3773" s="17" t="n">
        <f aca="false">(C3773-$B$4)/($B$6/SQRT($B$7))</f>
        <v>-3.3180886484832</v>
      </c>
      <c r="E3773" s="0" t="str">
        <f aca="false">IF(OR(AND($B$9="superior",D3773&gt;$B$10),AND($B$9="inferior",D3773&lt;-$B$10)),"Rechazar H0","No rechazar H0")</f>
        <v>Rechazar H0</v>
      </c>
      <c r="F3773" s="0" t="str">
        <f aca="false">IF(AND(B3773="H0 verdadera",E3773="Rechazar H0"),"Error tipo I",IF(AND(B3773="Ha verdadera",E3773="No rechazar H0"),"Error tipo II","Decisión correcta"))</f>
        <v>Decisión correcta</v>
      </c>
    </row>
    <row r="3774" customFormat="false" ht="15" hidden="false" customHeight="false" outlineLevel="0" collapsed="false">
      <c r="A3774" s="0" t="n">
        <v>3753</v>
      </c>
      <c r="B3774" s="0" t="s">
        <v>86</v>
      </c>
      <c r="C3774" s="17" t="n">
        <v>-0.182581392508375</v>
      </c>
      <c r="D3774" s="17" t="n">
        <f aca="false">(C3774-$B$4)/($B$6/SQRT($B$7))</f>
        <v>-0.912906962541876</v>
      </c>
      <c r="E3774" s="0" t="str">
        <f aca="false">IF(OR(AND($B$9="superior",D3774&gt;$B$10),AND($B$9="inferior",D3774&lt;-$B$10)),"Rechazar H0","No rechazar H0")</f>
        <v>No rechazar H0</v>
      </c>
      <c r="F3774" s="0" t="str">
        <f aca="false">IF(AND(B3774="H0 verdadera",E3774="Rechazar H0"),"Error tipo I",IF(AND(B3774="Ha verdadera",E3774="No rechazar H0"),"Error tipo II","Decisión correcta"))</f>
        <v>Error tipo II</v>
      </c>
    </row>
    <row r="3775" customFormat="false" ht="15" hidden="false" customHeight="false" outlineLevel="0" collapsed="false">
      <c r="A3775" s="0" t="n">
        <v>3754</v>
      </c>
      <c r="B3775" s="0" t="s">
        <v>86</v>
      </c>
      <c r="C3775" s="17" t="n">
        <v>-0.340314698884029</v>
      </c>
      <c r="D3775" s="17" t="n">
        <f aca="false">(C3775-$B$4)/($B$6/SQRT($B$7))</f>
        <v>-1.70157349442014</v>
      </c>
      <c r="E3775" s="0" t="str">
        <f aca="false">IF(OR(AND($B$9="superior",D3775&gt;$B$10),AND($B$9="inferior",D3775&lt;-$B$10)),"Rechazar H0","No rechazar H0")</f>
        <v>Rechazar H0</v>
      </c>
      <c r="F3775" s="0" t="str">
        <f aca="false">IF(AND(B3775="H0 verdadera",E3775="Rechazar H0"),"Error tipo I",IF(AND(B3775="Ha verdadera",E3775="No rechazar H0"),"Error tipo II","Decisión correcta"))</f>
        <v>Decisión correcta</v>
      </c>
    </row>
    <row r="3776" customFormat="false" ht="15" hidden="false" customHeight="false" outlineLevel="0" collapsed="false">
      <c r="A3776" s="0" t="n">
        <v>3755</v>
      </c>
      <c r="B3776" s="0" t="s">
        <v>86</v>
      </c>
      <c r="C3776" s="17" t="n">
        <v>-0.261725503028955</v>
      </c>
      <c r="D3776" s="17" t="n">
        <f aca="false">(C3776-$B$4)/($B$6/SQRT($B$7))</f>
        <v>-1.30862751514477</v>
      </c>
      <c r="E3776" s="0" t="str">
        <f aca="false">IF(OR(AND($B$9="superior",D3776&gt;$B$10),AND($B$9="inferior",D3776&lt;-$B$10)),"Rechazar H0","No rechazar H0")</f>
        <v>No rechazar H0</v>
      </c>
      <c r="F3776" s="0" t="str">
        <f aca="false">IF(AND(B3776="H0 verdadera",E3776="Rechazar H0"),"Error tipo I",IF(AND(B3776="Ha verdadera",E3776="No rechazar H0"),"Error tipo II","Decisión correcta"))</f>
        <v>Error tipo II</v>
      </c>
    </row>
    <row r="3777" customFormat="false" ht="15" hidden="false" customHeight="false" outlineLevel="0" collapsed="false">
      <c r="A3777" s="0" t="n">
        <v>3756</v>
      </c>
      <c r="B3777" s="0" t="s">
        <v>85</v>
      </c>
      <c r="C3777" s="17" t="n">
        <v>0.354147928147687</v>
      </c>
      <c r="D3777" s="17" t="n">
        <f aca="false">(C3777-$B$4)/($B$6/SQRT($B$7))</f>
        <v>1.77073964073843</v>
      </c>
      <c r="E3777" s="0" t="str">
        <f aca="false">IF(OR(AND($B$9="superior",D3777&gt;$B$10),AND($B$9="inferior",D3777&lt;-$B$10)),"Rechazar H0","No rechazar H0")</f>
        <v>No rechazar H0</v>
      </c>
      <c r="F3777" s="0" t="str">
        <f aca="false">IF(AND(B3777="H0 verdadera",E3777="Rechazar H0"),"Error tipo I",IF(AND(B3777="Ha verdadera",E3777="No rechazar H0"),"Error tipo II","Decisión correcta"))</f>
        <v>Decisión correcta</v>
      </c>
    </row>
    <row r="3778" customFormat="false" ht="15" hidden="false" customHeight="false" outlineLevel="0" collapsed="false">
      <c r="A3778" s="0" t="n">
        <v>3757</v>
      </c>
      <c r="B3778" s="0" t="s">
        <v>85</v>
      </c>
      <c r="C3778" s="17" t="n">
        <v>0.112059894155764</v>
      </c>
      <c r="D3778" s="17" t="n">
        <f aca="false">(C3778-$B$4)/($B$6/SQRT($B$7))</f>
        <v>0.560299470778818</v>
      </c>
      <c r="E3778" s="0" t="str">
        <f aca="false">IF(OR(AND($B$9="superior",D3778&gt;$B$10),AND($B$9="inferior",D3778&lt;-$B$10)),"Rechazar H0","No rechazar H0")</f>
        <v>No rechazar H0</v>
      </c>
      <c r="F3778" s="0" t="str">
        <f aca="false">IF(AND(B3778="H0 verdadera",E3778="Rechazar H0"),"Error tipo I",IF(AND(B3778="Ha verdadera",E3778="No rechazar H0"),"Error tipo II","Decisión correcta"))</f>
        <v>Decisión correcta</v>
      </c>
    </row>
    <row r="3779" customFormat="false" ht="15" hidden="false" customHeight="false" outlineLevel="0" collapsed="false">
      <c r="A3779" s="0" t="n">
        <v>3758</v>
      </c>
      <c r="B3779" s="0" t="s">
        <v>85</v>
      </c>
      <c r="C3779" s="17" t="n">
        <v>-0.0951842178517786</v>
      </c>
      <c r="D3779" s="17" t="n">
        <f aca="false">(C3779-$B$4)/($B$6/SQRT($B$7))</f>
        <v>-0.475921089258893</v>
      </c>
      <c r="E3779" s="0" t="str">
        <f aca="false">IF(OR(AND($B$9="superior",D3779&gt;$B$10),AND($B$9="inferior",D3779&lt;-$B$10)),"Rechazar H0","No rechazar H0")</f>
        <v>No rechazar H0</v>
      </c>
      <c r="F3779" s="0" t="str">
        <f aca="false">IF(AND(B3779="H0 verdadera",E3779="Rechazar H0"),"Error tipo I",IF(AND(B3779="Ha verdadera",E3779="No rechazar H0"),"Error tipo II","Decisión correcta"))</f>
        <v>Decisión correcta</v>
      </c>
    </row>
    <row r="3780" customFormat="false" ht="15" hidden="false" customHeight="false" outlineLevel="0" collapsed="false">
      <c r="A3780" s="0" t="n">
        <v>3759</v>
      </c>
      <c r="B3780" s="0" t="s">
        <v>85</v>
      </c>
      <c r="C3780" s="17" t="n">
        <v>0.079063005846301</v>
      </c>
      <c r="D3780" s="17" t="n">
        <f aca="false">(C3780-$B$4)/($B$6/SQRT($B$7))</f>
        <v>0.395315029231505</v>
      </c>
      <c r="E3780" s="0" t="str">
        <f aca="false">IF(OR(AND($B$9="superior",D3780&gt;$B$10),AND($B$9="inferior",D3780&lt;-$B$10)),"Rechazar H0","No rechazar H0")</f>
        <v>No rechazar H0</v>
      </c>
      <c r="F3780" s="0" t="str">
        <f aca="false">IF(AND(B3780="H0 verdadera",E3780="Rechazar H0"),"Error tipo I",IF(AND(B3780="Ha verdadera",E3780="No rechazar H0"),"Error tipo II","Decisión correcta"))</f>
        <v>Decisión correcta</v>
      </c>
    </row>
    <row r="3781" customFormat="false" ht="15" hidden="false" customHeight="false" outlineLevel="0" collapsed="false">
      <c r="A3781" s="0" t="n">
        <v>3760</v>
      </c>
      <c r="B3781" s="0" t="s">
        <v>85</v>
      </c>
      <c r="C3781" s="17" t="n">
        <v>-0.292227897518718</v>
      </c>
      <c r="D3781" s="17" t="n">
        <f aca="false">(C3781-$B$4)/($B$6/SQRT($B$7))</f>
        <v>-1.46113948759359</v>
      </c>
      <c r="E3781" s="0" t="str">
        <f aca="false">IF(OR(AND($B$9="superior",D3781&gt;$B$10),AND($B$9="inferior",D3781&lt;-$B$10)),"Rechazar H0","No rechazar H0")</f>
        <v>No rechazar H0</v>
      </c>
      <c r="F3781" s="0" t="str">
        <f aca="false">IF(AND(B3781="H0 verdadera",E3781="Rechazar H0"),"Error tipo I",IF(AND(B3781="Ha verdadera",E3781="No rechazar H0"),"Error tipo II","Decisión correcta"))</f>
        <v>Decisión correcta</v>
      </c>
    </row>
    <row r="3782" customFormat="false" ht="15" hidden="false" customHeight="false" outlineLevel="0" collapsed="false">
      <c r="A3782" s="0" t="n">
        <v>3761</v>
      </c>
      <c r="B3782" s="0" t="s">
        <v>86</v>
      </c>
      <c r="C3782" s="17" t="n">
        <v>-0.465775376400137</v>
      </c>
      <c r="D3782" s="17" t="n">
        <f aca="false">(C3782-$B$4)/($B$6/SQRT($B$7))</f>
        <v>-2.32887688200069</v>
      </c>
      <c r="E3782" s="0" t="str">
        <f aca="false">IF(OR(AND($B$9="superior",D3782&gt;$B$10),AND($B$9="inferior",D3782&lt;-$B$10)),"Rechazar H0","No rechazar H0")</f>
        <v>Rechazar H0</v>
      </c>
      <c r="F3782" s="0" t="str">
        <f aca="false">IF(AND(B3782="H0 verdadera",E3782="Rechazar H0"),"Error tipo I",IF(AND(B3782="Ha verdadera",E3782="No rechazar H0"),"Error tipo II","Decisión correcta"))</f>
        <v>Decisión correcta</v>
      </c>
    </row>
    <row r="3783" customFormat="false" ht="15" hidden="false" customHeight="false" outlineLevel="0" collapsed="false">
      <c r="A3783" s="0" t="n">
        <v>3762</v>
      </c>
      <c r="B3783" s="0" t="s">
        <v>86</v>
      </c>
      <c r="C3783" s="17" t="n">
        <v>-0.439056507604602</v>
      </c>
      <c r="D3783" s="17" t="n">
        <f aca="false">(C3783-$B$4)/($B$6/SQRT($B$7))</f>
        <v>-2.19528253802301</v>
      </c>
      <c r="E3783" s="0" t="str">
        <f aca="false">IF(OR(AND($B$9="superior",D3783&gt;$B$10),AND($B$9="inferior",D3783&lt;-$B$10)),"Rechazar H0","No rechazar H0")</f>
        <v>Rechazar H0</v>
      </c>
      <c r="F3783" s="0" t="str">
        <f aca="false">IF(AND(B3783="H0 verdadera",E3783="Rechazar H0"),"Error tipo I",IF(AND(B3783="Ha verdadera",E3783="No rechazar H0"),"Error tipo II","Decisión correcta"))</f>
        <v>Decisión correcta</v>
      </c>
    </row>
    <row r="3784" customFormat="false" ht="15" hidden="false" customHeight="false" outlineLevel="0" collapsed="false">
      <c r="A3784" s="0" t="n">
        <v>3763</v>
      </c>
      <c r="B3784" s="0" t="s">
        <v>86</v>
      </c>
      <c r="C3784" s="17" t="n">
        <v>-0.658449546873731</v>
      </c>
      <c r="D3784" s="17" t="n">
        <f aca="false">(C3784-$B$4)/($B$6/SQRT($B$7))</f>
        <v>-3.29224773436866</v>
      </c>
      <c r="E3784" s="0" t="str">
        <f aca="false">IF(OR(AND($B$9="superior",D3784&gt;$B$10),AND($B$9="inferior",D3784&lt;-$B$10)),"Rechazar H0","No rechazar H0")</f>
        <v>Rechazar H0</v>
      </c>
      <c r="F3784" s="0" t="str">
        <f aca="false">IF(AND(B3784="H0 verdadera",E3784="Rechazar H0"),"Error tipo I",IF(AND(B3784="Ha verdadera",E3784="No rechazar H0"),"Error tipo II","Decisión correcta"))</f>
        <v>Decisión correcta</v>
      </c>
    </row>
    <row r="3785" customFormat="false" ht="15" hidden="false" customHeight="false" outlineLevel="0" collapsed="false">
      <c r="A3785" s="0" t="n">
        <v>3764</v>
      </c>
      <c r="B3785" s="0" t="s">
        <v>85</v>
      </c>
      <c r="C3785" s="17" t="n">
        <v>-0.0437191895983564</v>
      </c>
      <c r="D3785" s="17" t="n">
        <f aca="false">(C3785-$B$4)/($B$6/SQRT($B$7))</f>
        <v>-0.218595947991782</v>
      </c>
      <c r="E3785" s="0" t="str">
        <f aca="false">IF(OR(AND($B$9="superior",D3785&gt;$B$10),AND($B$9="inferior",D3785&lt;-$B$10)),"Rechazar H0","No rechazar H0")</f>
        <v>No rechazar H0</v>
      </c>
      <c r="F3785" s="0" t="str">
        <f aca="false">IF(AND(B3785="H0 verdadera",E3785="Rechazar H0"),"Error tipo I",IF(AND(B3785="Ha verdadera",E3785="No rechazar H0"),"Error tipo II","Decisión correcta"))</f>
        <v>Decisión correcta</v>
      </c>
    </row>
    <row r="3786" customFormat="false" ht="15" hidden="false" customHeight="false" outlineLevel="0" collapsed="false">
      <c r="A3786" s="0" t="n">
        <v>3765</v>
      </c>
      <c r="B3786" s="0" t="s">
        <v>85</v>
      </c>
      <c r="C3786" s="17" t="n">
        <v>-0.233254010487798</v>
      </c>
      <c r="D3786" s="17" t="n">
        <f aca="false">(C3786-$B$4)/($B$6/SQRT($B$7))</f>
        <v>-1.16627005243899</v>
      </c>
      <c r="E3786" s="0" t="str">
        <f aca="false">IF(OR(AND($B$9="superior",D3786&gt;$B$10),AND($B$9="inferior",D3786&lt;-$B$10)),"Rechazar H0","No rechazar H0")</f>
        <v>No rechazar H0</v>
      </c>
      <c r="F3786" s="0" t="str">
        <f aca="false">IF(AND(B3786="H0 verdadera",E3786="Rechazar H0"),"Error tipo I",IF(AND(B3786="Ha verdadera",E3786="No rechazar H0"),"Error tipo II","Decisión correcta"))</f>
        <v>Decisión correcta</v>
      </c>
    </row>
    <row r="3787" customFormat="false" ht="15" hidden="false" customHeight="false" outlineLevel="0" collapsed="false">
      <c r="A3787" s="0" t="n">
        <v>3766</v>
      </c>
      <c r="B3787" s="0" t="s">
        <v>85</v>
      </c>
      <c r="C3787" s="17" t="n">
        <v>-0.0244128349503455</v>
      </c>
      <c r="D3787" s="17" t="n">
        <f aca="false">(C3787-$B$4)/($B$6/SQRT($B$7))</f>
        <v>-0.122064174751727</v>
      </c>
      <c r="E3787" s="0" t="str">
        <f aca="false">IF(OR(AND($B$9="superior",D3787&gt;$B$10),AND($B$9="inferior",D3787&lt;-$B$10)),"Rechazar H0","No rechazar H0")</f>
        <v>No rechazar H0</v>
      </c>
      <c r="F3787" s="0" t="str">
        <f aca="false">IF(AND(B3787="H0 verdadera",E3787="Rechazar H0"),"Error tipo I",IF(AND(B3787="Ha verdadera",E3787="No rechazar H0"),"Error tipo II","Decisión correcta"))</f>
        <v>Decisión correcta</v>
      </c>
    </row>
    <row r="3788" customFormat="false" ht="15" hidden="false" customHeight="false" outlineLevel="0" collapsed="false">
      <c r="A3788" s="0" t="n">
        <v>3767</v>
      </c>
      <c r="B3788" s="0" t="s">
        <v>85</v>
      </c>
      <c r="C3788" s="17" t="n">
        <v>-0.180814275501911</v>
      </c>
      <c r="D3788" s="17" t="n">
        <f aca="false">(C3788-$B$4)/($B$6/SQRT($B$7))</f>
        <v>-0.904071377509555</v>
      </c>
      <c r="E3788" s="0" t="str">
        <f aca="false">IF(OR(AND($B$9="superior",D3788&gt;$B$10),AND($B$9="inferior",D3788&lt;-$B$10)),"Rechazar H0","No rechazar H0")</f>
        <v>No rechazar H0</v>
      </c>
      <c r="F3788" s="0" t="str">
        <f aca="false">IF(AND(B3788="H0 verdadera",E3788="Rechazar H0"),"Error tipo I",IF(AND(B3788="Ha verdadera",E3788="No rechazar H0"),"Error tipo II","Decisión correcta"))</f>
        <v>Decisión correcta</v>
      </c>
    </row>
    <row r="3789" customFormat="false" ht="15" hidden="false" customHeight="false" outlineLevel="0" collapsed="false">
      <c r="A3789" s="0" t="n">
        <v>3768</v>
      </c>
      <c r="B3789" s="0" t="s">
        <v>86</v>
      </c>
      <c r="C3789" s="17" t="n">
        <v>-0.5896314252472</v>
      </c>
      <c r="D3789" s="17" t="n">
        <f aca="false">(C3789-$B$4)/($B$6/SQRT($B$7))</f>
        <v>-2.948157126236</v>
      </c>
      <c r="E3789" s="0" t="str">
        <f aca="false">IF(OR(AND($B$9="superior",D3789&gt;$B$10),AND($B$9="inferior",D3789&lt;-$B$10)),"Rechazar H0","No rechazar H0")</f>
        <v>Rechazar H0</v>
      </c>
      <c r="F3789" s="0" t="str">
        <f aca="false">IF(AND(B3789="H0 verdadera",E3789="Rechazar H0"),"Error tipo I",IF(AND(B3789="Ha verdadera",E3789="No rechazar H0"),"Error tipo II","Decisión correcta"))</f>
        <v>Decisión correcta</v>
      </c>
    </row>
    <row r="3790" customFormat="false" ht="15" hidden="false" customHeight="false" outlineLevel="0" collapsed="false">
      <c r="A3790" s="0" t="n">
        <v>3769</v>
      </c>
      <c r="B3790" s="0" t="s">
        <v>86</v>
      </c>
      <c r="C3790" s="17" t="n">
        <v>-0.11976900022072</v>
      </c>
      <c r="D3790" s="17" t="n">
        <f aca="false">(C3790-$B$4)/($B$6/SQRT($B$7))</f>
        <v>-0.598845001103598</v>
      </c>
      <c r="E3790" s="0" t="str">
        <f aca="false">IF(OR(AND($B$9="superior",D3790&gt;$B$10),AND($B$9="inferior",D3790&lt;-$B$10)),"Rechazar H0","No rechazar H0")</f>
        <v>No rechazar H0</v>
      </c>
      <c r="F3790" s="0" t="str">
        <f aca="false">IF(AND(B3790="H0 verdadera",E3790="Rechazar H0"),"Error tipo I",IF(AND(B3790="Ha verdadera",E3790="No rechazar H0"),"Error tipo II","Decisión correcta"))</f>
        <v>Error tipo II</v>
      </c>
    </row>
    <row r="3791" customFormat="false" ht="15" hidden="false" customHeight="false" outlineLevel="0" collapsed="false">
      <c r="A3791" s="0" t="n">
        <v>3770</v>
      </c>
      <c r="B3791" s="0" t="s">
        <v>86</v>
      </c>
      <c r="C3791" s="17" t="n">
        <v>-0.322992215819022</v>
      </c>
      <c r="D3791" s="17" t="n">
        <f aca="false">(C3791-$B$4)/($B$6/SQRT($B$7))</f>
        <v>-1.61496107909511</v>
      </c>
      <c r="E3791" s="0" t="str">
        <f aca="false">IF(OR(AND($B$9="superior",D3791&gt;$B$10),AND($B$9="inferior",D3791&lt;-$B$10)),"Rechazar H0","No rechazar H0")</f>
        <v>No rechazar H0</v>
      </c>
      <c r="F3791" s="0" t="str">
        <f aca="false">IF(AND(B3791="H0 verdadera",E3791="Rechazar H0"),"Error tipo I",IF(AND(B3791="Ha verdadera",E3791="No rechazar H0"),"Error tipo II","Decisión correcta"))</f>
        <v>Error tipo II</v>
      </c>
    </row>
    <row r="3792" customFormat="false" ht="15" hidden="false" customHeight="false" outlineLevel="0" collapsed="false">
      <c r="A3792" s="0" t="n">
        <v>3771</v>
      </c>
      <c r="B3792" s="0" t="s">
        <v>86</v>
      </c>
      <c r="C3792" s="17" t="n">
        <v>-0.412024875014461</v>
      </c>
      <c r="D3792" s="17" t="n">
        <f aca="false">(C3792-$B$4)/($B$6/SQRT($B$7))</f>
        <v>-2.06012437507231</v>
      </c>
      <c r="E3792" s="0" t="str">
        <f aca="false">IF(OR(AND($B$9="superior",D3792&gt;$B$10),AND($B$9="inferior",D3792&lt;-$B$10)),"Rechazar H0","No rechazar H0")</f>
        <v>Rechazar H0</v>
      </c>
      <c r="F3792" s="0" t="str">
        <f aca="false">IF(AND(B3792="H0 verdadera",E3792="Rechazar H0"),"Error tipo I",IF(AND(B3792="Ha verdadera",E3792="No rechazar H0"),"Error tipo II","Decisión correcta"))</f>
        <v>Decisión correcta</v>
      </c>
    </row>
    <row r="3793" customFormat="false" ht="15" hidden="false" customHeight="false" outlineLevel="0" collapsed="false">
      <c r="A3793" s="0" t="n">
        <v>3772</v>
      </c>
      <c r="B3793" s="0" t="s">
        <v>85</v>
      </c>
      <c r="C3793" s="17" t="n">
        <v>-0.194141734632046</v>
      </c>
      <c r="D3793" s="17" t="n">
        <f aca="false">(C3793-$B$4)/($B$6/SQRT($B$7))</f>
        <v>-0.970708673160232</v>
      </c>
      <c r="E3793" s="0" t="str">
        <f aca="false">IF(OR(AND($B$9="superior",D3793&gt;$B$10),AND($B$9="inferior",D3793&lt;-$B$10)),"Rechazar H0","No rechazar H0")</f>
        <v>No rechazar H0</v>
      </c>
      <c r="F3793" s="0" t="str">
        <f aca="false">IF(AND(B3793="H0 verdadera",E3793="Rechazar H0"),"Error tipo I",IF(AND(B3793="Ha verdadera",E3793="No rechazar H0"),"Error tipo II","Decisión correcta"))</f>
        <v>Decisión correcta</v>
      </c>
    </row>
    <row r="3794" customFormat="false" ht="15" hidden="false" customHeight="false" outlineLevel="0" collapsed="false">
      <c r="A3794" s="0" t="n">
        <v>3773</v>
      </c>
      <c r="B3794" s="0" t="s">
        <v>86</v>
      </c>
      <c r="C3794" s="17" t="n">
        <v>-0.486719284964985</v>
      </c>
      <c r="D3794" s="17" t="n">
        <f aca="false">(C3794-$B$4)/($B$6/SQRT($B$7))</f>
        <v>-2.43359642482493</v>
      </c>
      <c r="E3794" s="0" t="str">
        <f aca="false">IF(OR(AND($B$9="superior",D3794&gt;$B$10),AND($B$9="inferior",D3794&lt;-$B$10)),"Rechazar H0","No rechazar H0")</f>
        <v>Rechazar H0</v>
      </c>
      <c r="F3794" s="0" t="str">
        <f aca="false">IF(AND(B3794="H0 verdadera",E3794="Rechazar H0"),"Error tipo I",IF(AND(B3794="Ha verdadera",E3794="No rechazar H0"),"Error tipo II","Decisión correcta"))</f>
        <v>Decisión correcta</v>
      </c>
    </row>
    <row r="3795" customFormat="false" ht="15" hidden="false" customHeight="false" outlineLevel="0" collapsed="false">
      <c r="A3795" s="0" t="n">
        <v>3774</v>
      </c>
      <c r="B3795" s="0" t="s">
        <v>86</v>
      </c>
      <c r="C3795" s="17" t="n">
        <v>-0.314388761034358</v>
      </c>
      <c r="D3795" s="17" t="n">
        <f aca="false">(C3795-$B$4)/($B$6/SQRT($B$7))</f>
        <v>-1.57194380517179</v>
      </c>
      <c r="E3795" s="0" t="str">
        <f aca="false">IF(OR(AND($B$9="superior",D3795&gt;$B$10),AND($B$9="inferior",D3795&lt;-$B$10)),"Rechazar H0","No rechazar H0")</f>
        <v>No rechazar H0</v>
      </c>
      <c r="F3795" s="0" t="str">
        <f aca="false">IF(AND(B3795="H0 verdadera",E3795="Rechazar H0"),"Error tipo I",IF(AND(B3795="Ha verdadera",E3795="No rechazar H0"),"Error tipo II","Decisión correcta"))</f>
        <v>Error tipo II</v>
      </c>
    </row>
    <row r="3796" customFormat="false" ht="15" hidden="false" customHeight="false" outlineLevel="0" collapsed="false">
      <c r="A3796" s="0" t="n">
        <v>3775</v>
      </c>
      <c r="B3796" s="0" t="s">
        <v>85</v>
      </c>
      <c r="C3796" s="17" t="n">
        <v>0.106407353133282</v>
      </c>
      <c r="D3796" s="17" t="n">
        <f aca="false">(C3796-$B$4)/($B$6/SQRT($B$7))</f>
        <v>0.532036765666409</v>
      </c>
      <c r="E3796" s="0" t="str">
        <f aca="false">IF(OR(AND($B$9="superior",D3796&gt;$B$10),AND($B$9="inferior",D3796&lt;-$B$10)),"Rechazar H0","No rechazar H0")</f>
        <v>No rechazar H0</v>
      </c>
      <c r="F3796" s="0" t="str">
        <f aca="false">IF(AND(B3796="H0 verdadera",E3796="Rechazar H0"),"Error tipo I",IF(AND(B3796="Ha verdadera",E3796="No rechazar H0"),"Error tipo II","Decisión correcta"))</f>
        <v>Decisión correcta</v>
      </c>
    </row>
    <row r="3797" customFormat="false" ht="15" hidden="false" customHeight="false" outlineLevel="0" collapsed="false">
      <c r="A3797" s="0" t="n">
        <v>3776</v>
      </c>
      <c r="B3797" s="0" t="s">
        <v>86</v>
      </c>
      <c r="C3797" s="17" t="n">
        <v>-0.228837834045873</v>
      </c>
      <c r="D3797" s="17" t="n">
        <f aca="false">(C3797-$B$4)/($B$6/SQRT($B$7))</f>
        <v>-1.14418917022937</v>
      </c>
      <c r="E3797" s="0" t="str">
        <f aca="false">IF(OR(AND($B$9="superior",D3797&gt;$B$10),AND($B$9="inferior",D3797&lt;-$B$10)),"Rechazar H0","No rechazar H0")</f>
        <v>No rechazar H0</v>
      </c>
      <c r="F3797" s="0" t="str">
        <f aca="false">IF(AND(B3797="H0 verdadera",E3797="Rechazar H0"),"Error tipo I",IF(AND(B3797="Ha verdadera",E3797="No rechazar H0"),"Error tipo II","Decisión correcta"))</f>
        <v>Error tipo II</v>
      </c>
    </row>
    <row r="3798" customFormat="false" ht="15" hidden="false" customHeight="false" outlineLevel="0" collapsed="false">
      <c r="A3798" s="0" t="n">
        <v>3777</v>
      </c>
      <c r="B3798" s="0" t="s">
        <v>86</v>
      </c>
      <c r="C3798" s="17" t="n">
        <v>-0.244110089707617</v>
      </c>
      <c r="D3798" s="17" t="n">
        <f aca="false">(C3798-$B$4)/($B$6/SQRT($B$7))</f>
        <v>-1.22055044853808</v>
      </c>
      <c r="E3798" s="0" t="str">
        <f aca="false">IF(OR(AND($B$9="superior",D3798&gt;$B$10),AND($B$9="inferior",D3798&lt;-$B$10)),"Rechazar H0","No rechazar H0")</f>
        <v>No rechazar H0</v>
      </c>
      <c r="F3798" s="0" t="str">
        <f aca="false">IF(AND(B3798="H0 verdadera",E3798="Rechazar H0"),"Error tipo I",IF(AND(B3798="Ha verdadera",E3798="No rechazar H0"),"Error tipo II","Decisión correcta"))</f>
        <v>Error tipo II</v>
      </c>
    </row>
    <row r="3799" customFormat="false" ht="15" hidden="false" customHeight="false" outlineLevel="0" collapsed="false">
      <c r="A3799" s="0" t="n">
        <v>3778</v>
      </c>
      <c r="B3799" s="0" t="s">
        <v>85</v>
      </c>
      <c r="C3799" s="17" t="n">
        <v>0.259240556774921</v>
      </c>
      <c r="D3799" s="17" t="n">
        <f aca="false">(C3799-$B$4)/($B$6/SQRT($B$7))</f>
        <v>1.29620278387461</v>
      </c>
      <c r="E3799" s="0" t="str">
        <f aca="false">IF(OR(AND($B$9="superior",D3799&gt;$B$10),AND($B$9="inferior",D3799&lt;-$B$10)),"Rechazar H0","No rechazar H0")</f>
        <v>No rechazar H0</v>
      </c>
      <c r="F3799" s="0" t="str">
        <f aca="false">IF(AND(B3799="H0 verdadera",E3799="Rechazar H0"),"Error tipo I",IF(AND(B3799="Ha verdadera",E3799="No rechazar H0"),"Error tipo II","Decisión correcta"))</f>
        <v>Decisión correcta</v>
      </c>
    </row>
    <row r="3800" customFormat="false" ht="15" hidden="false" customHeight="false" outlineLevel="0" collapsed="false">
      <c r="A3800" s="0" t="n">
        <v>3779</v>
      </c>
      <c r="B3800" s="0" t="s">
        <v>85</v>
      </c>
      <c r="C3800" s="17" t="n">
        <v>-0.142808612195653</v>
      </c>
      <c r="D3800" s="17" t="n">
        <f aca="false">(C3800-$B$4)/($B$6/SQRT($B$7))</f>
        <v>-0.714043060978265</v>
      </c>
      <c r="E3800" s="0" t="str">
        <f aca="false">IF(OR(AND($B$9="superior",D3800&gt;$B$10),AND($B$9="inferior",D3800&lt;-$B$10)),"Rechazar H0","No rechazar H0")</f>
        <v>No rechazar H0</v>
      </c>
      <c r="F3800" s="0" t="str">
        <f aca="false">IF(AND(B3800="H0 verdadera",E3800="Rechazar H0"),"Error tipo I",IF(AND(B3800="Ha verdadera",E3800="No rechazar H0"),"Error tipo II","Decisión correcta"))</f>
        <v>Decisión correcta</v>
      </c>
    </row>
    <row r="3801" customFormat="false" ht="15" hidden="false" customHeight="false" outlineLevel="0" collapsed="false">
      <c r="A3801" s="0" t="n">
        <v>3780</v>
      </c>
      <c r="B3801" s="0" t="s">
        <v>85</v>
      </c>
      <c r="C3801" s="17" t="n">
        <v>-0.0258927910561687</v>
      </c>
      <c r="D3801" s="17" t="n">
        <f aca="false">(C3801-$B$4)/($B$6/SQRT($B$7))</f>
        <v>-0.129463955280843</v>
      </c>
      <c r="E3801" s="0" t="str">
        <f aca="false">IF(OR(AND($B$9="superior",D3801&gt;$B$10),AND($B$9="inferior",D3801&lt;-$B$10)),"Rechazar H0","No rechazar H0")</f>
        <v>No rechazar H0</v>
      </c>
      <c r="F3801" s="0" t="str">
        <f aca="false">IF(AND(B3801="H0 verdadera",E3801="Rechazar H0"),"Error tipo I",IF(AND(B3801="Ha verdadera",E3801="No rechazar H0"),"Error tipo II","Decisión correcta"))</f>
        <v>Decisión correcta</v>
      </c>
    </row>
    <row r="3802" customFormat="false" ht="15" hidden="false" customHeight="false" outlineLevel="0" collapsed="false">
      <c r="A3802" s="0" t="n">
        <v>3781</v>
      </c>
      <c r="B3802" s="0" t="s">
        <v>86</v>
      </c>
      <c r="C3802" s="17" t="n">
        <v>-0.483822198159654</v>
      </c>
      <c r="D3802" s="17" t="n">
        <f aca="false">(C3802-$B$4)/($B$6/SQRT($B$7))</f>
        <v>-2.41911099079827</v>
      </c>
      <c r="E3802" s="0" t="str">
        <f aca="false">IF(OR(AND($B$9="superior",D3802&gt;$B$10),AND($B$9="inferior",D3802&lt;-$B$10)),"Rechazar H0","No rechazar H0")</f>
        <v>Rechazar H0</v>
      </c>
      <c r="F3802" s="0" t="str">
        <f aca="false">IF(AND(B3802="H0 verdadera",E3802="Rechazar H0"),"Error tipo I",IF(AND(B3802="Ha verdadera",E3802="No rechazar H0"),"Error tipo II","Decisión correcta"))</f>
        <v>Decisión correcta</v>
      </c>
    </row>
    <row r="3803" customFormat="false" ht="15" hidden="false" customHeight="false" outlineLevel="0" collapsed="false">
      <c r="A3803" s="0" t="n">
        <v>3782</v>
      </c>
      <c r="B3803" s="0" t="s">
        <v>85</v>
      </c>
      <c r="C3803" s="17" t="n">
        <v>0.0708599093927185</v>
      </c>
      <c r="D3803" s="17" t="n">
        <f aca="false">(C3803-$B$4)/($B$6/SQRT($B$7))</f>
        <v>0.354299546963592</v>
      </c>
      <c r="E3803" s="0" t="str">
        <f aca="false">IF(OR(AND($B$9="superior",D3803&gt;$B$10),AND($B$9="inferior",D3803&lt;-$B$10)),"Rechazar H0","No rechazar H0")</f>
        <v>No rechazar H0</v>
      </c>
      <c r="F3803" s="0" t="str">
        <f aca="false">IF(AND(B3803="H0 verdadera",E3803="Rechazar H0"),"Error tipo I",IF(AND(B3803="Ha verdadera",E3803="No rechazar H0"),"Error tipo II","Decisión correcta"))</f>
        <v>Decisión correcta</v>
      </c>
    </row>
    <row r="3804" customFormat="false" ht="15" hidden="false" customHeight="false" outlineLevel="0" collapsed="false">
      <c r="A3804" s="0" t="n">
        <v>3783</v>
      </c>
      <c r="B3804" s="0" t="s">
        <v>85</v>
      </c>
      <c r="C3804" s="17" t="n">
        <v>0.115473665215293</v>
      </c>
      <c r="D3804" s="17" t="n">
        <f aca="false">(C3804-$B$4)/($B$6/SQRT($B$7))</f>
        <v>0.577368326076463</v>
      </c>
      <c r="E3804" s="0" t="str">
        <f aca="false">IF(OR(AND($B$9="superior",D3804&gt;$B$10),AND($B$9="inferior",D3804&lt;-$B$10)),"Rechazar H0","No rechazar H0")</f>
        <v>No rechazar H0</v>
      </c>
      <c r="F3804" s="0" t="str">
        <f aca="false">IF(AND(B3804="H0 verdadera",E3804="Rechazar H0"),"Error tipo I",IF(AND(B3804="Ha verdadera",E3804="No rechazar H0"),"Error tipo II","Decisión correcta"))</f>
        <v>Decisión correcta</v>
      </c>
    </row>
    <row r="3805" customFormat="false" ht="15" hidden="false" customHeight="false" outlineLevel="0" collapsed="false">
      <c r="A3805" s="0" t="n">
        <v>3784</v>
      </c>
      <c r="B3805" s="0" t="s">
        <v>85</v>
      </c>
      <c r="C3805" s="17" t="n">
        <v>0.107586657322629</v>
      </c>
      <c r="D3805" s="17" t="n">
        <f aca="false">(C3805-$B$4)/($B$6/SQRT($B$7))</f>
        <v>0.537933286613143</v>
      </c>
      <c r="E3805" s="0" t="str">
        <f aca="false">IF(OR(AND($B$9="superior",D3805&gt;$B$10),AND($B$9="inferior",D3805&lt;-$B$10)),"Rechazar H0","No rechazar H0")</f>
        <v>No rechazar H0</v>
      </c>
      <c r="F3805" s="0" t="str">
        <f aca="false">IF(AND(B3805="H0 verdadera",E3805="Rechazar H0"),"Error tipo I",IF(AND(B3805="Ha verdadera",E3805="No rechazar H0"),"Error tipo II","Decisión correcta"))</f>
        <v>Decisión correcta</v>
      </c>
    </row>
    <row r="3806" customFormat="false" ht="15" hidden="false" customHeight="false" outlineLevel="0" collapsed="false">
      <c r="A3806" s="0" t="n">
        <v>3785</v>
      </c>
      <c r="B3806" s="0" t="s">
        <v>86</v>
      </c>
      <c r="C3806" s="17" t="n">
        <v>-0.132208485390385</v>
      </c>
      <c r="D3806" s="17" t="n">
        <f aca="false">(C3806-$B$4)/($B$6/SQRT($B$7))</f>
        <v>-0.661042426951926</v>
      </c>
      <c r="E3806" s="0" t="str">
        <f aca="false">IF(OR(AND($B$9="superior",D3806&gt;$B$10),AND($B$9="inferior",D3806&lt;-$B$10)),"Rechazar H0","No rechazar H0")</f>
        <v>No rechazar H0</v>
      </c>
      <c r="F3806" s="0" t="str">
        <f aca="false">IF(AND(B3806="H0 verdadera",E3806="Rechazar H0"),"Error tipo I",IF(AND(B3806="Ha verdadera",E3806="No rechazar H0"),"Error tipo II","Decisión correcta"))</f>
        <v>Error tipo II</v>
      </c>
    </row>
    <row r="3807" customFormat="false" ht="15" hidden="false" customHeight="false" outlineLevel="0" collapsed="false">
      <c r="A3807" s="0" t="n">
        <v>3786</v>
      </c>
      <c r="B3807" s="0" t="s">
        <v>85</v>
      </c>
      <c r="C3807" s="17" t="n">
        <v>-0.110404989835611</v>
      </c>
      <c r="D3807" s="17" t="n">
        <f aca="false">(C3807-$B$4)/($B$6/SQRT($B$7))</f>
        <v>-0.552024949178054</v>
      </c>
      <c r="E3807" s="0" t="str">
        <f aca="false">IF(OR(AND($B$9="superior",D3807&gt;$B$10),AND($B$9="inferior",D3807&lt;-$B$10)),"Rechazar H0","No rechazar H0")</f>
        <v>No rechazar H0</v>
      </c>
      <c r="F3807" s="0" t="str">
        <f aca="false">IF(AND(B3807="H0 verdadera",E3807="Rechazar H0"),"Error tipo I",IF(AND(B3807="Ha verdadera",E3807="No rechazar H0"),"Error tipo II","Decisión correcta"))</f>
        <v>Decisión correcta</v>
      </c>
    </row>
    <row r="3808" customFormat="false" ht="15" hidden="false" customHeight="false" outlineLevel="0" collapsed="false">
      <c r="A3808" s="0" t="n">
        <v>3787</v>
      </c>
      <c r="B3808" s="0" t="s">
        <v>85</v>
      </c>
      <c r="C3808" s="17" t="n">
        <v>0.230000283100625</v>
      </c>
      <c r="D3808" s="17" t="n">
        <f aca="false">(C3808-$B$4)/($B$6/SQRT($B$7))</f>
        <v>1.15000141550313</v>
      </c>
      <c r="E3808" s="0" t="str">
        <f aca="false">IF(OR(AND($B$9="superior",D3808&gt;$B$10),AND($B$9="inferior",D3808&lt;-$B$10)),"Rechazar H0","No rechazar H0")</f>
        <v>No rechazar H0</v>
      </c>
      <c r="F3808" s="0" t="str">
        <f aca="false">IF(AND(B3808="H0 verdadera",E3808="Rechazar H0"),"Error tipo I",IF(AND(B3808="Ha verdadera",E3808="No rechazar H0"),"Error tipo II","Decisión correcta"))</f>
        <v>Decisión correcta</v>
      </c>
    </row>
    <row r="3809" customFormat="false" ht="15" hidden="false" customHeight="false" outlineLevel="0" collapsed="false">
      <c r="A3809" s="0" t="n">
        <v>3788</v>
      </c>
      <c r="B3809" s="0" t="s">
        <v>85</v>
      </c>
      <c r="C3809" s="17" t="n">
        <v>-0.187182561503933</v>
      </c>
      <c r="D3809" s="17" t="n">
        <f aca="false">(C3809-$B$4)/($B$6/SQRT($B$7))</f>
        <v>-0.935912807519664</v>
      </c>
      <c r="E3809" s="0" t="str">
        <f aca="false">IF(OR(AND($B$9="superior",D3809&gt;$B$10),AND($B$9="inferior",D3809&lt;-$B$10)),"Rechazar H0","No rechazar H0")</f>
        <v>No rechazar H0</v>
      </c>
      <c r="F3809" s="0" t="str">
        <f aca="false">IF(AND(B3809="H0 verdadera",E3809="Rechazar H0"),"Error tipo I",IF(AND(B3809="Ha verdadera",E3809="No rechazar H0"),"Error tipo II","Decisión correcta"))</f>
        <v>Decisión correcta</v>
      </c>
    </row>
    <row r="3810" customFormat="false" ht="15" hidden="false" customHeight="false" outlineLevel="0" collapsed="false">
      <c r="A3810" s="0" t="n">
        <v>3789</v>
      </c>
      <c r="B3810" s="0" t="s">
        <v>85</v>
      </c>
      <c r="C3810" s="17" t="n">
        <v>-0.315494611447972</v>
      </c>
      <c r="D3810" s="17" t="n">
        <f aca="false">(C3810-$B$4)/($B$6/SQRT($B$7))</f>
        <v>-1.57747305723986</v>
      </c>
      <c r="E3810" s="0" t="str">
        <f aca="false">IF(OR(AND($B$9="superior",D3810&gt;$B$10),AND($B$9="inferior",D3810&lt;-$B$10)),"Rechazar H0","No rechazar H0")</f>
        <v>No rechazar H0</v>
      </c>
      <c r="F3810" s="0" t="str">
        <f aca="false">IF(AND(B3810="H0 verdadera",E3810="Rechazar H0"),"Error tipo I",IF(AND(B3810="Ha verdadera",E3810="No rechazar H0"),"Error tipo II","Decisión correcta"))</f>
        <v>Decisión correcta</v>
      </c>
    </row>
    <row r="3811" customFormat="false" ht="15" hidden="false" customHeight="false" outlineLevel="0" collapsed="false">
      <c r="A3811" s="0" t="n">
        <v>3790</v>
      </c>
      <c r="B3811" s="0" t="s">
        <v>86</v>
      </c>
      <c r="C3811" s="17" t="n">
        <v>-0.607379814009786</v>
      </c>
      <c r="D3811" s="17" t="n">
        <f aca="false">(C3811-$B$4)/($B$6/SQRT($B$7))</f>
        <v>-3.03689907004893</v>
      </c>
      <c r="E3811" s="0" t="str">
        <f aca="false">IF(OR(AND($B$9="superior",D3811&gt;$B$10),AND($B$9="inferior",D3811&lt;-$B$10)),"Rechazar H0","No rechazar H0")</f>
        <v>Rechazar H0</v>
      </c>
      <c r="F3811" s="0" t="str">
        <f aca="false">IF(AND(B3811="H0 verdadera",E3811="Rechazar H0"),"Error tipo I",IF(AND(B3811="Ha verdadera",E3811="No rechazar H0"),"Error tipo II","Decisión correcta"))</f>
        <v>Decisión correcta</v>
      </c>
    </row>
    <row r="3812" customFormat="false" ht="15" hidden="false" customHeight="false" outlineLevel="0" collapsed="false">
      <c r="A3812" s="0" t="n">
        <v>3791</v>
      </c>
      <c r="B3812" s="0" t="s">
        <v>85</v>
      </c>
      <c r="C3812" s="17" t="n">
        <v>-0.180712951453685</v>
      </c>
      <c r="D3812" s="17" t="n">
        <f aca="false">(C3812-$B$4)/($B$6/SQRT($B$7))</f>
        <v>-0.903564757268426</v>
      </c>
      <c r="E3812" s="0" t="str">
        <f aca="false">IF(OR(AND($B$9="superior",D3812&gt;$B$10),AND($B$9="inferior",D3812&lt;-$B$10)),"Rechazar H0","No rechazar H0")</f>
        <v>No rechazar H0</v>
      </c>
      <c r="F3812" s="0" t="str">
        <f aca="false">IF(AND(B3812="H0 verdadera",E3812="Rechazar H0"),"Error tipo I",IF(AND(B3812="Ha verdadera",E3812="No rechazar H0"),"Error tipo II","Decisión correcta"))</f>
        <v>Decisión correcta</v>
      </c>
    </row>
    <row r="3813" customFormat="false" ht="15" hidden="false" customHeight="false" outlineLevel="0" collapsed="false">
      <c r="A3813" s="0" t="n">
        <v>3792</v>
      </c>
      <c r="B3813" s="0" t="s">
        <v>85</v>
      </c>
      <c r="C3813" s="17" t="n">
        <v>-0.211134311118382</v>
      </c>
      <c r="D3813" s="17" t="n">
        <f aca="false">(C3813-$B$4)/($B$6/SQRT($B$7))</f>
        <v>-1.05567155559191</v>
      </c>
      <c r="E3813" s="0" t="str">
        <f aca="false">IF(OR(AND($B$9="superior",D3813&gt;$B$10),AND($B$9="inferior",D3813&lt;-$B$10)),"Rechazar H0","No rechazar H0")</f>
        <v>No rechazar H0</v>
      </c>
      <c r="F3813" s="0" t="str">
        <f aca="false">IF(AND(B3813="H0 verdadera",E3813="Rechazar H0"),"Error tipo I",IF(AND(B3813="Ha verdadera",E3813="No rechazar H0"),"Error tipo II","Decisión correcta"))</f>
        <v>Decisión correcta</v>
      </c>
    </row>
    <row r="3814" customFormat="false" ht="15" hidden="false" customHeight="false" outlineLevel="0" collapsed="false">
      <c r="A3814" s="0" t="n">
        <v>3793</v>
      </c>
      <c r="B3814" s="0" t="s">
        <v>85</v>
      </c>
      <c r="C3814" s="17" t="n">
        <v>0.069645202468925</v>
      </c>
      <c r="D3814" s="17" t="n">
        <f aca="false">(C3814-$B$4)/($B$6/SQRT($B$7))</f>
        <v>0.348226012344625</v>
      </c>
      <c r="E3814" s="0" t="str">
        <f aca="false">IF(OR(AND($B$9="superior",D3814&gt;$B$10),AND($B$9="inferior",D3814&lt;-$B$10)),"Rechazar H0","No rechazar H0")</f>
        <v>No rechazar H0</v>
      </c>
      <c r="F3814" s="0" t="str">
        <f aca="false">IF(AND(B3814="H0 verdadera",E3814="Rechazar H0"),"Error tipo I",IF(AND(B3814="Ha verdadera",E3814="No rechazar H0"),"Error tipo II","Decisión correcta"))</f>
        <v>Decisión correcta</v>
      </c>
    </row>
    <row r="3815" customFormat="false" ht="15" hidden="false" customHeight="false" outlineLevel="0" collapsed="false">
      <c r="A3815" s="0" t="n">
        <v>3794</v>
      </c>
      <c r="B3815" s="0" t="s">
        <v>85</v>
      </c>
      <c r="C3815" s="17" t="n">
        <v>-0.420326234264207</v>
      </c>
      <c r="D3815" s="17" t="n">
        <f aca="false">(C3815-$B$4)/($B$6/SQRT($B$7))</f>
        <v>-2.10163117132103</v>
      </c>
      <c r="E3815" s="0" t="str">
        <f aca="false">IF(OR(AND($B$9="superior",D3815&gt;$B$10),AND($B$9="inferior",D3815&lt;-$B$10)),"Rechazar H0","No rechazar H0")</f>
        <v>Rechazar H0</v>
      </c>
      <c r="F3815" s="0" t="str">
        <f aca="false">IF(AND(B3815="H0 verdadera",E3815="Rechazar H0"),"Error tipo I",IF(AND(B3815="Ha verdadera",E3815="No rechazar H0"),"Error tipo II","Decisión correcta"))</f>
        <v>Error tipo I</v>
      </c>
    </row>
    <row r="3816" customFormat="false" ht="15" hidden="false" customHeight="false" outlineLevel="0" collapsed="false">
      <c r="A3816" s="0" t="n">
        <v>3795</v>
      </c>
      <c r="B3816" s="0" t="s">
        <v>86</v>
      </c>
      <c r="C3816" s="17" t="n">
        <v>-0.286980116783651</v>
      </c>
      <c r="D3816" s="17" t="n">
        <f aca="false">(C3816-$B$4)/($B$6/SQRT($B$7))</f>
        <v>-1.43490058391825</v>
      </c>
      <c r="E3816" s="0" t="str">
        <f aca="false">IF(OR(AND($B$9="superior",D3816&gt;$B$10),AND($B$9="inferior",D3816&lt;-$B$10)),"Rechazar H0","No rechazar H0")</f>
        <v>No rechazar H0</v>
      </c>
      <c r="F3816" s="0" t="str">
        <f aca="false">IF(AND(B3816="H0 verdadera",E3816="Rechazar H0"),"Error tipo I",IF(AND(B3816="Ha verdadera",E3816="No rechazar H0"),"Error tipo II","Decisión correcta"))</f>
        <v>Error tipo II</v>
      </c>
    </row>
    <row r="3817" customFormat="false" ht="15" hidden="false" customHeight="false" outlineLevel="0" collapsed="false">
      <c r="A3817" s="0" t="n">
        <v>3796</v>
      </c>
      <c r="B3817" s="0" t="s">
        <v>86</v>
      </c>
      <c r="C3817" s="17" t="n">
        <v>-0.742287865215342</v>
      </c>
      <c r="D3817" s="17" t="n">
        <f aca="false">(C3817-$B$4)/($B$6/SQRT($B$7))</f>
        <v>-3.71143932607671</v>
      </c>
      <c r="E3817" s="0" t="str">
        <f aca="false">IF(OR(AND($B$9="superior",D3817&gt;$B$10),AND($B$9="inferior",D3817&lt;-$B$10)),"Rechazar H0","No rechazar H0")</f>
        <v>Rechazar H0</v>
      </c>
      <c r="F3817" s="0" t="str">
        <f aca="false">IF(AND(B3817="H0 verdadera",E3817="Rechazar H0"),"Error tipo I",IF(AND(B3817="Ha verdadera",E3817="No rechazar H0"),"Error tipo II","Decisión correcta"))</f>
        <v>Decisión correcta</v>
      </c>
    </row>
    <row r="3818" customFormat="false" ht="15" hidden="false" customHeight="false" outlineLevel="0" collapsed="false">
      <c r="A3818" s="0" t="n">
        <v>3797</v>
      </c>
      <c r="B3818" s="0" t="s">
        <v>85</v>
      </c>
      <c r="C3818" s="17" t="n">
        <v>-0.17790207328311</v>
      </c>
      <c r="D3818" s="17" t="n">
        <f aca="false">(C3818-$B$4)/($B$6/SQRT($B$7))</f>
        <v>-0.889510366415548</v>
      </c>
      <c r="E3818" s="0" t="str">
        <f aca="false">IF(OR(AND($B$9="superior",D3818&gt;$B$10),AND($B$9="inferior",D3818&lt;-$B$10)),"Rechazar H0","No rechazar H0")</f>
        <v>No rechazar H0</v>
      </c>
      <c r="F3818" s="0" t="str">
        <f aca="false">IF(AND(B3818="H0 verdadera",E3818="Rechazar H0"),"Error tipo I",IF(AND(B3818="Ha verdadera",E3818="No rechazar H0"),"Error tipo II","Decisión correcta"))</f>
        <v>Decisión correcta</v>
      </c>
    </row>
    <row r="3819" customFormat="false" ht="15" hidden="false" customHeight="false" outlineLevel="0" collapsed="false">
      <c r="A3819" s="0" t="n">
        <v>3798</v>
      </c>
      <c r="B3819" s="0" t="s">
        <v>86</v>
      </c>
      <c r="C3819" s="17" t="n">
        <v>0.0117014833524081</v>
      </c>
      <c r="D3819" s="17" t="n">
        <f aca="false">(C3819-$B$4)/($B$6/SQRT($B$7))</f>
        <v>0.0585074167620406</v>
      </c>
      <c r="E3819" s="0" t="str">
        <f aca="false">IF(OR(AND($B$9="superior",D3819&gt;$B$10),AND($B$9="inferior",D3819&lt;-$B$10)),"Rechazar H0","No rechazar H0")</f>
        <v>No rechazar H0</v>
      </c>
      <c r="F3819" s="0" t="str">
        <f aca="false">IF(AND(B3819="H0 verdadera",E3819="Rechazar H0"),"Error tipo I",IF(AND(B3819="Ha verdadera",E3819="No rechazar H0"),"Error tipo II","Decisión correcta"))</f>
        <v>Error tipo II</v>
      </c>
    </row>
    <row r="3820" customFormat="false" ht="15" hidden="false" customHeight="false" outlineLevel="0" collapsed="false">
      <c r="A3820" s="0" t="n">
        <v>3799</v>
      </c>
      <c r="B3820" s="0" t="s">
        <v>86</v>
      </c>
      <c r="C3820" s="17" t="n">
        <v>-0.481308317960418</v>
      </c>
      <c r="D3820" s="17" t="n">
        <f aca="false">(C3820-$B$4)/($B$6/SQRT($B$7))</f>
        <v>-2.40654158980209</v>
      </c>
      <c r="E3820" s="0" t="str">
        <f aca="false">IF(OR(AND($B$9="superior",D3820&gt;$B$10),AND($B$9="inferior",D3820&lt;-$B$10)),"Rechazar H0","No rechazar H0")</f>
        <v>Rechazar H0</v>
      </c>
      <c r="F3820" s="0" t="str">
        <f aca="false">IF(AND(B3820="H0 verdadera",E3820="Rechazar H0"),"Error tipo I",IF(AND(B3820="Ha verdadera",E3820="No rechazar H0"),"Error tipo II","Decisión correcta"))</f>
        <v>Decisión correcta</v>
      </c>
    </row>
    <row r="3821" customFormat="false" ht="15" hidden="false" customHeight="false" outlineLevel="0" collapsed="false">
      <c r="A3821" s="0" t="n">
        <v>3800</v>
      </c>
      <c r="B3821" s="0" t="s">
        <v>85</v>
      </c>
      <c r="C3821" s="17" t="n">
        <v>0.378834598864966</v>
      </c>
      <c r="D3821" s="17" t="n">
        <f aca="false">(C3821-$B$4)/($B$6/SQRT($B$7))</f>
        <v>1.89417299432483</v>
      </c>
      <c r="E3821" s="0" t="str">
        <f aca="false">IF(OR(AND($B$9="superior",D3821&gt;$B$10),AND($B$9="inferior",D3821&lt;-$B$10)),"Rechazar H0","No rechazar H0")</f>
        <v>No rechazar H0</v>
      </c>
      <c r="F3821" s="0" t="str">
        <f aca="false">IF(AND(B3821="H0 verdadera",E3821="Rechazar H0"),"Error tipo I",IF(AND(B3821="Ha verdadera",E3821="No rechazar H0"),"Error tipo II","Decisión correcta"))</f>
        <v>Decisión correcta</v>
      </c>
    </row>
    <row r="3822" customFormat="false" ht="15" hidden="false" customHeight="false" outlineLevel="0" collapsed="false">
      <c r="A3822" s="0" t="n">
        <v>3801</v>
      </c>
      <c r="B3822" s="0" t="s">
        <v>86</v>
      </c>
      <c r="C3822" s="17" t="n">
        <v>-0.504279167773594</v>
      </c>
      <c r="D3822" s="17" t="n">
        <f aca="false">(C3822-$B$4)/($B$6/SQRT($B$7))</f>
        <v>-2.52139583886797</v>
      </c>
      <c r="E3822" s="0" t="str">
        <f aca="false">IF(OR(AND($B$9="superior",D3822&gt;$B$10),AND($B$9="inferior",D3822&lt;-$B$10)),"Rechazar H0","No rechazar H0")</f>
        <v>Rechazar H0</v>
      </c>
      <c r="F3822" s="0" t="str">
        <f aca="false">IF(AND(B3822="H0 verdadera",E3822="Rechazar H0"),"Error tipo I",IF(AND(B3822="Ha verdadera",E3822="No rechazar H0"),"Error tipo II","Decisión correcta"))</f>
        <v>Decisión correcta</v>
      </c>
    </row>
    <row r="3823" customFormat="false" ht="15" hidden="false" customHeight="false" outlineLevel="0" collapsed="false">
      <c r="A3823" s="0" t="n">
        <v>3802</v>
      </c>
      <c r="B3823" s="0" t="s">
        <v>85</v>
      </c>
      <c r="C3823" s="17" t="n">
        <v>-0.0804437473554386</v>
      </c>
      <c r="D3823" s="17" t="n">
        <f aca="false">(C3823-$B$4)/($B$6/SQRT($B$7))</f>
        <v>-0.402218736777193</v>
      </c>
      <c r="E3823" s="0" t="str">
        <f aca="false">IF(OR(AND($B$9="superior",D3823&gt;$B$10),AND($B$9="inferior",D3823&lt;-$B$10)),"Rechazar H0","No rechazar H0")</f>
        <v>No rechazar H0</v>
      </c>
      <c r="F3823" s="0" t="str">
        <f aca="false">IF(AND(B3823="H0 verdadera",E3823="Rechazar H0"),"Error tipo I",IF(AND(B3823="Ha verdadera",E3823="No rechazar H0"),"Error tipo II","Decisión correcta"))</f>
        <v>Decisión correcta</v>
      </c>
    </row>
    <row r="3824" customFormat="false" ht="15" hidden="false" customHeight="false" outlineLevel="0" collapsed="false">
      <c r="A3824" s="0" t="n">
        <v>3803</v>
      </c>
      <c r="B3824" s="0" t="s">
        <v>86</v>
      </c>
      <c r="C3824" s="17" t="n">
        <v>-0.559230159796905</v>
      </c>
      <c r="D3824" s="17" t="n">
        <f aca="false">(C3824-$B$4)/($B$6/SQRT($B$7))</f>
        <v>-2.79615079898452</v>
      </c>
      <c r="E3824" s="0" t="str">
        <f aca="false">IF(OR(AND($B$9="superior",D3824&gt;$B$10),AND($B$9="inferior",D3824&lt;-$B$10)),"Rechazar H0","No rechazar H0")</f>
        <v>Rechazar H0</v>
      </c>
      <c r="F3824" s="0" t="str">
        <f aca="false">IF(AND(B3824="H0 verdadera",E3824="Rechazar H0"),"Error tipo I",IF(AND(B3824="Ha verdadera",E3824="No rechazar H0"),"Error tipo II","Decisión correcta"))</f>
        <v>Decisión correcta</v>
      </c>
    </row>
    <row r="3825" customFormat="false" ht="15" hidden="false" customHeight="false" outlineLevel="0" collapsed="false">
      <c r="A3825" s="0" t="n">
        <v>3804</v>
      </c>
      <c r="B3825" s="0" t="s">
        <v>86</v>
      </c>
      <c r="C3825" s="17" t="n">
        <v>-0.342683106521069</v>
      </c>
      <c r="D3825" s="17" t="n">
        <f aca="false">(C3825-$B$4)/($B$6/SQRT($B$7))</f>
        <v>-1.71341553260535</v>
      </c>
      <c r="E3825" s="0" t="str">
        <f aca="false">IF(OR(AND($B$9="superior",D3825&gt;$B$10),AND($B$9="inferior",D3825&lt;-$B$10)),"Rechazar H0","No rechazar H0")</f>
        <v>Rechazar H0</v>
      </c>
      <c r="F3825" s="0" t="str">
        <f aca="false">IF(AND(B3825="H0 verdadera",E3825="Rechazar H0"),"Error tipo I",IF(AND(B3825="Ha verdadera",E3825="No rechazar H0"),"Error tipo II","Decisión correcta"))</f>
        <v>Decisión correcta</v>
      </c>
    </row>
    <row r="3826" customFormat="false" ht="15" hidden="false" customHeight="false" outlineLevel="0" collapsed="false">
      <c r="A3826" s="0" t="n">
        <v>3805</v>
      </c>
      <c r="B3826" s="0" t="s">
        <v>86</v>
      </c>
      <c r="C3826" s="17" t="n">
        <v>-0.438082300464555</v>
      </c>
      <c r="D3826" s="17" t="n">
        <f aca="false">(C3826-$B$4)/($B$6/SQRT($B$7))</f>
        <v>-2.19041150232278</v>
      </c>
      <c r="E3826" s="0" t="str">
        <f aca="false">IF(OR(AND($B$9="superior",D3826&gt;$B$10),AND($B$9="inferior",D3826&lt;-$B$10)),"Rechazar H0","No rechazar H0")</f>
        <v>Rechazar H0</v>
      </c>
      <c r="F3826" s="0" t="str">
        <f aca="false">IF(AND(B3826="H0 verdadera",E3826="Rechazar H0"),"Error tipo I",IF(AND(B3826="Ha verdadera",E3826="No rechazar H0"),"Error tipo II","Decisión correcta"))</f>
        <v>Decisión correcta</v>
      </c>
    </row>
    <row r="3827" customFormat="false" ht="15" hidden="false" customHeight="false" outlineLevel="0" collapsed="false">
      <c r="A3827" s="0" t="n">
        <v>3806</v>
      </c>
      <c r="B3827" s="0" t="s">
        <v>85</v>
      </c>
      <c r="C3827" s="17" t="n">
        <v>-0.272760335355699</v>
      </c>
      <c r="D3827" s="17" t="n">
        <f aca="false">(C3827-$B$4)/($B$6/SQRT($B$7))</f>
        <v>-1.3638016767785</v>
      </c>
      <c r="E3827" s="0" t="str">
        <f aca="false">IF(OR(AND($B$9="superior",D3827&gt;$B$10),AND($B$9="inferior",D3827&lt;-$B$10)),"Rechazar H0","No rechazar H0")</f>
        <v>No rechazar H0</v>
      </c>
      <c r="F3827" s="0" t="str">
        <f aca="false">IF(AND(B3827="H0 verdadera",E3827="Rechazar H0"),"Error tipo I",IF(AND(B3827="Ha verdadera",E3827="No rechazar H0"),"Error tipo II","Decisión correcta"))</f>
        <v>Decisión correcta</v>
      </c>
    </row>
    <row r="3828" customFormat="false" ht="15" hidden="false" customHeight="false" outlineLevel="0" collapsed="false">
      <c r="A3828" s="0" t="n">
        <v>3807</v>
      </c>
      <c r="B3828" s="0" t="s">
        <v>86</v>
      </c>
      <c r="C3828" s="17" t="n">
        <v>-0.459279848030723</v>
      </c>
      <c r="D3828" s="17" t="n">
        <f aca="false">(C3828-$B$4)/($B$6/SQRT($B$7))</f>
        <v>-2.29639924015361</v>
      </c>
      <c r="E3828" s="0" t="str">
        <f aca="false">IF(OR(AND($B$9="superior",D3828&gt;$B$10),AND($B$9="inferior",D3828&lt;-$B$10)),"Rechazar H0","No rechazar H0")</f>
        <v>Rechazar H0</v>
      </c>
      <c r="F3828" s="0" t="str">
        <f aca="false">IF(AND(B3828="H0 verdadera",E3828="Rechazar H0"),"Error tipo I",IF(AND(B3828="Ha verdadera",E3828="No rechazar H0"),"Error tipo II","Decisión correcta"))</f>
        <v>Decisión correcta</v>
      </c>
    </row>
    <row r="3829" customFormat="false" ht="15" hidden="false" customHeight="false" outlineLevel="0" collapsed="false">
      <c r="A3829" s="0" t="n">
        <v>3808</v>
      </c>
      <c r="B3829" s="0" t="s">
        <v>85</v>
      </c>
      <c r="C3829" s="17" t="n">
        <v>0.00892235373643035</v>
      </c>
      <c r="D3829" s="17" t="n">
        <f aca="false">(C3829-$B$4)/($B$6/SQRT($B$7))</f>
        <v>0.0446117686821518</v>
      </c>
      <c r="E3829" s="0" t="str">
        <f aca="false">IF(OR(AND($B$9="superior",D3829&gt;$B$10),AND($B$9="inferior",D3829&lt;-$B$10)),"Rechazar H0","No rechazar H0")</f>
        <v>No rechazar H0</v>
      </c>
      <c r="F3829" s="0" t="str">
        <f aca="false">IF(AND(B3829="H0 verdadera",E3829="Rechazar H0"),"Error tipo I",IF(AND(B3829="Ha verdadera",E3829="No rechazar H0"),"Error tipo II","Decisión correcta"))</f>
        <v>Decisión correcta</v>
      </c>
    </row>
    <row r="3830" customFormat="false" ht="15" hidden="false" customHeight="false" outlineLevel="0" collapsed="false">
      <c r="A3830" s="0" t="n">
        <v>3809</v>
      </c>
      <c r="B3830" s="0" t="s">
        <v>85</v>
      </c>
      <c r="C3830" s="17" t="n">
        <v>-0.0581613633103215</v>
      </c>
      <c r="D3830" s="17" t="n">
        <f aca="false">(C3830-$B$4)/($B$6/SQRT($B$7))</f>
        <v>-0.290806816551608</v>
      </c>
      <c r="E3830" s="0" t="str">
        <f aca="false">IF(OR(AND($B$9="superior",D3830&gt;$B$10),AND($B$9="inferior",D3830&lt;-$B$10)),"Rechazar H0","No rechazar H0")</f>
        <v>No rechazar H0</v>
      </c>
      <c r="F3830" s="0" t="str">
        <f aca="false">IF(AND(B3830="H0 verdadera",E3830="Rechazar H0"),"Error tipo I",IF(AND(B3830="Ha verdadera",E3830="No rechazar H0"),"Error tipo II","Decisión correcta"))</f>
        <v>Decisión correcta</v>
      </c>
    </row>
    <row r="3831" customFormat="false" ht="15" hidden="false" customHeight="false" outlineLevel="0" collapsed="false">
      <c r="A3831" s="0" t="n">
        <v>3810</v>
      </c>
      <c r="B3831" s="0" t="s">
        <v>86</v>
      </c>
      <c r="C3831" s="17" t="n">
        <v>0.0673475100475319</v>
      </c>
      <c r="D3831" s="17" t="n">
        <f aca="false">(C3831-$B$4)/($B$6/SQRT($B$7))</f>
        <v>0.336737550237659</v>
      </c>
      <c r="E3831" s="0" t="str">
        <f aca="false">IF(OR(AND($B$9="superior",D3831&gt;$B$10),AND($B$9="inferior",D3831&lt;-$B$10)),"Rechazar H0","No rechazar H0")</f>
        <v>No rechazar H0</v>
      </c>
      <c r="F3831" s="0" t="str">
        <f aca="false">IF(AND(B3831="H0 verdadera",E3831="Rechazar H0"),"Error tipo I",IF(AND(B3831="Ha verdadera",E3831="No rechazar H0"),"Error tipo II","Decisión correcta"))</f>
        <v>Error tipo II</v>
      </c>
    </row>
    <row r="3832" customFormat="false" ht="15" hidden="false" customHeight="false" outlineLevel="0" collapsed="false">
      <c r="A3832" s="0" t="n">
        <v>3811</v>
      </c>
      <c r="B3832" s="0" t="s">
        <v>85</v>
      </c>
      <c r="C3832" s="17" t="n">
        <v>0.148069337554866</v>
      </c>
      <c r="D3832" s="17" t="n">
        <f aca="false">(C3832-$B$4)/($B$6/SQRT($B$7))</f>
        <v>0.74034668777433</v>
      </c>
      <c r="E3832" s="0" t="str">
        <f aca="false">IF(OR(AND($B$9="superior",D3832&gt;$B$10),AND($B$9="inferior",D3832&lt;-$B$10)),"Rechazar H0","No rechazar H0")</f>
        <v>No rechazar H0</v>
      </c>
      <c r="F3832" s="0" t="str">
        <f aca="false">IF(AND(B3832="H0 verdadera",E3832="Rechazar H0"),"Error tipo I",IF(AND(B3832="Ha verdadera",E3832="No rechazar H0"),"Error tipo II","Decisión correcta"))</f>
        <v>Decisión correcta</v>
      </c>
    </row>
    <row r="3833" customFormat="false" ht="15" hidden="false" customHeight="false" outlineLevel="0" collapsed="false">
      <c r="A3833" s="0" t="n">
        <v>3812</v>
      </c>
      <c r="B3833" s="0" t="s">
        <v>86</v>
      </c>
      <c r="C3833" s="17" t="n">
        <v>-0.500226920706511</v>
      </c>
      <c r="D3833" s="17" t="n">
        <f aca="false">(C3833-$B$4)/($B$6/SQRT($B$7))</f>
        <v>-2.50113460353255</v>
      </c>
      <c r="E3833" s="0" t="str">
        <f aca="false">IF(OR(AND($B$9="superior",D3833&gt;$B$10),AND($B$9="inferior",D3833&lt;-$B$10)),"Rechazar H0","No rechazar H0")</f>
        <v>Rechazar H0</v>
      </c>
      <c r="F3833" s="0" t="str">
        <f aca="false">IF(AND(B3833="H0 verdadera",E3833="Rechazar H0"),"Error tipo I",IF(AND(B3833="Ha verdadera",E3833="No rechazar H0"),"Error tipo II","Decisión correcta"))</f>
        <v>Decisión correcta</v>
      </c>
    </row>
    <row r="3834" customFormat="false" ht="15" hidden="false" customHeight="false" outlineLevel="0" collapsed="false">
      <c r="A3834" s="0" t="n">
        <v>3813</v>
      </c>
      <c r="B3834" s="0" t="s">
        <v>85</v>
      </c>
      <c r="C3834" s="17" t="n">
        <v>-0.308792677523141</v>
      </c>
      <c r="D3834" s="17" t="n">
        <f aca="false">(C3834-$B$4)/($B$6/SQRT($B$7))</f>
        <v>-1.5439633876157</v>
      </c>
      <c r="E3834" s="0" t="str">
        <f aca="false">IF(OR(AND($B$9="superior",D3834&gt;$B$10),AND($B$9="inferior",D3834&lt;-$B$10)),"Rechazar H0","No rechazar H0")</f>
        <v>No rechazar H0</v>
      </c>
      <c r="F3834" s="0" t="str">
        <f aca="false">IF(AND(B3834="H0 verdadera",E3834="Rechazar H0"),"Error tipo I",IF(AND(B3834="Ha verdadera",E3834="No rechazar H0"),"Error tipo II","Decisión correcta"))</f>
        <v>Decisión correcta</v>
      </c>
    </row>
    <row r="3835" customFormat="false" ht="15" hidden="false" customHeight="false" outlineLevel="0" collapsed="false">
      <c r="A3835" s="0" t="n">
        <v>3814</v>
      </c>
      <c r="B3835" s="0" t="s">
        <v>86</v>
      </c>
      <c r="C3835" s="17" t="n">
        <v>-0.174861003676803</v>
      </c>
      <c r="D3835" s="17" t="n">
        <f aca="false">(C3835-$B$4)/($B$6/SQRT($B$7))</f>
        <v>-0.874305018384015</v>
      </c>
      <c r="E3835" s="0" t="str">
        <f aca="false">IF(OR(AND($B$9="superior",D3835&gt;$B$10),AND($B$9="inferior",D3835&lt;-$B$10)),"Rechazar H0","No rechazar H0")</f>
        <v>No rechazar H0</v>
      </c>
      <c r="F3835" s="0" t="str">
        <f aca="false">IF(AND(B3835="H0 verdadera",E3835="Rechazar H0"),"Error tipo I",IF(AND(B3835="Ha verdadera",E3835="No rechazar H0"),"Error tipo II","Decisión correcta"))</f>
        <v>Error tipo II</v>
      </c>
    </row>
    <row r="3836" customFormat="false" ht="15" hidden="false" customHeight="false" outlineLevel="0" collapsed="false">
      <c r="A3836" s="0" t="n">
        <v>3815</v>
      </c>
      <c r="B3836" s="0" t="s">
        <v>85</v>
      </c>
      <c r="C3836" s="17" t="n">
        <v>-0.119450918437016</v>
      </c>
      <c r="D3836" s="17" t="n">
        <f aca="false">(C3836-$B$4)/($B$6/SQRT($B$7))</f>
        <v>-0.597254592185078</v>
      </c>
      <c r="E3836" s="0" t="str">
        <f aca="false">IF(OR(AND($B$9="superior",D3836&gt;$B$10),AND($B$9="inferior",D3836&lt;-$B$10)),"Rechazar H0","No rechazar H0")</f>
        <v>No rechazar H0</v>
      </c>
      <c r="F3836" s="0" t="str">
        <f aca="false">IF(AND(B3836="H0 verdadera",E3836="Rechazar H0"),"Error tipo I",IF(AND(B3836="Ha verdadera",E3836="No rechazar H0"),"Error tipo II","Decisión correcta"))</f>
        <v>Decisión correcta</v>
      </c>
    </row>
    <row r="3837" customFormat="false" ht="15" hidden="false" customHeight="false" outlineLevel="0" collapsed="false">
      <c r="A3837" s="0" t="n">
        <v>3816</v>
      </c>
      <c r="B3837" s="0" t="s">
        <v>86</v>
      </c>
      <c r="C3837" s="17" t="n">
        <v>-0.571586815971343</v>
      </c>
      <c r="D3837" s="17" t="n">
        <f aca="false">(C3837-$B$4)/($B$6/SQRT($B$7))</f>
        <v>-2.85793407985672</v>
      </c>
      <c r="E3837" s="0" t="str">
        <f aca="false">IF(OR(AND($B$9="superior",D3837&gt;$B$10),AND($B$9="inferior",D3837&lt;-$B$10)),"Rechazar H0","No rechazar H0")</f>
        <v>Rechazar H0</v>
      </c>
      <c r="F3837" s="0" t="str">
        <f aca="false">IF(AND(B3837="H0 verdadera",E3837="Rechazar H0"),"Error tipo I",IF(AND(B3837="Ha verdadera",E3837="No rechazar H0"),"Error tipo II","Decisión correcta"))</f>
        <v>Decisión correcta</v>
      </c>
    </row>
    <row r="3838" customFormat="false" ht="15" hidden="false" customHeight="false" outlineLevel="0" collapsed="false">
      <c r="A3838" s="0" t="n">
        <v>3817</v>
      </c>
      <c r="B3838" s="0" t="s">
        <v>85</v>
      </c>
      <c r="C3838" s="17" t="n">
        <v>-0.199481976301876</v>
      </c>
      <c r="D3838" s="17" t="n">
        <f aca="false">(C3838-$B$4)/($B$6/SQRT($B$7))</f>
        <v>-0.997409881509381</v>
      </c>
      <c r="E3838" s="0" t="str">
        <f aca="false">IF(OR(AND($B$9="superior",D3838&gt;$B$10),AND($B$9="inferior",D3838&lt;-$B$10)),"Rechazar H0","No rechazar H0")</f>
        <v>No rechazar H0</v>
      </c>
      <c r="F3838" s="0" t="str">
        <f aca="false">IF(AND(B3838="H0 verdadera",E3838="Rechazar H0"),"Error tipo I",IF(AND(B3838="Ha verdadera",E3838="No rechazar H0"),"Error tipo II","Decisión correcta"))</f>
        <v>Decisión correcta</v>
      </c>
    </row>
    <row r="3839" customFormat="false" ht="15" hidden="false" customHeight="false" outlineLevel="0" collapsed="false">
      <c r="A3839" s="0" t="n">
        <v>3818</v>
      </c>
      <c r="B3839" s="0" t="s">
        <v>86</v>
      </c>
      <c r="C3839" s="17" t="n">
        <v>-0.436895018872299</v>
      </c>
      <c r="D3839" s="17" t="n">
        <f aca="false">(C3839-$B$4)/($B$6/SQRT($B$7))</f>
        <v>-2.1844750943615</v>
      </c>
      <c r="E3839" s="0" t="str">
        <f aca="false">IF(OR(AND($B$9="superior",D3839&gt;$B$10),AND($B$9="inferior",D3839&lt;-$B$10)),"Rechazar H0","No rechazar H0")</f>
        <v>Rechazar H0</v>
      </c>
      <c r="F3839" s="0" t="str">
        <f aca="false">IF(AND(B3839="H0 verdadera",E3839="Rechazar H0"),"Error tipo I",IF(AND(B3839="Ha verdadera",E3839="No rechazar H0"),"Error tipo II","Decisión correcta"))</f>
        <v>Decisión correcta</v>
      </c>
    </row>
    <row r="3840" customFormat="false" ht="15" hidden="false" customHeight="false" outlineLevel="0" collapsed="false">
      <c r="A3840" s="0" t="n">
        <v>3819</v>
      </c>
      <c r="B3840" s="0" t="s">
        <v>86</v>
      </c>
      <c r="C3840" s="17" t="n">
        <v>-0.496661947022719</v>
      </c>
      <c r="D3840" s="17" t="n">
        <f aca="false">(C3840-$B$4)/($B$6/SQRT($B$7))</f>
        <v>-2.48330973511359</v>
      </c>
      <c r="E3840" s="0" t="str">
        <f aca="false">IF(OR(AND($B$9="superior",D3840&gt;$B$10),AND($B$9="inferior",D3840&lt;-$B$10)),"Rechazar H0","No rechazar H0")</f>
        <v>Rechazar H0</v>
      </c>
      <c r="F3840" s="0" t="str">
        <f aca="false">IF(AND(B3840="H0 verdadera",E3840="Rechazar H0"),"Error tipo I",IF(AND(B3840="Ha verdadera",E3840="No rechazar H0"),"Error tipo II","Decisión correcta"))</f>
        <v>Decisión correcta</v>
      </c>
    </row>
    <row r="3841" customFormat="false" ht="15" hidden="false" customHeight="false" outlineLevel="0" collapsed="false">
      <c r="A3841" s="0" t="n">
        <v>3820</v>
      </c>
      <c r="B3841" s="0" t="s">
        <v>85</v>
      </c>
      <c r="C3841" s="17" t="n">
        <v>0.178635380442044</v>
      </c>
      <c r="D3841" s="17" t="n">
        <f aca="false">(C3841-$B$4)/($B$6/SQRT($B$7))</f>
        <v>0.893176902210222</v>
      </c>
      <c r="E3841" s="0" t="str">
        <f aca="false">IF(OR(AND($B$9="superior",D3841&gt;$B$10),AND($B$9="inferior",D3841&lt;-$B$10)),"Rechazar H0","No rechazar H0")</f>
        <v>No rechazar H0</v>
      </c>
      <c r="F3841" s="0" t="str">
        <f aca="false">IF(AND(B3841="H0 verdadera",E3841="Rechazar H0"),"Error tipo I",IF(AND(B3841="Ha verdadera",E3841="No rechazar H0"),"Error tipo II","Decisión correcta"))</f>
        <v>Decisión correcta</v>
      </c>
    </row>
    <row r="3842" customFormat="false" ht="15" hidden="false" customHeight="false" outlineLevel="0" collapsed="false">
      <c r="A3842" s="0" t="n">
        <v>3821</v>
      </c>
      <c r="B3842" s="0" t="s">
        <v>85</v>
      </c>
      <c r="C3842" s="17" t="n">
        <v>-0.32320351831261</v>
      </c>
      <c r="D3842" s="17" t="n">
        <f aca="false">(C3842-$B$4)/($B$6/SQRT($B$7))</f>
        <v>-1.61601759156305</v>
      </c>
      <c r="E3842" s="0" t="str">
        <f aca="false">IF(OR(AND($B$9="superior",D3842&gt;$B$10),AND($B$9="inferior",D3842&lt;-$B$10)),"Rechazar H0","No rechazar H0")</f>
        <v>No rechazar H0</v>
      </c>
      <c r="F3842" s="0" t="str">
        <f aca="false">IF(AND(B3842="H0 verdadera",E3842="Rechazar H0"),"Error tipo I",IF(AND(B3842="Ha verdadera",E3842="No rechazar H0"),"Error tipo II","Decisión correcta"))</f>
        <v>Decisión correcta</v>
      </c>
    </row>
    <row r="3843" customFormat="false" ht="15" hidden="false" customHeight="false" outlineLevel="0" collapsed="false">
      <c r="A3843" s="0" t="n">
        <v>3822</v>
      </c>
      <c r="B3843" s="0" t="s">
        <v>85</v>
      </c>
      <c r="C3843" s="17" t="n">
        <v>0.240712340875103</v>
      </c>
      <c r="D3843" s="17" t="n">
        <f aca="false">(C3843-$B$4)/($B$6/SQRT($B$7))</f>
        <v>1.20356170437551</v>
      </c>
      <c r="E3843" s="0" t="str">
        <f aca="false">IF(OR(AND($B$9="superior",D3843&gt;$B$10),AND($B$9="inferior",D3843&lt;-$B$10)),"Rechazar H0","No rechazar H0")</f>
        <v>No rechazar H0</v>
      </c>
      <c r="F3843" s="0" t="str">
        <f aca="false">IF(AND(B3843="H0 verdadera",E3843="Rechazar H0"),"Error tipo I",IF(AND(B3843="Ha verdadera",E3843="No rechazar H0"),"Error tipo II","Decisión correcta"))</f>
        <v>Decisión correcta</v>
      </c>
    </row>
    <row r="3844" customFormat="false" ht="15" hidden="false" customHeight="false" outlineLevel="0" collapsed="false">
      <c r="A3844" s="0" t="n">
        <v>3823</v>
      </c>
      <c r="B3844" s="0" t="s">
        <v>86</v>
      </c>
      <c r="C3844" s="17" t="n">
        <v>-0.508869402786773</v>
      </c>
      <c r="D3844" s="17" t="n">
        <f aca="false">(C3844-$B$4)/($B$6/SQRT($B$7))</f>
        <v>-2.54434701393386</v>
      </c>
      <c r="E3844" s="0" t="str">
        <f aca="false">IF(OR(AND($B$9="superior",D3844&gt;$B$10),AND($B$9="inferior",D3844&lt;-$B$10)),"Rechazar H0","No rechazar H0")</f>
        <v>Rechazar H0</v>
      </c>
      <c r="F3844" s="0" t="str">
        <f aca="false">IF(AND(B3844="H0 verdadera",E3844="Rechazar H0"),"Error tipo I",IF(AND(B3844="Ha verdadera",E3844="No rechazar H0"),"Error tipo II","Decisión correcta"))</f>
        <v>Decisión correcta</v>
      </c>
    </row>
    <row r="3845" customFormat="false" ht="15" hidden="false" customHeight="false" outlineLevel="0" collapsed="false">
      <c r="A3845" s="0" t="n">
        <v>3824</v>
      </c>
      <c r="B3845" s="0" t="s">
        <v>85</v>
      </c>
      <c r="C3845" s="17" t="n">
        <v>0.226971358977392</v>
      </c>
      <c r="D3845" s="17" t="n">
        <f aca="false">(C3845-$B$4)/($B$6/SQRT($B$7))</f>
        <v>1.13485679488696</v>
      </c>
      <c r="E3845" s="0" t="str">
        <f aca="false">IF(OR(AND($B$9="superior",D3845&gt;$B$10),AND($B$9="inferior",D3845&lt;-$B$10)),"Rechazar H0","No rechazar H0")</f>
        <v>No rechazar H0</v>
      </c>
      <c r="F3845" s="0" t="str">
        <f aca="false">IF(AND(B3845="H0 verdadera",E3845="Rechazar H0"),"Error tipo I",IF(AND(B3845="Ha verdadera",E3845="No rechazar H0"),"Error tipo II","Decisión correcta"))</f>
        <v>Decisión correcta</v>
      </c>
    </row>
    <row r="3846" customFormat="false" ht="15" hidden="false" customHeight="false" outlineLevel="0" collapsed="false">
      <c r="A3846" s="0" t="n">
        <v>3825</v>
      </c>
      <c r="B3846" s="0" t="s">
        <v>85</v>
      </c>
      <c r="C3846" s="17" t="n">
        <v>-0.23478134322868</v>
      </c>
      <c r="D3846" s="17" t="n">
        <f aca="false">(C3846-$B$4)/($B$6/SQRT($B$7))</f>
        <v>-1.1739067161434</v>
      </c>
      <c r="E3846" s="0" t="str">
        <f aca="false">IF(OR(AND($B$9="superior",D3846&gt;$B$10),AND($B$9="inferior",D3846&lt;-$B$10)),"Rechazar H0","No rechazar H0")</f>
        <v>No rechazar H0</v>
      </c>
      <c r="F3846" s="0" t="str">
        <f aca="false">IF(AND(B3846="H0 verdadera",E3846="Rechazar H0"),"Error tipo I",IF(AND(B3846="Ha verdadera",E3846="No rechazar H0"),"Error tipo II","Decisión correcta"))</f>
        <v>Decisión correcta</v>
      </c>
    </row>
    <row r="3847" customFormat="false" ht="15" hidden="false" customHeight="false" outlineLevel="0" collapsed="false">
      <c r="A3847" s="0" t="n">
        <v>3826</v>
      </c>
      <c r="B3847" s="0" t="s">
        <v>86</v>
      </c>
      <c r="C3847" s="17" t="n">
        <v>-0.456496239498927</v>
      </c>
      <c r="D3847" s="17" t="n">
        <f aca="false">(C3847-$B$4)/($B$6/SQRT($B$7))</f>
        <v>-2.28248119749464</v>
      </c>
      <c r="E3847" s="0" t="str">
        <f aca="false">IF(OR(AND($B$9="superior",D3847&gt;$B$10),AND($B$9="inferior",D3847&lt;-$B$10)),"Rechazar H0","No rechazar H0")</f>
        <v>Rechazar H0</v>
      </c>
      <c r="F3847" s="0" t="str">
        <f aca="false">IF(AND(B3847="H0 verdadera",E3847="Rechazar H0"),"Error tipo I",IF(AND(B3847="Ha verdadera",E3847="No rechazar H0"),"Error tipo II","Decisión correcta"))</f>
        <v>Decisión correcta</v>
      </c>
    </row>
    <row r="3848" customFormat="false" ht="15" hidden="false" customHeight="false" outlineLevel="0" collapsed="false">
      <c r="A3848" s="0" t="n">
        <v>3827</v>
      </c>
      <c r="B3848" s="0" t="s">
        <v>86</v>
      </c>
      <c r="C3848" s="17" t="n">
        <v>-0.421067016588124</v>
      </c>
      <c r="D3848" s="17" t="n">
        <f aca="false">(C3848-$B$4)/($B$6/SQRT($B$7))</f>
        <v>-2.10533508294062</v>
      </c>
      <c r="E3848" s="0" t="str">
        <f aca="false">IF(OR(AND($B$9="superior",D3848&gt;$B$10),AND($B$9="inferior",D3848&lt;-$B$10)),"Rechazar H0","No rechazar H0")</f>
        <v>Rechazar H0</v>
      </c>
      <c r="F3848" s="0" t="str">
        <f aca="false">IF(AND(B3848="H0 verdadera",E3848="Rechazar H0"),"Error tipo I",IF(AND(B3848="Ha verdadera",E3848="No rechazar H0"),"Error tipo II","Decisión correcta"))</f>
        <v>Decisión correcta</v>
      </c>
    </row>
    <row r="3849" customFormat="false" ht="15" hidden="false" customHeight="false" outlineLevel="0" collapsed="false">
      <c r="A3849" s="0" t="n">
        <v>3828</v>
      </c>
      <c r="B3849" s="0" t="s">
        <v>86</v>
      </c>
      <c r="C3849" s="17" t="n">
        <v>-0.25245195220008</v>
      </c>
      <c r="D3849" s="17" t="n">
        <f aca="false">(C3849-$B$4)/($B$6/SQRT($B$7))</f>
        <v>-1.2622597610004</v>
      </c>
      <c r="E3849" s="0" t="str">
        <f aca="false">IF(OR(AND($B$9="superior",D3849&gt;$B$10),AND($B$9="inferior",D3849&lt;-$B$10)),"Rechazar H0","No rechazar H0")</f>
        <v>No rechazar H0</v>
      </c>
      <c r="F3849" s="0" t="str">
        <f aca="false">IF(AND(B3849="H0 verdadera",E3849="Rechazar H0"),"Error tipo I",IF(AND(B3849="Ha verdadera",E3849="No rechazar H0"),"Error tipo II","Decisión correcta"))</f>
        <v>Error tipo II</v>
      </c>
    </row>
    <row r="3850" customFormat="false" ht="15" hidden="false" customHeight="false" outlineLevel="0" collapsed="false">
      <c r="A3850" s="0" t="n">
        <v>3829</v>
      </c>
      <c r="B3850" s="0" t="s">
        <v>85</v>
      </c>
      <c r="C3850" s="17" t="n">
        <v>0.34802876158032</v>
      </c>
      <c r="D3850" s="17" t="n">
        <f aca="false">(C3850-$B$4)/($B$6/SQRT($B$7))</f>
        <v>1.7401438079016</v>
      </c>
      <c r="E3850" s="0" t="str">
        <f aca="false">IF(OR(AND($B$9="superior",D3850&gt;$B$10),AND($B$9="inferior",D3850&lt;-$B$10)),"Rechazar H0","No rechazar H0")</f>
        <v>No rechazar H0</v>
      </c>
      <c r="F3850" s="0" t="str">
        <f aca="false">IF(AND(B3850="H0 verdadera",E3850="Rechazar H0"),"Error tipo I",IF(AND(B3850="Ha verdadera",E3850="No rechazar H0"),"Error tipo II","Decisión correcta"))</f>
        <v>Decisión correcta</v>
      </c>
    </row>
    <row r="3851" customFormat="false" ht="15" hidden="false" customHeight="false" outlineLevel="0" collapsed="false">
      <c r="A3851" s="0" t="n">
        <v>3830</v>
      </c>
      <c r="B3851" s="0" t="s">
        <v>86</v>
      </c>
      <c r="C3851" s="17" t="n">
        <v>0.00706063910054638</v>
      </c>
      <c r="D3851" s="17" t="n">
        <f aca="false">(C3851-$B$4)/($B$6/SQRT($B$7))</f>
        <v>0.0353031955027319</v>
      </c>
      <c r="E3851" s="0" t="str">
        <f aca="false">IF(OR(AND($B$9="superior",D3851&gt;$B$10),AND($B$9="inferior",D3851&lt;-$B$10)),"Rechazar H0","No rechazar H0")</f>
        <v>No rechazar H0</v>
      </c>
      <c r="F3851" s="0" t="str">
        <f aca="false">IF(AND(B3851="H0 verdadera",E3851="Rechazar H0"),"Error tipo I",IF(AND(B3851="Ha verdadera",E3851="No rechazar H0"),"Error tipo II","Decisión correcta"))</f>
        <v>Error tipo II</v>
      </c>
    </row>
    <row r="3852" customFormat="false" ht="15" hidden="false" customHeight="false" outlineLevel="0" collapsed="false">
      <c r="A3852" s="0" t="n">
        <v>3831</v>
      </c>
      <c r="B3852" s="0" t="s">
        <v>86</v>
      </c>
      <c r="C3852" s="17" t="n">
        <v>-0.421648519182179</v>
      </c>
      <c r="D3852" s="17" t="n">
        <f aca="false">(C3852-$B$4)/($B$6/SQRT($B$7))</f>
        <v>-2.1082425959109</v>
      </c>
      <c r="E3852" s="0" t="str">
        <f aca="false">IF(OR(AND($B$9="superior",D3852&gt;$B$10),AND($B$9="inferior",D3852&lt;-$B$10)),"Rechazar H0","No rechazar H0")</f>
        <v>Rechazar H0</v>
      </c>
      <c r="F3852" s="0" t="str">
        <f aca="false">IF(AND(B3852="H0 verdadera",E3852="Rechazar H0"),"Error tipo I",IF(AND(B3852="Ha verdadera",E3852="No rechazar H0"),"Error tipo II","Decisión correcta"))</f>
        <v>Decisión correcta</v>
      </c>
    </row>
    <row r="3853" customFormat="false" ht="15" hidden="false" customHeight="false" outlineLevel="0" collapsed="false">
      <c r="A3853" s="0" t="n">
        <v>3832</v>
      </c>
      <c r="B3853" s="0" t="s">
        <v>86</v>
      </c>
      <c r="C3853" s="17" t="n">
        <v>-0.863756670020896</v>
      </c>
      <c r="D3853" s="17" t="n">
        <f aca="false">(C3853-$B$4)/($B$6/SQRT($B$7))</f>
        <v>-4.31878335010448</v>
      </c>
      <c r="E3853" s="0" t="str">
        <f aca="false">IF(OR(AND($B$9="superior",D3853&gt;$B$10),AND($B$9="inferior",D3853&lt;-$B$10)),"Rechazar H0","No rechazar H0")</f>
        <v>Rechazar H0</v>
      </c>
      <c r="F3853" s="0" t="str">
        <f aca="false">IF(AND(B3853="H0 verdadera",E3853="Rechazar H0"),"Error tipo I",IF(AND(B3853="Ha verdadera",E3853="No rechazar H0"),"Error tipo II","Decisión correcta"))</f>
        <v>Decisión correcta</v>
      </c>
    </row>
    <row r="3854" customFormat="false" ht="15" hidden="false" customHeight="false" outlineLevel="0" collapsed="false">
      <c r="A3854" s="0" t="n">
        <v>3833</v>
      </c>
      <c r="B3854" s="0" t="s">
        <v>86</v>
      </c>
      <c r="C3854" s="17" t="n">
        <v>-0.337804171418956</v>
      </c>
      <c r="D3854" s="17" t="n">
        <f aca="false">(C3854-$B$4)/($B$6/SQRT($B$7))</f>
        <v>-1.68902085709478</v>
      </c>
      <c r="E3854" s="0" t="str">
        <f aca="false">IF(OR(AND($B$9="superior",D3854&gt;$B$10),AND($B$9="inferior",D3854&lt;-$B$10)),"Rechazar H0","No rechazar H0")</f>
        <v>Rechazar H0</v>
      </c>
      <c r="F3854" s="0" t="str">
        <f aca="false">IF(AND(B3854="H0 verdadera",E3854="Rechazar H0"),"Error tipo I",IF(AND(B3854="Ha verdadera",E3854="No rechazar H0"),"Error tipo II","Decisión correcta"))</f>
        <v>Decisión correcta</v>
      </c>
    </row>
    <row r="3855" customFormat="false" ht="15" hidden="false" customHeight="false" outlineLevel="0" collapsed="false">
      <c r="A3855" s="0" t="n">
        <v>3834</v>
      </c>
      <c r="B3855" s="0" t="s">
        <v>85</v>
      </c>
      <c r="C3855" s="17" t="n">
        <v>-0.0966105713452333</v>
      </c>
      <c r="D3855" s="17" t="n">
        <f aca="false">(C3855-$B$4)/($B$6/SQRT($B$7))</f>
        <v>-0.483052856726167</v>
      </c>
      <c r="E3855" s="0" t="str">
        <f aca="false">IF(OR(AND($B$9="superior",D3855&gt;$B$10),AND($B$9="inferior",D3855&lt;-$B$10)),"Rechazar H0","No rechazar H0")</f>
        <v>No rechazar H0</v>
      </c>
      <c r="F3855" s="0" t="str">
        <f aca="false">IF(AND(B3855="H0 verdadera",E3855="Rechazar H0"),"Error tipo I",IF(AND(B3855="Ha verdadera",E3855="No rechazar H0"),"Error tipo II","Decisión correcta"))</f>
        <v>Decisión correcta</v>
      </c>
    </row>
    <row r="3856" customFormat="false" ht="15" hidden="false" customHeight="false" outlineLevel="0" collapsed="false">
      <c r="A3856" s="0" t="n">
        <v>3835</v>
      </c>
      <c r="B3856" s="0" t="s">
        <v>86</v>
      </c>
      <c r="C3856" s="17" t="n">
        <v>-0.416276201565264</v>
      </c>
      <c r="D3856" s="17" t="n">
        <f aca="false">(C3856-$B$4)/($B$6/SQRT($B$7))</f>
        <v>-2.08138100782632</v>
      </c>
      <c r="E3856" s="0" t="str">
        <f aca="false">IF(OR(AND($B$9="superior",D3856&gt;$B$10),AND($B$9="inferior",D3856&lt;-$B$10)),"Rechazar H0","No rechazar H0")</f>
        <v>Rechazar H0</v>
      </c>
      <c r="F3856" s="0" t="str">
        <f aca="false">IF(AND(B3856="H0 verdadera",E3856="Rechazar H0"),"Error tipo I",IF(AND(B3856="Ha verdadera",E3856="No rechazar H0"),"Error tipo II","Decisión correcta"))</f>
        <v>Decisión correcta</v>
      </c>
    </row>
    <row r="3857" customFormat="false" ht="15" hidden="false" customHeight="false" outlineLevel="0" collapsed="false">
      <c r="A3857" s="0" t="n">
        <v>3836</v>
      </c>
      <c r="B3857" s="0" t="s">
        <v>85</v>
      </c>
      <c r="C3857" s="17" t="n">
        <v>0.172353655315717</v>
      </c>
      <c r="D3857" s="17" t="n">
        <f aca="false">(C3857-$B$4)/($B$6/SQRT($B$7))</f>
        <v>0.861768276578587</v>
      </c>
      <c r="E3857" s="0" t="str">
        <f aca="false">IF(OR(AND($B$9="superior",D3857&gt;$B$10),AND($B$9="inferior",D3857&lt;-$B$10)),"Rechazar H0","No rechazar H0")</f>
        <v>No rechazar H0</v>
      </c>
      <c r="F3857" s="0" t="str">
        <f aca="false">IF(AND(B3857="H0 verdadera",E3857="Rechazar H0"),"Error tipo I",IF(AND(B3857="Ha verdadera",E3857="No rechazar H0"),"Error tipo II","Decisión correcta"))</f>
        <v>Decisión correcta</v>
      </c>
    </row>
    <row r="3858" customFormat="false" ht="15" hidden="false" customHeight="false" outlineLevel="0" collapsed="false">
      <c r="A3858" s="0" t="n">
        <v>3837</v>
      </c>
      <c r="B3858" s="0" t="s">
        <v>85</v>
      </c>
      <c r="C3858" s="17" t="n">
        <v>0.0876772198933075</v>
      </c>
      <c r="D3858" s="17" t="n">
        <f aca="false">(C3858-$B$4)/($B$6/SQRT($B$7))</f>
        <v>0.438386099466537</v>
      </c>
      <c r="E3858" s="0" t="str">
        <f aca="false">IF(OR(AND($B$9="superior",D3858&gt;$B$10),AND($B$9="inferior",D3858&lt;-$B$10)),"Rechazar H0","No rechazar H0")</f>
        <v>No rechazar H0</v>
      </c>
      <c r="F3858" s="0" t="str">
        <f aca="false">IF(AND(B3858="H0 verdadera",E3858="Rechazar H0"),"Error tipo I",IF(AND(B3858="Ha verdadera",E3858="No rechazar H0"),"Error tipo II","Decisión correcta"))</f>
        <v>Decisión correcta</v>
      </c>
    </row>
    <row r="3859" customFormat="false" ht="15" hidden="false" customHeight="false" outlineLevel="0" collapsed="false">
      <c r="A3859" s="0" t="n">
        <v>3838</v>
      </c>
      <c r="B3859" s="0" t="s">
        <v>85</v>
      </c>
      <c r="C3859" s="17" t="n">
        <v>0.0696013404485587</v>
      </c>
      <c r="D3859" s="17" t="n">
        <f aca="false">(C3859-$B$4)/($B$6/SQRT($B$7))</f>
        <v>0.348006702242793</v>
      </c>
      <c r="E3859" s="0" t="str">
        <f aca="false">IF(OR(AND($B$9="superior",D3859&gt;$B$10),AND($B$9="inferior",D3859&lt;-$B$10)),"Rechazar H0","No rechazar H0")</f>
        <v>No rechazar H0</v>
      </c>
      <c r="F3859" s="0" t="str">
        <f aca="false">IF(AND(B3859="H0 verdadera",E3859="Rechazar H0"),"Error tipo I",IF(AND(B3859="Ha verdadera",E3859="No rechazar H0"),"Error tipo II","Decisión correcta"))</f>
        <v>Decisión correcta</v>
      </c>
    </row>
    <row r="3860" customFormat="false" ht="15" hidden="false" customHeight="false" outlineLevel="0" collapsed="false">
      <c r="A3860" s="0" t="n">
        <v>3839</v>
      </c>
      <c r="B3860" s="0" t="s">
        <v>85</v>
      </c>
      <c r="C3860" s="17" t="n">
        <v>-0.252490773366885</v>
      </c>
      <c r="D3860" s="17" t="n">
        <f aca="false">(C3860-$B$4)/($B$6/SQRT($B$7))</f>
        <v>-1.26245386683442</v>
      </c>
      <c r="E3860" s="0" t="str">
        <f aca="false">IF(OR(AND($B$9="superior",D3860&gt;$B$10),AND($B$9="inferior",D3860&lt;-$B$10)),"Rechazar H0","No rechazar H0")</f>
        <v>No rechazar H0</v>
      </c>
      <c r="F3860" s="0" t="str">
        <f aca="false">IF(AND(B3860="H0 verdadera",E3860="Rechazar H0"),"Error tipo I",IF(AND(B3860="Ha verdadera",E3860="No rechazar H0"),"Error tipo II","Decisión correcta"))</f>
        <v>Decisión correcta</v>
      </c>
    </row>
    <row r="3861" customFormat="false" ht="15" hidden="false" customHeight="false" outlineLevel="0" collapsed="false">
      <c r="A3861" s="0" t="n">
        <v>3840</v>
      </c>
      <c r="B3861" s="0" t="s">
        <v>85</v>
      </c>
      <c r="C3861" s="17" t="n">
        <v>-0.112458027732932</v>
      </c>
      <c r="D3861" s="17" t="n">
        <f aca="false">(C3861-$B$4)/($B$6/SQRT($B$7))</f>
        <v>-0.562290138664661</v>
      </c>
      <c r="E3861" s="0" t="str">
        <f aca="false">IF(OR(AND($B$9="superior",D3861&gt;$B$10),AND($B$9="inferior",D3861&lt;-$B$10)),"Rechazar H0","No rechazar H0")</f>
        <v>No rechazar H0</v>
      </c>
      <c r="F3861" s="0" t="str">
        <f aca="false">IF(AND(B3861="H0 verdadera",E3861="Rechazar H0"),"Error tipo I",IF(AND(B3861="Ha verdadera",E3861="No rechazar H0"),"Error tipo II","Decisión correcta"))</f>
        <v>Decisión correcta</v>
      </c>
    </row>
    <row r="3862" customFormat="false" ht="15" hidden="false" customHeight="false" outlineLevel="0" collapsed="false">
      <c r="A3862" s="0" t="n">
        <v>3841</v>
      </c>
      <c r="B3862" s="0" t="s">
        <v>85</v>
      </c>
      <c r="C3862" s="17" t="n">
        <v>-0.104388367634367</v>
      </c>
      <c r="D3862" s="17" t="n">
        <f aca="false">(C3862-$B$4)/($B$6/SQRT($B$7))</f>
        <v>-0.521941838171833</v>
      </c>
      <c r="E3862" s="0" t="str">
        <f aca="false">IF(OR(AND($B$9="superior",D3862&gt;$B$10),AND($B$9="inferior",D3862&lt;-$B$10)),"Rechazar H0","No rechazar H0")</f>
        <v>No rechazar H0</v>
      </c>
      <c r="F3862" s="0" t="str">
        <f aca="false">IF(AND(B3862="H0 verdadera",E3862="Rechazar H0"),"Error tipo I",IF(AND(B3862="Ha verdadera",E3862="No rechazar H0"),"Error tipo II","Decisión correcta"))</f>
        <v>Decisión correcta</v>
      </c>
    </row>
    <row r="3863" customFormat="false" ht="15" hidden="false" customHeight="false" outlineLevel="0" collapsed="false">
      <c r="A3863" s="0" t="n">
        <v>3842</v>
      </c>
      <c r="B3863" s="0" t="s">
        <v>85</v>
      </c>
      <c r="C3863" s="17" t="n">
        <v>0.251854868214603</v>
      </c>
      <c r="D3863" s="17" t="n">
        <f aca="false">(C3863-$B$4)/($B$6/SQRT($B$7))</f>
        <v>1.25927434107301</v>
      </c>
      <c r="E3863" s="0" t="str">
        <f aca="false">IF(OR(AND($B$9="superior",D3863&gt;$B$10),AND($B$9="inferior",D3863&lt;-$B$10)),"Rechazar H0","No rechazar H0")</f>
        <v>No rechazar H0</v>
      </c>
      <c r="F3863" s="0" t="str">
        <f aca="false">IF(AND(B3863="H0 verdadera",E3863="Rechazar H0"),"Error tipo I",IF(AND(B3863="Ha verdadera",E3863="No rechazar H0"),"Error tipo II","Decisión correcta"))</f>
        <v>Decisión correcta</v>
      </c>
    </row>
    <row r="3864" customFormat="false" ht="15" hidden="false" customHeight="false" outlineLevel="0" collapsed="false">
      <c r="A3864" s="0" t="n">
        <v>3843</v>
      </c>
      <c r="B3864" s="0" t="s">
        <v>86</v>
      </c>
      <c r="C3864" s="17" t="n">
        <v>-0.709750477310963</v>
      </c>
      <c r="D3864" s="17" t="n">
        <f aca="false">(C3864-$B$4)/($B$6/SQRT($B$7))</f>
        <v>-3.54875238655482</v>
      </c>
      <c r="E3864" s="0" t="str">
        <f aca="false">IF(OR(AND($B$9="superior",D3864&gt;$B$10),AND($B$9="inferior",D3864&lt;-$B$10)),"Rechazar H0","No rechazar H0")</f>
        <v>Rechazar H0</v>
      </c>
      <c r="F3864" s="0" t="str">
        <f aca="false">IF(AND(B3864="H0 verdadera",E3864="Rechazar H0"),"Error tipo I",IF(AND(B3864="Ha verdadera",E3864="No rechazar H0"),"Error tipo II","Decisión correcta"))</f>
        <v>Decisión correcta</v>
      </c>
    </row>
    <row r="3865" customFormat="false" ht="15" hidden="false" customHeight="false" outlineLevel="0" collapsed="false">
      <c r="A3865" s="0" t="n">
        <v>3844</v>
      </c>
      <c r="B3865" s="0" t="s">
        <v>85</v>
      </c>
      <c r="C3865" s="17" t="n">
        <v>0.387779893367191</v>
      </c>
      <c r="D3865" s="17" t="n">
        <f aca="false">(C3865-$B$4)/($B$6/SQRT($B$7))</f>
        <v>1.93889946683596</v>
      </c>
      <c r="E3865" s="0" t="str">
        <f aca="false">IF(OR(AND($B$9="superior",D3865&gt;$B$10),AND($B$9="inferior",D3865&lt;-$B$10)),"Rechazar H0","No rechazar H0")</f>
        <v>No rechazar H0</v>
      </c>
      <c r="F3865" s="0" t="str">
        <f aca="false">IF(AND(B3865="H0 verdadera",E3865="Rechazar H0"),"Error tipo I",IF(AND(B3865="Ha verdadera",E3865="No rechazar H0"),"Error tipo II","Decisión correcta"))</f>
        <v>Decisión correcta</v>
      </c>
    </row>
    <row r="3866" customFormat="false" ht="15" hidden="false" customHeight="false" outlineLevel="0" collapsed="false">
      <c r="A3866" s="0" t="n">
        <v>3845</v>
      </c>
      <c r="B3866" s="0" t="s">
        <v>86</v>
      </c>
      <c r="C3866" s="17" t="n">
        <v>-0.348126179762056</v>
      </c>
      <c r="D3866" s="17" t="n">
        <f aca="false">(C3866-$B$4)/($B$6/SQRT($B$7))</f>
        <v>-1.74063089881028</v>
      </c>
      <c r="E3866" s="0" t="str">
        <f aca="false">IF(OR(AND($B$9="superior",D3866&gt;$B$10),AND($B$9="inferior",D3866&lt;-$B$10)),"Rechazar H0","No rechazar H0")</f>
        <v>Rechazar H0</v>
      </c>
      <c r="F3866" s="0" t="str">
        <f aca="false">IF(AND(B3866="H0 verdadera",E3866="Rechazar H0"),"Error tipo I",IF(AND(B3866="Ha verdadera",E3866="No rechazar H0"),"Error tipo II","Decisión correcta"))</f>
        <v>Decisión correcta</v>
      </c>
    </row>
    <row r="3867" customFormat="false" ht="15" hidden="false" customHeight="false" outlineLevel="0" collapsed="false">
      <c r="A3867" s="0" t="n">
        <v>3846</v>
      </c>
      <c r="B3867" s="0" t="s">
        <v>86</v>
      </c>
      <c r="C3867" s="17" t="n">
        <v>-0.144375758116517</v>
      </c>
      <c r="D3867" s="17" t="n">
        <f aca="false">(C3867-$B$4)/($B$6/SQRT($B$7))</f>
        <v>-0.721878790582583</v>
      </c>
      <c r="E3867" s="0" t="str">
        <f aca="false">IF(OR(AND($B$9="superior",D3867&gt;$B$10),AND($B$9="inferior",D3867&lt;-$B$10)),"Rechazar H0","No rechazar H0")</f>
        <v>No rechazar H0</v>
      </c>
      <c r="F3867" s="0" t="str">
        <f aca="false">IF(AND(B3867="H0 verdadera",E3867="Rechazar H0"),"Error tipo I",IF(AND(B3867="Ha verdadera",E3867="No rechazar H0"),"Error tipo II","Decisión correcta"))</f>
        <v>Error tipo II</v>
      </c>
    </row>
    <row r="3868" customFormat="false" ht="15" hidden="false" customHeight="false" outlineLevel="0" collapsed="false">
      <c r="A3868" s="0" t="n">
        <v>3847</v>
      </c>
      <c r="B3868" s="0" t="s">
        <v>85</v>
      </c>
      <c r="C3868" s="17" t="n">
        <v>0.0401530316107016</v>
      </c>
      <c r="D3868" s="17" t="n">
        <f aca="false">(C3868-$B$4)/($B$6/SQRT($B$7))</f>
        <v>0.200765158053508</v>
      </c>
      <c r="E3868" s="0" t="str">
        <f aca="false">IF(OR(AND($B$9="superior",D3868&gt;$B$10),AND($B$9="inferior",D3868&lt;-$B$10)),"Rechazar H0","No rechazar H0")</f>
        <v>No rechazar H0</v>
      </c>
      <c r="F3868" s="0" t="str">
        <f aca="false">IF(AND(B3868="H0 verdadera",E3868="Rechazar H0"),"Error tipo I",IF(AND(B3868="Ha verdadera",E3868="No rechazar H0"),"Error tipo II","Decisión correcta"))</f>
        <v>Decisión correcta</v>
      </c>
    </row>
    <row r="3869" customFormat="false" ht="15" hidden="false" customHeight="false" outlineLevel="0" collapsed="false">
      <c r="A3869" s="0" t="n">
        <v>3848</v>
      </c>
      <c r="B3869" s="0" t="s">
        <v>85</v>
      </c>
      <c r="C3869" s="17" t="n">
        <v>0.0481246515730968</v>
      </c>
      <c r="D3869" s="17" t="n">
        <f aca="false">(C3869-$B$4)/($B$6/SQRT($B$7))</f>
        <v>0.240623257865484</v>
      </c>
      <c r="E3869" s="0" t="str">
        <f aca="false">IF(OR(AND($B$9="superior",D3869&gt;$B$10),AND($B$9="inferior",D3869&lt;-$B$10)),"Rechazar H0","No rechazar H0")</f>
        <v>No rechazar H0</v>
      </c>
      <c r="F3869" s="0" t="str">
        <f aca="false">IF(AND(B3869="H0 verdadera",E3869="Rechazar H0"),"Error tipo I",IF(AND(B3869="Ha verdadera",E3869="No rechazar H0"),"Error tipo II","Decisión correcta"))</f>
        <v>Decisión correcta</v>
      </c>
    </row>
    <row r="3870" customFormat="false" ht="15" hidden="false" customHeight="false" outlineLevel="0" collapsed="false">
      <c r="A3870" s="0" t="n">
        <v>3849</v>
      </c>
      <c r="B3870" s="0" t="s">
        <v>86</v>
      </c>
      <c r="C3870" s="17" t="n">
        <v>-0.430811961054104</v>
      </c>
      <c r="D3870" s="17" t="n">
        <f aca="false">(C3870-$B$4)/($B$6/SQRT($B$7))</f>
        <v>-2.15405980527052</v>
      </c>
      <c r="E3870" s="0" t="str">
        <f aca="false">IF(OR(AND($B$9="superior",D3870&gt;$B$10),AND($B$9="inferior",D3870&lt;-$B$10)),"Rechazar H0","No rechazar H0")</f>
        <v>Rechazar H0</v>
      </c>
      <c r="F3870" s="0" t="str">
        <f aca="false">IF(AND(B3870="H0 verdadera",E3870="Rechazar H0"),"Error tipo I",IF(AND(B3870="Ha verdadera",E3870="No rechazar H0"),"Error tipo II","Decisión correcta"))</f>
        <v>Decisión correcta</v>
      </c>
    </row>
    <row r="3871" customFormat="false" ht="15" hidden="false" customHeight="false" outlineLevel="0" collapsed="false">
      <c r="A3871" s="0" t="n">
        <v>3850</v>
      </c>
      <c r="B3871" s="0" t="s">
        <v>85</v>
      </c>
      <c r="C3871" s="17" t="n">
        <v>-0.187471066254347</v>
      </c>
      <c r="D3871" s="17" t="n">
        <f aca="false">(C3871-$B$4)/($B$6/SQRT($B$7))</f>
        <v>-0.937355331271734</v>
      </c>
      <c r="E3871" s="0" t="str">
        <f aca="false">IF(OR(AND($B$9="superior",D3871&gt;$B$10),AND($B$9="inferior",D3871&lt;-$B$10)),"Rechazar H0","No rechazar H0")</f>
        <v>No rechazar H0</v>
      </c>
      <c r="F3871" s="0" t="str">
        <f aca="false">IF(AND(B3871="H0 verdadera",E3871="Rechazar H0"),"Error tipo I",IF(AND(B3871="Ha verdadera",E3871="No rechazar H0"),"Error tipo II","Decisión correcta"))</f>
        <v>Decisión correcta</v>
      </c>
    </row>
    <row r="3872" customFormat="false" ht="15" hidden="false" customHeight="false" outlineLevel="0" collapsed="false">
      <c r="A3872" s="0" t="n">
        <v>3851</v>
      </c>
      <c r="B3872" s="0" t="s">
        <v>86</v>
      </c>
      <c r="C3872" s="17" t="n">
        <v>-0.595520559916951</v>
      </c>
      <c r="D3872" s="17" t="n">
        <f aca="false">(C3872-$B$4)/($B$6/SQRT($B$7))</f>
        <v>-2.97760279958476</v>
      </c>
      <c r="E3872" s="0" t="str">
        <f aca="false">IF(OR(AND($B$9="superior",D3872&gt;$B$10),AND($B$9="inferior",D3872&lt;-$B$10)),"Rechazar H0","No rechazar H0")</f>
        <v>Rechazar H0</v>
      </c>
      <c r="F3872" s="0" t="str">
        <f aca="false">IF(AND(B3872="H0 verdadera",E3872="Rechazar H0"),"Error tipo I",IF(AND(B3872="Ha verdadera",E3872="No rechazar H0"),"Error tipo II","Decisión correcta"))</f>
        <v>Decisión correcta</v>
      </c>
    </row>
    <row r="3873" customFormat="false" ht="15" hidden="false" customHeight="false" outlineLevel="0" collapsed="false">
      <c r="A3873" s="0" t="n">
        <v>3852</v>
      </c>
      <c r="B3873" s="0" t="s">
        <v>85</v>
      </c>
      <c r="C3873" s="17" t="n">
        <v>-0.0198485591840141</v>
      </c>
      <c r="D3873" s="17" t="n">
        <f aca="false">(C3873-$B$4)/($B$6/SQRT($B$7))</f>
        <v>-0.0992427959200706</v>
      </c>
      <c r="E3873" s="0" t="str">
        <f aca="false">IF(OR(AND($B$9="superior",D3873&gt;$B$10),AND($B$9="inferior",D3873&lt;-$B$10)),"Rechazar H0","No rechazar H0")</f>
        <v>No rechazar H0</v>
      </c>
      <c r="F3873" s="0" t="str">
        <f aca="false">IF(AND(B3873="H0 verdadera",E3873="Rechazar H0"),"Error tipo I",IF(AND(B3873="Ha verdadera",E3873="No rechazar H0"),"Error tipo II","Decisión correcta"))</f>
        <v>Decisión correcta</v>
      </c>
    </row>
    <row r="3874" customFormat="false" ht="15" hidden="false" customHeight="false" outlineLevel="0" collapsed="false">
      <c r="A3874" s="0" t="n">
        <v>3853</v>
      </c>
      <c r="B3874" s="0" t="s">
        <v>86</v>
      </c>
      <c r="C3874" s="17" t="n">
        <v>-0.477369022704372</v>
      </c>
      <c r="D3874" s="17" t="n">
        <f aca="false">(C3874-$B$4)/($B$6/SQRT($B$7))</f>
        <v>-2.38684511352186</v>
      </c>
      <c r="E3874" s="0" t="str">
        <f aca="false">IF(OR(AND($B$9="superior",D3874&gt;$B$10),AND($B$9="inferior",D3874&lt;-$B$10)),"Rechazar H0","No rechazar H0")</f>
        <v>Rechazar H0</v>
      </c>
      <c r="F3874" s="0" t="str">
        <f aca="false">IF(AND(B3874="H0 verdadera",E3874="Rechazar H0"),"Error tipo I",IF(AND(B3874="Ha verdadera",E3874="No rechazar H0"),"Error tipo II","Decisión correcta"))</f>
        <v>Decisión correcta</v>
      </c>
    </row>
    <row r="3875" customFormat="false" ht="15" hidden="false" customHeight="false" outlineLevel="0" collapsed="false">
      <c r="A3875" s="0" t="n">
        <v>3854</v>
      </c>
      <c r="B3875" s="0" t="s">
        <v>86</v>
      </c>
      <c r="C3875" s="17" t="n">
        <v>-0.560683958300042</v>
      </c>
      <c r="D3875" s="17" t="n">
        <f aca="false">(C3875-$B$4)/($B$6/SQRT($B$7))</f>
        <v>-2.80341979150021</v>
      </c>
      <c r="E3875" s="0" t="str">
        <f aca="false">IF(OR(AND($B$9="superior",D3875&gt;$B$10),AND($B$9="inferior",D3875&lt;-$B$10)),"Rechazar H0","No rechazar H0")</f>
        <v>Rechazar H0</v>
      </c>
      <c r="F3875" s="0" t="str">
        <f aca="false">IF(AND(B3875="H0 verdadera",E3875="Rechazar H0"),"Error tipo I",IF(AND(B3875="Ha verdadera",E3875="No rechazar H0"),"Error tipo II","Decisión correcta"))</f>
        <v>Decisión correcta</v>
      </c>
    </row>
    <row r="3876" customFormat="false" ht="15" hidden="false" customHeight="false" outlineLevel="0" collapsed="false">
      <c r="A3876" s="0" t="n">
        <v>3855</v>
      </c>
      <c r="B3876" s="0" t="s">
        <v>85</v>
      </c>
      <c r="C3876" s="17" t="n">
        <v>-0.29412644085963</v>
      </c>
      <c r="D3876" s="17" t="n">
        <f aca="false">(C3876-$B$4)/($B$6/SQRT($B$7))</f>
        <v>-1.47063220429815</v>
      </c>
      <c r="E3876" s="0" t="str">
        <f aca="false">IF(OR(AND($B$9="superior",D3876&gt;$B$10),AND($B$9="inferior",D3876&lt;-$B$10)),"Rechazar H0","No rechazar H0")</f>
        <v>No rechazar H0</v>
      </c>
      <c r="F3876" s="0" t="str">
        <f aca="false">IF(AND(B3876="H0 verdadera",E3876="Rechazar H0"),"Error tipo I",IF(AND(B3876="Ha verdadera",E3876="No rechazar H0"),"Error tipo II","Decisión correcta"))</f>
        <v>Decisión correcta</v>
      </c>
    </row>
    <row r="3877" customFormat="false" ht="15" hidden="false" customHeight="false" outlineLevel="0" collapsed="false">
      <c r="A3877" s="0" t="n">
        <v>3856</v>
      </c>
      <c r="B3877" s="0" t="s">
        <v>85</v>
      </c>
      <c r="C3877" s="17" t="n">
        <v>0.0763960655069479</v>
      </c>
      <c r="D3877" s="17" t="n">
        <f aca="false">(C3877-$B$4)/($B$6/SQRT($B$7))</f>
        <v>0.381980327534739</v>
      </c>
      <c r="E3877" s="0" t="str">
        <f aca="false">IF(OR(AND($B$9="superior",D3877&gt;$B$10),AND($B$9="inferior",D3877&lt;-$B$10)),"Rechazar H0","No rechazar H0")</f>
        <v>No rechazar H0</v>
      </c>
      <c r="F3877" s="0" t="str">
        <f aca="false">IF(AND(B3877="H0 verdadera",E3877="Rechazar H0"),"Error tipo I",IF(AND(B3877="Ha verdadera",E3877="No rechazar H0"),"Error tipo II","Decisión correcta"))</f>
        <v>Decisión correcta</v>
      </c>
    </row>
    <row r="3878" customFormat="false" ht="15" hidden="false" customHeight="false" outlineLevel="0" collapsed="false">
      <c r="A3878" s="0" t="n">
        <v>3857</v>
      </c>
      <c r="B3878" s="0" t="s">
        <v>86</v>
      </c>
      <c r="C3878" s="17" t="n">
        <v>-0.444667861991705</v>
      </c>
      <c r="D3878" s="17" t="n">
        <f aca="false">(C3878-$B$4)/($B$6/SQRT($B$7))</f>
        <v>-2.22333930995852</v>
      </c>
      <c r="E3878" s="0" t="str">
        <f aca="false">IF(OR(AND($B$9="superior",D3878&gt;$B$10),AND($B$9="inferior",D3878&lt;-$B$10)),"Rechazar H0","No rechazar H0")</f>
        <v>Rechazar H0</v>
      </c>
      <c r="F3878" s="0" t="str">
        <f aca="false">IF(AND(B3878="H0 verdadera",E3878="Rechazar H0"),"Error tipo I",IF(AND(B3878="Ha verdadera",E3878="No rechazar H0"),"Error tipo II","Decisión correcta"))</f>
        <v>Decisión correcta</v>
      </c>
    </row>
    <row r="3879" customFormat="false" ht="15" hidden="false" customHeight="false" outlineLevel="0" collapsed="false">
      <c r="A3879" s="0" t="n">
        <v>3858</v>
      </c>
      <c r="B3879" s="0" t="s">
        <v>86</v>
      </c>
      <c r="C3879" s="17" t="n">
        <v>-0.565260215443071</v>
      </c>
      <c r="D3879" s="17" t="n">
        <f aca="false">(C3879-$B$4)/($B$6/SQRT($B$7))</f>
        <v>-2.82630107721536</v>
      </c>
      <c r="E3879" s="0" t="str">
        <f aca="false">IF(OR(AND($B$9="superior",D3879&gt;$B$10),AND($B$9="inferior",D3879&lt;-$B$10)),"Rechazar H0","No rechazar H0")</f>
        <v>Rechazar H0</v>
      </c>
      <c r="F3879" s="0" t="str">
        <f aca="false">IF(AND(B3879="H0 verdadera",E3879="Rechazar H0"),"Error tipo I",IF(AND(B3879="Ha verdadera",E3879="No rechazar H0"),"Error tipo II","Decisión correcta"))</f>
        <v>Decisión correcta</v>
      </c>
    </row>
    <row r="3880" customFormat="false" ht="15" hidden="false" customHeight="false" outlineLevel="0" collapsed="false">
      <c r="A3880" s="0" t="n">
        <v>3859</v>
      </c>
      <c r="B3880" s="0" t="s">
        <v>86</v>
      </c>
      <c r="C3880" s="17" t="n">
        <v>-0.186599164294306</v>
      </c>
      <c r="D3880" s="17" t="n">
        <f aca="false">(C3880-$B$4)/($B$6/SQRT($B$7))</f>
        <v>-0.93299582147153</v>
      </c>
      <c r="E3880" s="0" t="str">
        <f aca="false">IF(OR(AND($B$9="superior",D3880&gt;$B$10),AND($B$9="inferior",D3880&lt;-$B$10)),"Rechazar H0","No rechazar H0")</f>
        <v>No rechazar H0</v>
      </c>
      <c r="F3880" s="0" t="str">
        <f aca="false">IF(AND(B3880="H0 verdadera",E3880="Rechazar H0"),"Error tipo I",IF(AND(B3880="Ha verdadera",E3880="No rechazar H0"),"Error tipo II","Decisión correcta"))</f>
        <v>Error tipo II</v>
      </c>
    </row>
    <row r="3881" customFormat="false" ht="15" hidden="false" customHeight="false" outlineLevel="0" collapsed="false">
      <c r="A3881" s="0" t="n">
        <v>3860</v>
      </c>
      <c r="B3881" s="0" t="s">
        <v>86</v>
      </c>
      <c r="C3881" s="17" t="n">
        <v>-0.689495849839905</v>
      </c>
      <c r="D3881" s="17" t="n">
        <f aca="false">(C3881-$B$4)/($B$6/SQRT($B$7))</f>
        <v>-3.44747924919952</v>
      </c>
      <c r="E3881" s="0" t="str">
        <f aca="false">IF(OR(AND($B$9="superior",D3881&gt;$B$10),AND($B$9="inferior",D3881&lt;-$B$10)),"Rechazar H0","No rechazar H0")</f>
        <v>Rechazar H0</v>
      </c>
      <c r="F3881" s="0" t="str">
        <f aca="false">IF(AND(B3881="H0 verdadera",E3881="Rechazar H0"),"Error tipo I",IF(AND(B3881="Ha verdadera",E3881="No rechazar H0"),"Error tipo II","Decisión correcta"))</f>
        <v>Decisión correcta</v>
      </c>
    </row>
    <row r="3882" customFormat="false" ht="15" hidden="false" customHeight="false" outlineLevel="0" collapsed="false">
      <c r="A3882" s="0" t="n">
        <v>3861</v>
      </c>
      <c r="B3882" s="0" t="s">
        <v>86</v>
      </c>
      <c r="C3882" s="17" t="n">
        <v>-0.405277343152914</v>
      </c>
      <c r="D3882" s="17" t="n">
        <f aca="false">(C3882-$B$4)/($B$6/SQRT($B$7))</f>
        <v>-2.02638671576457</v>
      </c>
      <c r="E3882" s="0" t="str">
        <f aca="false">IF(OR(AND($B$9="superior",D3882&gt;$B$10),AND($B$9="inferior",D3882&lt;-$B$10)),"Rechazar H0","No rechazar H0")</f>
        <v>Rechazar H0</v>
      </c>
      <c r="F3882" s="0" t="str">
        <f aca="false">IF(AND(B3882="H0 verdadera",E3882="Rechazar H0"),"Error tipo I",IF(AND(B3882="Ha verdadera",E3882="No rechazar H0"),"Error tipo II","Decisión correcta"))</f>
        <v>Decisión correcta</v>
      </c>
    </row>
    <row r="3883" customFormat="false" ht="15" hidden="false" customHeight="false" outlineLevel="0" collapsed="false">
      <c r="A3883" s="0" t="n">
        <v>3862</v>
      </c>
      <c r="B3883" s="0" t="s">
        <v>85</v>
      </c>
      <c r="C3883" s="17" t="n">
        <v>-0.126215825387637</v>
      </c>
      <c r="D3883" s="17" t="n">
        <f aca="false">(C3883-$B$4)/($B$6/SQRT($B$7))</f>
        <v>-0.631079126938186</v>
      </c>
      <c r="E3883" s="0" t="str">
        <f aca="false">IF(OR(AND($B$9="superior",D3883&gt;$B$10),AND($B$9="inferior",D3883&lt;-$B$10)),"Rechazar H0","No rechazar H0")</f>
        <v>No rechazar H0</v>
      </c>
      <c r="F3883" s="0" t="str">
        <f aca="false">IF(AND(B3883="H0 verdadera",E3883="Rechazar H0"),"Error tipo I",IF(AND(B3883="Ha verdadera",E3883="No rechazar H0"),"Error tipo II","Decisión correcta"))</f>
        <v>Decisión correcta</v>
      </c>
    </row>
    <row r="3884" customFormat="false" ht="15" hidden="false" customHeight="false" outlineLevel="0" collapsed="false">
      <c r="A3884" s="0" t="n">
        <v>3863</v>
      </c>
      <c r="B3884" s="0" t="s">
        <v>86</v>
      </c>
      <c r="C3884" s="17" t="n">
        <v>-0.440834608389118</v>
      </c>
      <c r="D3884" s="17" t="n">
        <f aca="false">(C3884-$B$4)/($B$6/SQRT($B$7))</f>
        <v>-2.20417304194559</v>
      </c>
      <c r="E3884" s="0" t="str">
        <f aca="false">IF(OR(AND($B$9="superior",D3884&gt;$B$10),AND($B$9="inferior",D3884&lt;-$B$10)),"Rechazar H0","No rechazar H0")</f>
        <v>Rechazar H0</v>
      </c>
      <c r="F3884" s="0" t="str">
        <f aca="false">IF(AND(B3884="H0 verdadera",E3884="Rechazar H0"),"Error tipo I",IF(AND(B3884="Ha verdadera",E3884="No rechazar H0"),"Error tipo II","Decisión correcta"))</f>
        <v>Decisión correcta</v>
      </c>
    </row>
    <row r="3885" customFormat="false" ht="15" hidden="false" customHeight="false" outlineLevel="0" collapsed="false">
      <c r="A3885" s="0" t="n">
        <v>3864</v>
      </c>
      <c r="B3885" s="0" t="s">
        <v>85</v>
      </c>
      <c r="C3885" s="17" t="n">
        <v>-0.104408297396035</v>
      </c>
      <c r="D3885" s="17" t="n">
        <f aca="false">(C3885-$B$4)/($B$6/SQRT($B$7))</f>
        <v>-0.522041486980176</v>
      </c>
      <c r="E3885" s="0" t="str">
        <f aca="false">IF(OR(AND($B$9="superior",D3885&gt;$B$10),AND($B$9="inferior",D3885&lt;-$B$10)),"Rechazar H0","No rechazar H0")</f>
        <v>No rechazar H0</v>
      </c>
      <c r="F3885" s="0" t="str">
        <f aca="false">IF(AND(B3885="H0 verdadera",E3885="Rechazar H0"),"Error tipo I",IF(AND(B3885="Ha verdadera",E3885="No rechazar H0"),"Error tipo II","Decisión correcta"))</f>
        <v>Decisión correcta</v>
      </c>
    </row>
    <row r="3886" customFormat="false" ht="15" hidden="false" customHeight="false" outlineLevel="0" collapsed="false">
      <c r="A3886" s="0" t="n">
        <v>3865</v>
      </c>
      <c r="B3886" s="0" t="s">
        <v>86</v>
      </c>
      <c r="C3886" s="17" t="n">
        <v>-0.552933353878426</v>
      </c>
      <c r="D3886" s="17" t="n">
        <f aca="false">(C3886-$B$4)/($B$6/SQRT($B$7))</f>
        <v>-2.76466676939213</v>
      </c>
      <c r="E3886" s="0" t="str">
        <f aca="false">IF(OR(AND($B$9="superior",D3886&gt;$B$10),AND($B$9="inferior",D3886&lt;-$B$10)),"Rechazar H0","No rechazar H0")</f>
        <v>Rechazar H0</v>
      </c>
      <c r="F3886" s="0" t="str">
        <f aca="false">IF(AND(B3886="H0 verdadera",E3886="Rechazar H0"),"Error tipo I",IF(AND(B3886="Ha verdadera",E3886="No rechazar H0"),"Error tipo II","Decisión correcta"))</f>
        <v>Decisión correcta</v>
      </c>
    </row>
    <row r="3887" customFormat="false" ht="15" hidden="false" customHeight="false" outlineLevel="0" collapsed="false">
      <c r="A3887" s="0" t="n">
        <v>3866</v>
      </c>
      <c r="B3887" s="0" t="s">
        <v>85</v>
      </c>
      <c r="C3887" s="17" t="n">
        <v>0.156078295928999</v>
      </c>
      <c r="D3887" s="17" t="n">
        <f aca="false">(C3887-$B$4)/($B$6/SQRT($B$7))</f>
        <v>0.780391479644993</v>
      </c>
      <c r="E3887" s="0" t="str">
        <f aca="false">IF(OR(AND($B$9="superior",D3887&gt;$B$10),AND($B$9="inferior",D3887&lt;-$B$10)),"Rechazar H0","No rechazar H0")</f>
        <v>No rechazar H0</v>
      </c>
      <c r="F3887" s="0" t="str">
        <f aca="false">IF(AND(B3887="H0 verdadera",E3887="Rechazar H0"),"Error tipo I",IF(AND(B3887="Ha verdadera",E3887="No rechazar H0"),"Error tipo II","Decisión correcta"))</f>
        <v>Decisión correcta</v>
      </c>
    </row>
    <row r="3888" customFormat="false" ht="15" hidden="false" customHeight="false" outlineLevel="0" collapsed="false">
      <c r="A3888" s="0" t="n">
        <v>3867</v>
      </c>
      <c r="B3888" s="0" t="s">
        <v>86</v>
      </c>
      <c r="C3888" s="17" t="n">
        <v>-0.586279157128948</v>
      </c>
      <c r="D3888" s="17" t="n">
        <f aca="false">(C3888-$B$4)/($B$6/SQRT($B$7))</f>
        <v>-2.93139578564474</v>
      </c>
      <c r="E3888" s="0" t="str">
        <f aca="false">IF(OR(AND($B$9="superior",D3888&gt;$B$10),AND($B$9="inferior",D3888&lt;-$B$10)),"Rechazar H0","No rechazar H0")</f>
        <v>Rechazar H0</v>
      </c>
      <c r="F3888" s="0" t="str">
        <f aca="false">IF(AND(B3888="H0 verdadera",E3888="Rechazar H0"),"Error tipo I",IF(AND(B3888="Ha verdadera",E3888="No rechazar H0"),"Error tipo II","Decisión correcta"))</f>
        <v>Decisión correcta</v>
      </c>
    </row>
    <row r="3889" customFormat="false" ht="15" hidden="false" customHeight="false" outlineLevel="0" collapsed="false">
      <c r="A3889" s="0" t="n">
        <v>3868</v>
      </c>
      <c r="B3889" s="0" t="s">
        <v>85</v>
      </c>
      <c r="C3889" s="17" t="n">
        <v>0.187748855696144</v>
      </c>
      <c r="D3889" s="17" t="n">
        <f aca="false">(C3889-$B$4)/($B$6/SQRT($B$7))</f>
        <v>0.938744278480718</v>
      </c>
      <c r="E3889" s="0" t="str">
        <f aca="false">IF(OR(AND($B$9="superior",D3889&gt;$B$10),AND($B$9="inferior",D3889&lt;-$B$10)),"Rechazar H0","No rechazar H0")</f>
        <v>No rechazar H0</v>
      </c>
      <c r="F3889" s="0" t="str">
        <f aca="false">IF(AND(B3889="H0 verdadera",E3889="Rechazar H0"),"Error tipo I",IF(AND(B3889="Ha verdadera",E3889="No rechazar H0"),"Error tipo II","Decisión correcta"))</f>
        <v>Decisión correcta</v>
      </c>
    </row>
    <row r="3890" customFormat="false" ht="15" hidden="false" customHeight="false" outlineLevel="0" collapsed="false">
      <c r="A3890" s="0" t="n">
        <v>3869</v>
      </c>
      <c r="B3890" s="0" t="s">
        <v>86</v>
      </c>
      <c r="C3890" s="17" t="n">
        <v>-0.121616810302159</v>
      </c>
      <c r="D3890" s="17" t="n">
        <f aca="false">(C3890-$B$4)/($B$6/SQRT($B$7))</f>
        <v>-0.608084051510793</v>
      </c>
      <c r="E3890" s="0" t="str">
        <f aca="false">IF(OR(AND($B$9="superior",D3890&gt;$B$10),AND($B$9="inferior",D3890&lt;-$B$10)),"Rechazar H0","No rechazar H0")</f>
        <v>No rechazar H0</v>
      </c>
      <c r="F3890" s="0" t="str">
        <f aca="false">IF(AND(B3890="H0 verdadera",E3890="Rechazar H0"),"Error tipo I",IF(AND(B3890="Ha verdadera",E3890="No rechazar H0"),"Error tipo II","Decisión correcta"))</f>
        <v>Error tipo II</v>
      </c>
    </row>
    <row r="3891" customFormat="false" ht="15" hidden="false" customHeight="false" outlineLevel="0" collapsed="false">
      <c r="A3891" s="0" t="n">
        <v>3870</v>
      </c>
      <c r="B3891" s="0" t="s">
        <v>86</v>
      </c>
      <c r="C3891" s="17" t="n">
        <v>-0.17027619053043</v>
      </c>
      <c r="D3891" s="17" t="n">
        <f aca="false">(C3891-$B$4)/($B$6/SQRT($B$7))</f>
        <v>-0.851380952652151</v>
      </c>
      <c r="E3891" s="0" t="str">
        <f aca="false">IF(OR(AND($B$9="superior",D3891&gt;$B$10),AND($B$9="inferior",D3891&lt;-$B$10)),"Rechazar H0","No rechazar H0")</f>
        <v>No rechazar H0</v>
      </c>
      <c r="F3891" s="0" t="str">
        <f aca="false">IF(AND(B3891="H0 verdadera",E3891="Rechazar H0"),"Error tipo I",IF(AND(B3891="Ha verdadera",E3891="No rechazar H0"),"Error tipo II","Decisión correcta"))</f>
        <v>Error tipo II</v>
      </c>
    </row>
    <row r="3892" customFormat="false" ht="15" hidden="false" customHeight="false" outlineLevel="0" collapsed="false">
      <c r="A3892" s="0" t="n">
        <v>3871</v>
      </c>
      <c r="B3892" s="0" t="s">
        <v>86</v>
      </c>
      <c r="C3892" s="17" t="n">
        <v>-0.1502729846781</v>
      </c>
      <c r="D3892" s="17" t="n">
        <f aca="false">(C3892-$B$4)/($B$6/SQRT($B$7))</f>
        <v>-0.751364923390501</v>
      </c>
      <c r="E3892" s="0" t="str">
        <f aca="false">IF(OR(AND($B$9="superior",D3892&gt;$B$10),AND($B$9="inferior",D3892&lt;-$B$10)),"Rechazar H0","No rechazar H0")</f>
        <v>No rechazar H0</v>
      </c>
      <c r="F3892" s="0" t="str">
        <f aca="false">IF(AND(B3892="H0 verdadera",E3892="Rechazar H0"),"Error tipo I",IF(AND(B3892="Ha verdadera",E3892="No rechazar H0"),"Error tipo II","Decisión correcta"))</f>
        <v>Error tipo II</v>
      </c>
    </row>
    <row r="3893" customFormat="false" ht="15" hidden="false" customHeight="false" outlineLevel="0" collapsed="false">
      <c r="A3893" s="0" t="n">
        <v>3872</v>
      </c>
      <c r="B3893" s="0" t="s">
        <v>85</v>
      </c>
      <c r="C3893" s="17" t="n">
        <v>-0.124071666626157</v>
      </c>
      <c r="D3893" s="17" t="n">
        <f aca="false">(C3893-$B$4)/($B$6/SQRT($B$7))</f>
        <v>-0.620358333130787</v>
      </c>
      <c r="E3893" s="0" t="str">
        <f aca="false">IF(OR(AND($B$9="superior",D3893&gt;$B$10),AND($B$9="inferior",D3893&lt;-$B$10)),"Rechazar H0","No rechazar H0")</f>
        <v>No rechazar H0</v>
      </c>
      <c r="F3893" s="0" t="str">
        <f aca="false">IF(AND(B3893="H0 verdadera",E3893="Rechazar H0"),"Error tipo I",IF(AND(B3893="Ha verdadera",E3893="No rechazar H0"),"Error tipo II","Decisión correcta"))</f>
        <v>Decisión correcta</v>
      </c>
    </row>
    <row r="3894" customFormat="false" ht="15" hidden="false" customHeight="false" outlineLevel="0" collapsed="false">
      <c r="A3894" s="0" t="n">
        <v>3873</v>
      </c>
      <c r="B3894" s="0" t="s">
        <v>85</v>
      </c>
      <c r="C3894" s="17" t="n">
        <v>0.375456546399649</v>
      </c>
      <c r="D3894" s="17" t="n">
        <f aca="false">(C3894-$B$4)/($B$6/SQRT($B$7))</f>
        <v>1.87728273199824</v>
      </c>
      <c r="E3894" s="0" t="str">
        <f aca="false">IF(OR(AND($B$9="superior",D3894&gt;$B$10),AND($B$9="inferior",D3894&lt;-$B$10)),"Rechazar H0","No rechazar H0")</f>
        <v>No rechazar H0</v>
      </c>
      <c r="F3894" s="0" t="str">
        <f aca="false">IF(AND(B3894="H0 verdadera",E3894="Rechazar H0"),"Error tipo I",IF(AND(B3894="Ha verdadera",E3894="No rechazar H0"),"Error tipo II","Decisión correcta"))</f>
        <v>Decisión correcta</v>
      </c>
    </row>
    <row r="3895" customFormat="false" ht="15" hidden="false" customHeight="false" outlineLevel="0" collapsed="false">
      <c r="A3895" s="0" t="n">
        <v>3874</v>
      </c>
      <c r="B3895" s="0" t="s">
        <v>86</v>
      </c>
      <c r="C3895" s="17" t="n">
        <v>-0.560514998176087</v>
      </c>
      <c r="D3895" s="17" t="n">
        <f aca="false">(C3895-$B$4)/($B$6/SQRT($B$7))</f>
        <v>-2.80257499088043</v>
      </c>
      <c r="E3895" s="0" t="str">
        <f aca="false">IF(OR(AND($B$9="superior",D3895&gt;$B$10),AND($B$9="inferior",D3895&lt;-$B$10)),"Rechazar H0","No rechazar H0")</f>
        <v>Rechazar H0</v>
      </c>
      <c r="F3895" s="0" t="str">
        <f aca="false">IF(AND(B3895="H0 verdadera",E3895="Rechazar H0"),"Error tipo I",IF(AND(B3895="Ha verdadera",E3895="No rechazar H0"),"Error tipo II","Decisión correcta"))</f>
        <v>Decisión correcta</v>
      </c>
    </row>
    <row r="3896" customFormat="false" ht="15" hidden="false" customHeight="false" outlineLevel="0" collapsed="false">
      <c r="A3896" s="0" t="n">
        <v>3875</v>
      </c>
      <c r="B3896" s="0" t="s">
        <v>85</v>
      </c>
      <c r="C3896" s="17" t="n">
        <v>-0.0891250382540503</v>
      </c>
      <c r="D3896" s="17" t="n">
        <f aca="false">(C3896-$B$4)/($B$6/SQRT($B$7))</f>
        <v>-0.445625191270251</v>
      </c>
      <c r="E3896" s="0" t="str">
        <f aca="false">IF(OR(AND($B$9="superior",D3896&gt;$B$10),AND($B$9="inferior",D3896&lt;-$B$10)),"Rechazar H0","No rechazar H0")</f>
        <v>No rechazar H0</v>
      </c>
      <c r="F3896" s="0" t="str">
        <f aca="false">IF(AND(B3896="H0 verdadera",E3896="Rechazar H0"),"Error tipo I",IF(AND(B3896="Ha verdadera",E3896="No rechazar H0"),"Error tipo II","Decisión correcta"))</f>
        <v>Decisión correcta</v>
      </c>
    </row>
    <row r="3897" customFormat="false" ht="15" hidden="false" customHeight="false" outlineLevel="0" collapsed="false">
      <c r="A3897" s="0" t="n">
        <v>3876</v>
      </c>
      <c r="B3897" s="0" t="s">
        <v>86</v>
      </c>
      <c r="C3897" s="17" t="n">
        <v>-0.20432843620481</v>
      </c>
      <c r="D3897" s="17" t="n">
        <f aca="false">(C3897-$B$4)/($B$6/SQRT($B$7))</f>
        <v>-1.02164218102405</v>
      </c>
      <c r="E3897" s="0" t="str">
        <f aca="false">IF(OR(AND($B$9="superior",D3897&gt;$B$10),AND($B$9="inferior",D3897&lt;-$B$10)),"Rechazar H0","No rechazar H0")</f>
        <v>No rechazar H0</v>
      </c>
      <c r="F3897" s="0" t="str">
        <f aca="false">IF(AND(B3897="H0 verdadera",E3897="Rechazar H0"),"Error tipo I",IF(AND(B3897="Ha verdadera",E3897="No rechazar H0"),"Error tipo II","Decisión correcta"))</f>
        <v>Error tipo II</v>
      </c>
    </row>
    <row r="3898" customFormat="false" ht="15" hidden="false" customHeight="false" outlineLevel="0" collapsed="false">
      <c r="A3898" s="0" t="n">
        <v>3877</v>
      </c>
      <c r="B3898" s="0" t="s">
        <v>86</v>
      </c>
      <c r="C3898" s="17" t="n">
        <v>-0.400974963391972</v>
      </c>
      <c r="D3898" s="17" t="n">
        <f aca="false">(C3898-$B$4)/($B$6/SQRT($B$7))</f>
        <v>-2.00487481695986</v>
      </c>
      <c r="E3898" s="0" t="str">
        <f aca="false">IF(OR(AND($B$9="superior",D3898&gt;$B$10),AND($B$9="inferior",D3898&lt;-$B$10)),"Rechazar H0","No rechazar H0")</f>
        <v>Rechazar H0</v>
      </c>
      <c r="F3898" s="0" t="str">
        <f aca="false">IF(AND(B3898="H0 verdadera",E3898="Rechazar H0"),"Error tipo I",IF(AND(B3898="Ha verdadera",E3898="No rechazar H0"),"Error tipo II","Decisión correcta"))</f>
        <v>Decisión correcta</v>
      </c>
    </row>
    <row r="3899" customFormat="false" ht="15" hidden="false" customHeight="false" outlineLevel="0" collapsed="false">
      <c r="A3899" s="0" t="n">
        <v>3878</v>
      </c>
      <c r="B3899" s="0" t="s">
        <v>85</v>
      </c>
      <c r="C3899" s="17" t="n">
        <v>0.160910552499146</v>
      </c>
      <c r="D3899" s="17" t="n">
        <f aca="false">(C3899-$B$4)/($B$6/SQRT($B$7))</f>
        <v>0.804552762495731</v>
      </c>
      <c r="E3899" s="0" t="str">
        <f aca="false">IF(OR(AND($B$9="superior",D3899&gt;$B$10),AND($B$9="inferior",D3899&lt;-$B$10)),"Rechazar H0","No rechazar H0")</f>
        <v>No rechazar H0</v>
      </c>
      <c r="F3899" s="0" t="str">
        <f aca="false">IF(AND(B3899="H0 verdadera",E3899="Rechazar H0"),"Error tipo I",IF(AND(B3899="Ha verdadera",E3899="No rechazar H0"),"Error tipo II","Decisión correcta"))</f>
        <v>Decisión correcta</v>
      </c>
    </row>
    <row r="3900" customFormat="false" ht="15" hidden="false" customHeight="false" outlineLevel="0" collapsed="false">
      <c r="A3900" s="0" t="n">
        <v>3879</v>
      </c>
      <c r="B3900" s="0" t="s">
        <v>85</v>
      </c>
      <c r="C3900" s="17" t="n">
        <v>0.262780436917052</v>
      </c>
      <c r="D3900" s="17" t="n">
        <f aca="false">(C3900-$B$4)/($B$6/SQRT($B$7))</f>
        <v>1.31390218458526</v>
      </c>
      <c r="E3900" s="0" t="str">
        <f aca="false">IF(OR(AND($B$9="superior",D3900&gt;$B$10),AND($B$9="inferior",D3900&lt;-$B$10)),"Rechazar H0","No rechazar H0")</f>
        <v>No rechazar H0</v>
      </c>
      <c r="F3900" s="0" t="str">
        <f aca="false">IF(AND(B3900="H0 verdadera",E3900="Rechazar H0"),"Error tipo I",IF(AND(B3900="Ha verdadera",E3900="No rechazar H0"),"Error tipo II","Decisión correcta"))</f>
        <v>Decisión correcta</v>
      </c>
    </row>
    <row r="3901" customFormat="false" ht="15" hidden="false" customHeight="false" outlineLevel="0" collapsed="false">
      <c r="A3901" s="0" t="n">
        <v>3880</v>
      </c>
      <c r="B3901" s="0" t="s">
        <v>86</v>
      </c>
      <c r="C3901" s="17" t="n">
        <v>-0.722851619884374</v>
      </c>
      <c r="D3901" s="17" t="n">
        <f aca="false">(C3901-$B$4)/($B$6/SQRT($B$7))</f>
        <v>-3.61425809942187</v>
      </c>
      <c r="E3901" s="0" t="str">
        <f aca="false">IF(OR(AND($B$9="superior",D3901&gt;$B$10),AND($B$9="inferior",D3901&lt;-$B$10)),"Rechazar H0","No rechazar H0")</f>
        <v>Rechazar H0</v>
      </c>
      <c r="F3901" s="0" t="str">
        <f aca="false">IF(AND(B3901="H0 verdadera",E3901="Rechazar H0"),"Error tipo I",IF(AND(B3901="Ha verdadera",E3901="No rechazar H0"),"Error tipo II","Decisión correcta"))</f>
        <v>Decisión correcta</v>
      </c>
    </row>
    <row r="3902" customFormat="false" ht="15" hidden="false" customHeight="false" outlineLevel="0" collapsed="false">
      <c r="A3902" s="0" t="n">
        <v>3881</v>
      </c>
      <c r="B3902" s="0" t="s">
        <v>85</v>
      </c>
      <c r="C3902" s="17" t="n">
        <v>0.0756895208162161</v>
      </c>
      <c r="D3902" s="17" t="n">
        <f aca="false">(C3902-$B$4)/($B$6/SQRT($B$7))</f>
        <v>0.37844760408108</v>
      </c>
      <c r="E3902" s="0" t="str">
        <f aca="false">IF(OR(AND($B$9="superior",D3902&gt;$B$10),AND($B$9="inferior",D3902&lt;-$B$10)),"Rechazar H0","No rechazar H0")</f>
        <v>No rechazar H0</v>
      </c>
      <c r="F3902" s="0" t="str">
        <f aca="false">IF(AND(B3902="H0 verdadera",E3902="Rechazar H0"),"Error tipo I",IF(AND(B3902="Ha verdadera",E3902="No rechazar H0"),"Error tipo II","Decisión correcta"))</f>
        <v>Decisión correcta</v>
      </c>
    </row>
    <row r="3903" customFormat="false" ht="15" hidden="false" customHeight="false" outlineLevel="0" collapsed="false">
      <c r="A3903" s="0" t="n">
        <v>3882</v>
      </c>
      <c r="B3903" s="0" t="s">
        <v>85</v>
      </c>
      <c r="C3903" s="17" t="n">
        <v>0.0504138174473321</v>
      </c>
      <c r="D3903" s="17" t="n">
        <f aca="false">(C3903-$B$4)/($B$6/SQRT($B$7))</f>
        <v>0.25206908723666</v>
      </c>
      <c r="E3903" s="0" t="str">
        <f aca="false">IF(OR(AND($B$9="superior",D3903&gt;$B$10),AND($B$9="inferior",D3903&lt;-$B$10)),"Rechazar H0","No rechazar H0")</f>
        <v>No rechazar H0</v>
      </c>
      <c r="F3903" s="0" t="str">
        <f aca="false">IF(AND(B3903="H0 verdadera",E3903="Rechazar H0"),"Error tipo I",IF(AND(B3903="Ha verdadera",E3903="No rechazar H0"),"Error tipo II","Decisión correcta"))</f>
        <v>Decisión correcta</v>
      </c>
    </row>
    <row r="3904" customFormat="false" ht="15" hidden="false" customHeight="false" outlineLevel="0" collapsed="false">
      <c r="A3904" s="0" t="n">
        <v>3883</v>
      </c>
      <c r="B3904" s="0" t="s">
        <v>86</v>
      </c>
      <c r="C3904" s="17" t="n">
        <v>-0.304494119888891</v>
      </c>
      <c r="D3904" s="17" t="n">
        <f aca="false">(C3904-$B$4)/($B$6/SQRT($B$7))</f>
        <v>-1.52247059944446</v>
      </c>
      <c r="E3904" s="0" t="str">
        <f aca="false">IF(OR(AND($B$9="superior",D3904&gt;$B$10),AND($B$9="inferior",D3904&lt;-$B$10)),"Rechazar H0","No rechazar H0")</f>
        <v>No rechazar H0</v>
      </c>
      <c r="F3904" s="0" t="str">
        <f aca="false">IF(AND(B3904="H0 verdadera",E3904="Rechazar H0"),"Error tipo I",IF(AND(B3904="Ha verdadera",E3904="No rechazar H0"),"Error tipo II","Decisión correcta"))</f>
        <v>Error tipo II</v>
      </c>
    </row>
    <row r="3905" customFormat="false" ht="15" hidden="false" customHeight="false" outlineLevel="0" collapsed="false">
      <c r="A3905" s="0" t="n">
        <v>3884</v>
      </c>
      <c r="B3905" s="0" t="s">
        <v>86</v>
      </c>
      <c r="C3905" s="17" t="n">
        <v>-0.471534782145392</v>
      </c>
      <c r="D3905" s="17" t="n">
        <f aca="false">(C3905-$B$4)/($B$6/SQRT($B$7))</f>
        <v>-2.35767391072696</v>
      </c>
      <c r="E3905" s="0" t="str">
        <f aca="false">IF(OR(AND($B$9="superior",D3905&gt;$B$10),AND($B$9="inferior",D3905&lt;-$B$10)),"Rechazar H0","No rechazar H0")</f>
        <v>Rechazar H0</v>
      </c>
      <c r="F3905" s="0" t="str">
        <f aca="false">IF(AND(B3905="H0 verdadera",E3905="Rechazar H0"),"Error tipo I",IF(AND(B3905="Ha verdadera",E3905="No rechazar H0"),"Error tipo II","Decisión correcta"))</f>
        <v>Decisión correcta</v>
      </c>
    </row>
    <row r="3906" customFormat="false" ht="15" hidden="false" customHeight="false" outlineLevel="0" collapsed="false">
      <c r="A3906" s="0" t="n">
        <v>3885</v>
      </c>
      <c r="B3906" s="0" t="s">
        <v>86</v>
      </c>
      <c r="C3906" s="17" t="n">
        <v>-0.188796524378446</v>
      </c>
      <c r="D3906" s="17" t="n">
        <f aca="false">(C3906-$B$4)/($B$6/SQRT($B$7))</f>
        <v>-0.943982621892229</v>
      </c>
      <c r="E3906" s="0" t="str">
        <f aca="false">IF(OR(AND($B$9="superior",D3906&gt;$B$10),AND($B$9="inferior",D3906&lt;-$B$10)),"Rechazar H0","No rechazar H0")</f>
        <v>No rechazar H0</v>
      </c>
      <c r="F3906" s="0" t="str">
        <f aca="false">IF(AND(B3906="H0 verdadera",E3906="Rechazar H0"),"Error tipo I",IF(AND(B3906="Ha verdadera",E3906="No rechazar H0"),"Error tipo II","Decisión correcta"))</f>
        <v>Error tipo II</v>
      </c>
    </row>
    <row r="3907" customFormat="false" ht="15" hidden="false" customHeight="false" outlineLevel="0" collapsed="false">
      <c r="A3907" s="0" t="n">
        <v>3886</v>
      </c>
      <c r="B3907" s="0" t="s">
        <v>86</v>
      </c>
      <c r="C3907" s="17" t="n">
        <v>-0.830456655516306</v>
      </c>
      <c r="D3907" s="17" t="n">
        <f aca="false">(C3907-$B$4)/($B$6/SQRT($B$7))</f>
        <v>-4.15228327758153</v>
      </c>
      <c r="E3907" s="0" t="str">
        <f aca="false">IF(OR(AND($B$9="superior",D3907&gt;$B$10),AND($B$9="inferior",D3907&lt;-$B$10)),"Rechazar H0","No rechazar H0")</f>
        <v>Rechazar H0</v>
      </c>
      <c r="F3907" s="0" t="str">
        <f aca="false">IF(AND(B3907="H0 verdadera",E3907="Rechazar H0"),"Error tipo I",IF(AND(B3907="Ha verdadera",E3907="No rechazar H0"),"Error tipo II","Decisión correcta"))</f>
        <v>Decisión correcta</v>
      </c>
    </row>
    <row r="3908" customFormat="false" ht="15" hidden="false" customHeight="false" outlineLevel="0" collapsed="false">
      <c r="A3908" s="0" t="n">
        <v>3887</v>
      </c>
      <c r="B3908" s="0" t="s">
        <v>86</v>
      </c>
      <c r="C3908" s="17" t="n">
        <v>-0.658358878235471</v>
      </c>
      <c r="D3908" s="17" t="n">
        <f aca="false">(C3908-$B$4)/($B$6/SQRT($B$7))</f>
        <v>-3.29179439117735</v>
      </c>
      <c r="E3908" s="0" t="str">
        <f aca="false">IF(OR(AND($B$9="superior",D3908&gt;$B$10),AND($B$9="inferior",D3908&lt;-$B$10)),"Rechazar H0","No rechazar H0")</f>
        <v>Rechazar H0</v>
      </c>
      <c r="F3908" s="0" t="str">
        <f aca="false">IF(AND(B3908="H0 verdadera",E3908="Rechazar H0"),"Error tipo I",IF(AND(B3908="Ha verdadera",E3908="No rechazar H0"),"Error tipo II","Decisión correcta"))</f>
        <v>Decisión correcta</v>
      </c>
    </row>
    <row r="3909" customFormat="false" ht="15" hidden="false" customHeight="false" outlineLevel="0" collapsed="false">
      <c r="A3909" s="0" t="n">
        <v>3888</v>
      </c>
      <c r="B3909" s="0" t="s">
        <v>86</v>
      </c>
      <c r="C3909" s="17" t="n">
        <v>-0.400441424190762</v>
      </c>
      <c r="D3909" s="17" t="n">
        <f aca="false">(C3909-$B$4)/($B$6/SQRT($B$7))</f>
        <v>-2.00220712095381</v>
      </c>
      <c r="E3909" s="0" t="str">
        <f aca="false">IF(OR(AND($B$9="superior",D3909&gt;$B$10),AND($B$9="inferior",D3909&lt;-$B$10)),"Rechazar H0","No rechazar H0")</f>
        <v>Rechazar H0</v>
      </c>
      <c r="F3909" s="0" t="str">
        <f aca="false">IF(AND(B3909="H0 verdadera",E3909="Rechazar H0"),"Error tipo I",IF(AND(B3909="Ha verdadera",E3909="No rechazar H0"),"Error tipo II","Decisión correcta"))</f>
        <v>Decisión correcta</v>
      </c>
    </row>
    <row r="3910" customFormat="false" ht="15" hidden="false" customHeight="false" outlineLevel="0" collapsed="false">
      <c r="A3910" s="0" t="n">
        <v>3889</v>
      </c>
      <c r="B3910" s="0" t="s">
        <v>86</v>
      </c>
      <c r="C3910" s="17" t="n">
        <v>-0.390948061313487</v>
      </c>
      <c r="D3910" s="17" t="n">
        <f aca="false">(C3910-$B$4)/($B$6/SQRT($B$7))</f>
        <v>-1.95474030656744</v>
      </c>
      <c r="E3910" s="0" t="str">
        <f aca="false">IF(OR(AND($B$9="superior",D3910&gt;$B$10),AND($B$9="inferior",D3910&lt;-$B$10)),"Rechazar H0","No rechazar H0")</f>
        <v>Rechazar H0</v>
      </c>
      <c r="F3910" s="0" t="str">
        <f aca="false">IF(AND(B3910="H0 verdadera",E3910="Rechazar H0"),"Error tipo I",IF(AND(B3910="Ha verdadera",E3910="No rechazar H0"),"Error tipo II","Decisión correcta"))</f>
        <v>Decisión correcta</v>
      </c>
    </row>
    <row r="3911" customFormat="false" ht="15" hidden="false" customHeight="false" outlineLevel="0" collapsed="false">
      <c r="A3911" s="0" t="n">
        <v>3890</v>
      </c>
      <c r="B3911" s="0" t="s">
        <v>86</v>
      </c>
      <c r="C3911" s="17" t="n">
        <v>-0.549822066549667</v>
      </c>
      <c r="D3911" s="17" t="n">
        <f aca="false">(C3911-$B$4)/($B$6/SQRT($B$7))</f>
        <v>-2.74911033274833</v>
      </c>
      <c r="E3911" s="0" t="str">
        <f aca="false">IF(OR(AND($B$9="superior",D3911&gt;$B$10),AND($B$9="inferior",D3911&lt;-$B$10)),"Rechazar H0","No rechazar H0")</f>
        <v>Rechazar H0</v>
      </c>
      <c r="F3911" s="0" t="str">
        <f aca="false">IF(AND(B3911="H0 verdadera",E3911="Rechazar H0"),"Error tipo I",IF(AND(B3911="Ha verdadera",E3911="No rechazar H0"),"Error tipo II","Decisión correcta"))</f>
        <v>Decisión correcta</v>
      </c>
    </row>
    <row r="3912" customFormat="false" ht="15" hidden="false" customHeight="false" outlineLevel="0" collapsed="false">
      <c r="A3912" s="0" t="n">
        <v>3891</v>
      </c>
      <c r="B3912" s="0" t="s">
        <v>86</v>
      </c>
      <c r="C3912" s="17" t="n">
        <v>-0.45173530210553</v>
      </c>
      <c r="D3912" s="17" t="n">
        <f aca="false">(C3912-$B$4)/($B$6/SQRT($B$7))</f>
        <v>-2.25867651052765</v>
      </c>
      <c r="E3912" s="0" t="str">
        <f aca="false">IF(OR(AND($B$9="superior",D3912&gt;$B$10),AND($B$9="inferior",D3912&lt;-$B$10)),"Rechazar H0","No rechazar H0")</f>
        <v>Rechazar H0</v>
      </c>
      <c r="F3912" s="0" t="str">
        <f aca="false">IF(AND(B3912="H0 verdadera",E3912="Rechazar H0"),"Error tipo I",IF(AND(B3912="Ha verdadera",E3912="No rechazar H0"),"Error tipo II","Decisión correcta"))</f>
        <v>Decisión correcta</v>
      </c>
    </row>
    <row r="3913" customFormat="false" ht="15" hidden="false" customHeight="false" outlineLevel="0" collapsed="false">
      <c r="A3913" s="0" t="n">
        <v>3892</v>
      </c>
      <c r="B3913" s="0" t="s">
        <v>85</v>
      </c>
      <c r="C3913" s="17" t="n">
        <v>-0.136033210651902</v>
      </c>
      <c r="D3913" s="17" t="n">
        <f aca="false">(C3913-$B$4)/($B$6/SQRT($B$7))</f>
        <v>-0.680166053259509</v>
      </c>
      <c r="E3913" s="0" t="str">
        <f aca="false">IF(OR(AND($B$9="superior",D3913&gt;$B$10),AND($B$9="inferior",D3913&lt;-$B$10)),"Rechazar H0","No rechazar H0")</f>
        <v>No rechazar H0</v>
      </c>
      <c r="F3913" s="0" t="str">
        <f aca="false">IF(AND(B3913="H0 verdadera",E3913="Rechazar H0"),"Error tipo I",IF(AND(B3913="Ha verdadera",E3913="No rechazar H0"),"Error tipo II","Decisión correcta"))</f>
        <v>Decisión correcta</v>
      </c>
    </row>
    <row r="3914" customFormat="false" ht="15" hidden="false" customHeight="false" outlineLevel="0" collapsed="false">
      <c r="A3914" s="0" t="n">
        <v>3893</v>
      </c>
      <c r="B3914" s="0" t="s">
        <v>86</v>
      </c>
      <c r="C3914" s="17" t="n">
        <v>-0.401127778928176</v>
      </c>
      <c r="D3914" s="17" t="n">
        <f aca="false">(C3914-$B$4)/($B$6/SQRT($B$7))</f>
        <v>-2.00563889464088</v>
      </c>
      <c r="E3914" s="0" t="str">
        <f aca="false">IF(OR(AND($B$9="superior",D3914&gt;$B$10),AND($B$9="inferior",D3914&lt;-$B$10)),"Rechazar H0","No rechazar H0")</f>
        <v>Rechazar H0</v>
      </c>
      <c r="F3914" s="0" t="str">
        <f aca="false">IF(AND(B3914="H0 verdadera",E3914="Rechazar H0"),"Error tipo I",IF(AND(B3914="Ha verdadera",E3914="No rechazar H0"),"Error tipo II","Decisión correcta"))</f>
        <v>Decisión correcta</v>
      </c>
    </row>
    <row r="3915" customFormat="false" ht="15" hidden="false" customHeight="false" outlineLevel="0" collapsed="false">
      <c r="A3915" s="0" t="n">
        <v>3894</v>
      </c>
      <c r="B3915" s="0" t="s">
        <v>86</v>
      </c>
      <c r="C3915" s="17" t="n">
        <v>-0.326751546646817</v>
      </c>
      <c r="D3915" s="17" t="n">
        <f aca="false">(C3915-$B$4)/($B$6/SQRT($B$7))</f>
        <v>-1.63375773323408</v>
      </c>
      <c r="E3915" s="0" t="str">
        <f aca="false">IF(OR(AND($B$9="superior",D3915&gt;$B$10),AND($B$9="inferior",D3915&lt;-$B$10)),"Rechazar H0","No rechazar H0")</f>
        <v>No rechazar H0</v>
      </c>
      <c r="F3915" s="0" t="str">
        <f aca="false">IF(AND(B3915="H0 verdadera",E3915="Rechazar H0"),"Error tipo I",IF(AND(B3915="Ha verdadera",E3915="No rechazar H0"),"Error tipo II","Decisión correcta"))</f>
        <v>Error tipo II</v>
      </c>
    </row>
    <row r="3916" customFormat="false" ht="15" hidden="false" customHeight="false" outlineLevel="0" collapsed="false">
      <c r="A3916" s="0" t="n">
        <v>3895</v>
      </c>
      <c r="B3916" s="0" t="s">
        <v>86</v>
      </c>
      <c r="C3916" s="17" t="n">
        <v>-0.568347407519873</v>
      </c>
      <c r="D3916" s="17" t="n">
        <f aca="false">(C3916-$B$4)/($B$6/SQRT($B$7))</f>
        <v>-2.84173703759936</v>
      </c>
      <c r="E3916" s="0" t="str">
        <f aca="false">IF(OR(AND($B$9="superior",D3916&gt;$B$10),AND($B$9="inferior",D3916&lt;-$B$10)),"Rechazar H0","No rechazar H0")</f>
        <v>Rechazar H0</v>
      </c>
      <c r="F3916" s="0" t="str">
        <f aca="false">IF(AND(B3916="H0 verdadera",E3916="Rechazar H0"),"Error tipo I",IF(AND(B3916="Ha verdadera",E3916="No rechazar H0"),"Error tipo II","Decisión correcta"))</f>
        <v>Decisión correcta</v>
      </c>
    </row>
    <row r="3917" customFormat="false" ht="15" hidden="false" customHeight="false" outlineLevel="0" collapsed="false">
      <c r="A3917" s="0" t="n">
        <v>3896</v>
      </c>
      <c r="B3917" s="0" t="s">
        <v>86</v>
      </c>
      <c r="C3917" s="17" t="n">
        <v>0.000865781439506908</v>
      </c>
      <c r="D3917" s="17" t="n">
        <f aca="false">(C3917-$B$4)/($B$6/SQRT($B$7))</f>
        <v>0.00432890719753454</v>
      </c>
      <c r="E3917" s="0" t="str">
        <f aca="false">IF(OR(AND($B$9="superior",D3917&gt;$B$10),AND($B$9="inferior",D3917&lt;-$B$10)),"Rechazar H0","No rechazar H0")</f>
        <v>No rechazar H0</v>
      </c>
      <c r="F3917" s="0" t="str">
        <f aca="false">IF(AND(B3917="H0 verdadera",E3917="Rechazar H0"),"Error tipo I",IF(AND(B3917="Ha verdadera",E3917="No rechazar H0"),"Error tipo II","Decisión correcta"))</f>
        <v>Error tipo II</v>
      </c>
    </row>
    <row r="3918" customFormat="false" ht="15" hidden="false" customHeight="false" outlineLevel="0" collapsed="false">
      <c r="A3918" s="0" t="n">
        <v>3897</v>
      </c>
      <c r="B3918" s="0" t="s">
        <v>86</v>
      </c>
      <c r="C3918" s="17" t="n">
        <v>-0.378567446012934</v>
      </c>
      <c r="D3918" s="17" t="n">
        <f aca="false">(C3918-$B$4)/($B$6/SQRT($B$7))</f>
        <v>-1.89283723006467</v>
      </c>
      <c r="E3918" s="0" t="str">
        <f aca="false">IF(OR(AND($B$9="superior",D3918&gt;$B$10),AND($B$9="inferior",D3918&lt;-$B$10)),"Rechazar H0","No rechazar H0")</f>
        <v>Rechazar H0</v>
      </c>
      <c r="F3918" s="0" t="str">
        <f aca="false">IF(AND(B3918="H0 verdadera",E3918="Rechazar H0"),"Error tipo I",IF(AND(B3918="Ha verdadera",E3918="No rechazar H0"),"Error tipo II","Decisión correcta"))</f>
        <v>Decisión correcta</v>
      </c>
    </row>
    <row r="3919" customFormat="false" ht="15" hidden="false" customHeight="false" outlineLevel="0" collapsed="false">
      <c r="A3919" s="0" t="n">
        <v>3898</v>
      </c>
      <c r="B3919" s="0" t="s">
        <v>85</v>
      </c>
      <c r="C3919" s="17" t="n">
        <v>-0.0436054905040747</v>
      </c>
      <c r="D3919" s="17" t="n">
        <f aca="false">(C3919-$B$4)/($B$6/SQRT($B$7))</f>
        <v>-0.218027452520373</v>
      </c>
      <c r="E3919" s="0" t="str">
        <f aca="false">IF(OR(AND($B$9="superior",D3919&gt;$B$10),AND($B$9="inferior",D3919&lt;-$B$10)),"Rechazar H0","No rechazar H0")</f>
        <v>No rechazar H0</v>
      </c>
      <c r="F3919" s="0" t="str">
        <f aca="false">IF(AND(B3919="H0 verdadera",E3919="Rechazar H0"),"Error tipo I",IF(AND(B3919="Ha verdadera",E3919="No rechazar H0"),"Error tipo II","Decisión correcta"))</f>
        <v>Decisión correcta</v>
      </c>
    </row>
    <row r="3920" customFormat="false" ht="15" hidden="false" customHeight="false" outlineLevel="0" collapsed="false">
      <c r="A3920" s="0" t="n">
        <v>3899</v>
      </c>
      <c r="B3920" s="0" t="s">
        <v>86</v>
      </c>
      <c r="C3920" s="17" t="n">
        <v>-0.454320555110035</v>
      </c>
      <c r="D3920" s="17" t="n">
        <f aca="false">(C3920-$B$4)/($B$6/SQRT($B$7))</f>
        <v>-2.27160277555017</v>
      </c>
      <c r="E3920" s="0" t="str">
        <f aca="false">IF(OR(AND($B$9="superior",D3920&gt;$B$10),AND($B$9="inferior",D3920&lt;-$B$10)),"Rechazar H0","No rechazar H0")</f>
        <v>Rechazar H0</v>
      </c>
      <c r="F3920" s="0" t="str">
        <f aca="false">IF(AND(B3920="H0 verdadera",E3920="Rechazar H0"),"Error tipo I",IF(AND(B3920="Ha verdadera",E3920="No rechazar H0"),"Error tipo II","Decisión correcta"))</f>
        <v>Decisión correcta</v>
      </c>
    </row>
    <row r="3921" customFormat="false" ht="15" hidden="false" customHeight="false" outlineLevel="0" collapsed="false">
      <c r="A3921" s="0" t="n">
        <v>3900</v>
      </c>
      <c r="B3921" s="0" t="s">
        <v>86</v>
      </c>
      <c r="C3921" s="17" t="n">
        <v>-0.291473990945883</v>
      </c>
      <c r="D3921" s="17" t="n">
        <f aca="false">(C3921-$B$4)/($B$6/SQRT($B$7))</f>
        <v>-1.45736995472941</v>
      </c>
      <c r="E3921" s="0" t="str">
        <f aca="false">IF(OR(AND($B$9="superior",D3921&gt;$B$10),AND($B$9="inferior",D3921&lt;-$B$10)),"Rechazar H0","No rechazar H0")</f>
        <v>No rechazar H0</v>
      </c>
      <c r="F3921" s="0" t="str">
        <f aca="false">IF(AND(B3921="H0 verdadera",E3921="Rechazar H0"),"Error tipo I",IF(AND(B3921="Ha verdadera",E3921="No rechazar H0"),"Error tipo II","Decisión correcta"))</f>
        <v>Error tipo II</v>
      </c>
    </row>
    <row r="3922" customFormat="false" ht="15" hidden="false" customHeight="false" outlineLevel="0" collapsed="false">
      <c r="A3922" s="0" t="n">
        <v>3901</v>
      </c>
      <c r="B3922" s="0" t="s">
        <v>85</v>
      </c>
      <c r="C3922" s="17" t="n">
        <v>0.121654469505154</v>
      </c>
      <c r="D3922" s="17" t="n">
        <f aca="false">(C3922-$B$4)/($B$6/SQRT($B$7))</f>
        <v>0.608272347525772</v>
      </c>
      <c r="E3922" s="0" t="str">
        <f aca="false">IF(OR(AND($B$9="superior",D3922&gt;$B$10),AND($B$9="inferior",D3922&lt;-$B$10)),"Rechazar H0","No rechazar H0")</f>
        <v>No rechazar H0</v>
      </c>
      <c r="F3922" s="0" t="str">
        <f aca="false">IF(AND(B3922="H0 verdadera",E3922="Rechazar H0"),"Error tipo I",IF(AND(B3922="Ha verdadera",E3922="No rechazar H0"),"Error tipo II","Decisión correcta"))</f>
        <v>Decisión correcta</v>
      </c>
    </row>
    <row r="3923" customFormat="false" ht="15" hidden="false" customHeight="false" outlineLevel="0" collapsed="false">
      <c r="A3923" s="0" t="n">
        <v>3902</v>
      </c>
      <c r="B3923" s="0" t="s">
        <v>86</v>
      </c>
      <c r="C3923" s="17" t="n">
        <v>-0.645120260464408</v>
      </c>
      <c r="D3923" s="17" t="n">
        <f aca="false">(C3923-$B$4)/($B$6/SQRT($B$7))</f>
        <v>-3.22560130232204</v>
      </c>
      <c r="E3923" s="0" t="str">
        <f aca="false">IF(OR(AND($B$9="superior",D3923&gt;$B$10),AND($B$9="inferior",D3923&lt;-$B$10)),"Rechazar H0","No rechazar H0")</f>
        <v>Rechazar H0</v>
      </c>
      <c r="F3923" s="0" t="str">
        <f aca="false">IF(AND(B3923="H0 verdadera",E3923="Rechazar H0"),"Error tipo I",IF(AND(B3923="Ha verdadera",E3923="No rechazar H0"),"Error tipo II","Decisión correcta"))</f>
        <v>Decisión correcta</v>
      </c>
    </row>
    <row r="3924" customFormat="false" ht="15" hidden="false" customHeight="false" outlineLevel="0" collapsed="false">
      <c r="A3924" s="0" t="n">
        <v>3903</v>
      </c>
      <c r="B3924" s="0" t="s">
        <v>86</v>
      </c>
      <c r="C3924" s="17" t="n">
        <v>-0.375879978102306</v>
      </c>
      <c r="D3924" s="17" t="n">
        <f aca="false">(C3924-$B$4)/($B$6/SQRT($B$7))</f>
        <v>-1.87939989051153</v>
      </c>
      <c r="E3924" s="0" t="str">
        <f aca="false">IF(OR(AND($B$9="superior",D3924&gt;$B$10),AND($B$9="inferior",D3924&lt;-$B$10)),"Rechazar H0","No rechazar H0")</f>
        <v>Rechazar H0</v>
      </c>
      <c r="F3924" s="0" t="str">
        <f aca="false">IF(AND(B3924="H0 verdadera",E3924="Rechazar H0"),"Error tipo I",IF(AND(B3924="Ha verdadera",E3924="No rechazar H0"),"Error tipo II","Decisión correcta"))</f>
        <v>Decisión correcta</v>
      </c>
    </row>
    <row r="3925" customFormat="false" ht="15" hidden="false" customHeight="false" outlineLevel="0" collapsed="false">
      <c r="A3925" s="0" t="n">
        <v>3904</v>
      </c>
      <c r="B3925" s="0" t="s">
        <v>85</v>
      </c>
      <c r="C3925" s="17" t="n">
        <v>-0.398526336249134</v>
      </c>
      <c r="D3925" s="17" t="n">
        <f aca="false">(C3925-$B$4)/($B$6/SQRT($B$7))</f>
        <v>-1.99263168124567</v>
      </c>
      <c r="E3925" s="0" t="str">
        <f aca="false">IF(OR(AND($B$9="superior",D3925&gt;$B$10),AND($B$9="inferior",D3925&lt;-$B$10)),"Rechazar H0","No rechazar H0")</f>
        <v>Rechazar H0</v>
      </c>
      <c r="F3925" s="0" t="str">
        <f aca="false">IF(AND(B3925="H0 verdadera",E3925="Rechazar H0"),"Error tipo I",IF(AND(B3925="Ha verdadera",E3925="No rechazar H0"),"Error tipo II","Decisión correcta"))</f>
        <v>Error tipo I</v>
      </c>
    </row>
    <row r="3926" customFormat="false" ht="15" hidden="false" customHeight="false" outlineLevel="0" collapsed="false">
      <c r="A3926" s="0" t="n">
        <v>3905</v>
      </c>
      <c r="B3926" s="0" t="s">
        <v>85</v>
      </c>
      <c r="C3926" s="17" t="n">
        <v>-0.181607828263025</v>
      </c>
      <c r="D3926" s="17" t="n">
        <f aca="false">(C3926-$B$4)/($B$6/SQRT($B$7))</f>
        <v>-0.908039141315125</v>
      </c>
      <c r="E3926" s="0" t="str">
        <f aca="false">IF(OR(AND($B$9="superior",D3926&gt;$B$10),AND($B$9="inferior",D3926&lt;-$B$10)),"Rechazar H0","No rechazar H0")</f>
        <v>No rechazar H0</v>
      </c>
      <c r="F3926" s="0" t="str">
        <f aca="false">IF(AND(B3926="H0 verdadera",E3926="Rechazar H0"),"Error tipo I",IF(AND(B3926="Ha verdadera",E3926="No rechazar H0"),"Error tipo II","Decisión correcta"))</f>
        <v>Decisión correcta</v>
      </c>
    </row>
    <row r="3927" customFormat="false" ht="15" hidden="false" customHeight="false" outlineLevel="0" collapsed="false">
      <c r="A3927" s="0" t="n">
        <v>3906</v>
      </c>
      <c r="B3927" s="0" t="s">
        <v>86</v>
      </c>
      <c r="C3927" s="17" t="n">
        <v>-0.351451142151744</v>
      </c>
      <c r="D3927" s="17" t="n">
        <f aca="false">(C3927-$B$4)/($B$6/SQRT($B$7))</f>
        <v>-1.75725571075872</v>
      </c>
      <c r="E3927" s="0" t="str">
        <f aca="false">IF(OR(AND($B$9="superior",D3927&gt;$B$10),AND($B$9="inferior",D3927&lt;-$B$10)),"Rechazar H0","No rechazar H0")</f>
        <v>Rechazar H0</v>
      </c>
      <c r="F3927" s="0" t="str">
        <f aca="false">IF(AND(B3927="H0 verdadera",E3927="Rechazar H0"),"Error tipo I",IF(AND(B3927="Ha verdadera",E3927="No rechazar H0"),"Error tipo II","Decisión correcta"))</f>
        <v>Decisión correcta</v>
      </c>
    </row>
    <row r="3928" customFormat="false" ht="15" hidden="false" customHeight="false" outlineLevel="0" collapsed="false">
      <c r="A3928" s="0" t="n">
        <v>3907</v>
      </c>
      <c r="B3928" s="0" t="s">
        <v>85</v>
      </c>
      <c r="C3928" s="17" t="n">
        <v>-0.0973023966884019</v>
      </c>
      <c r="D3928" s="17" t="n">
        <f aca="false">(C3928-$B$4)/($B$6/SQRT($B$7))</f>
        <v>-0.486511983442009</v>
      </c>
      <c r="E3928" s="0" t="str">
        <f aca="false">IF(OR(AND($B$9="superior",D3928&gt;$B$10),AND($B$9="inferior",D3928&lt;-$B$10)),"Rechazar H0","No rechazar H0")</f>
        <v>No rechazar H0</v>
      </c>
      <c r="F3928" s="0" t="str">
        <f aca="false">IF(AND(B3928="H0 verdadera",E3928="Rechazar H0"),"Error tipo I",IF(AND(B3928="Ha verdadera",E3928="No rechazar H0"),"Error tipo II","Decisión correcta"))</f>
        <v>Decisión correcta</v>
      </c>
    </row>
    <row r="3929" customFormat="false" ht="15" hidden="false" customHeight="false" outlineLevel="0" collapsed="false">
      <c r="A3929" s="0" t="n">
        <v>3908</v>
      </c>
      <c r="B3929" s="0" t="s">
        <v>85</v>
      </c>
      <c r="C3929" s="17" t="n">
        <v>0.184845159319887</v>
      </c>
      <c r="D3929" s="17" t="n">
        <f aca="false">(C3929-$B$4)/($B$6/SQRT($B$7))</f>
        <v>0.924225796599436</v>
      </c>
      <c r="E3929" s="0" t="str">
        <f aca="false">IF(OR(AND($B$9="superior",D3929&gt;$B$10),AND($B$9="inferior",D3929&lt;-$B$10)),"Rechazar H0","No rechazar H0")</f>
        <v>No rechazar H0</v>
      </c>
      <c r="F3929" s="0" t="str">
        <f aca="false">IF(AND(B3929="H0 verdadera",E3929="Rechazar H0"),"Error tipo I",IF(AND(B3929="Ha verdadera",E3929="No rechazar H0"),"Error tipo II","Decisión correcta"))</f>
        <v>Decisión correcta</v>
      </c>
    </row>
    <row r="3930" customFormat="false" ht="15" hidden="false" customHeight="false" outlineLevel="0" collapsed="false">
      <c r="A3930" s="0" t="n">
        <v>3909</v>
      </c>
      <c r="B3930" s="0" t="s">
        <v>85</v>
      </c>
      <c r="C3930" s="17" t="n">
        <v>0.155540278013286</v>
      </c>
      <c r="D3930" s="17" t="n">
        <f aca="false">(C3930-$B$4)/($B$6/SQRT($B$7))</f>
        <v>0.777701390066429</v>
      </c>
      <c r="E3930" s="0" t="str">
        <f aca="false">IF(OR(AND($B$9="superior",D3930&gt;$B$10),AND($B$9="inferior",D3930&lt;-$B$10)),"Rechazar H0","No rechazar H0")</f>
        <v>No rechazar H0</v>
      </c>
      <c r="F3930" s="0" t="str">
        <f aca="false">IF(AND(B3930="H0 verdadera",E3930="Rechazar H0"),"Error tipo I",IF(AND(B3930="Ha verdadera",E3930="No rechazar H0"),"Error tipo II","Decisión correcta"))</f>
        <v>Decisión correcta</v>
      </c>
    </row>
    <row r="3931" customFormat="false" ht="15" hidden="false" customHeight="false" outlineLevel="0" collapsed="false">
      <c r="A3931" s="0" t="n">
        <v>3910</v>
      </c>
      <c r="B3931" s="0" t="s">
        <v>86</v>
      </c>
      <c r="C3931" s="17" t="n">
        <v>-0.587848703849708</v>
      </c>
      <c r="D3931" s="17" t="n">
        <f aca="false">(C3931-$B$4)/($B$6/SQRT($B$7))</f>
        <v>-2.93924351924854</v>
      </c>
      <c r="E3931" s="0" t="str">
        <f aca="false">IF(OR(AND($B$9="superior",D3931&gt;$B$10),AND($B$9="inferior",D3931&lt;-$B$10)),"Rechazar H0","No rechazar H0")</f>
        <v>Rechazar H0</v>
      </c>
      <c r="F3931" s="0" t="str">
        <f aca="false">IF(AND(B3931="H0 verdadera",E3931="Rechazar H0"),"Error tipo I",IF(AND(B3931="Ha verdadera",E3931="No rechazar H0"),"Error tipo II","Decisión correcta"))</f>
        <v>Decisión correcta</v>
      </c>
    </row>
    <row r="3932" customFormat="false" ht="15" hidden="false" customHeight="false" outlineLevel="0" collapsed="false">
      <c r="A3932" s="0" t="n">
        <v>3911</v>
      </c>
      <c r="B3932" s="0" t="s">
        <v>85</v>
      </c>
      <c r="C3932" s="17" t="n">
        <v>0.233366900069475</v>
      </c>
      <c r="D3932" s="17" t="n">
        <f aca="false">(C3932-$B$4)/($B$6/SQRT($B$7))</f>
        <v>1.16683450034738</v>
      </c>
      <c r="E3932" s="0" t="str">
        <f aca="false">IF(OR(AND($B$9="superior",D3932&gt;$B$10),AND($B$9="inferior",D3932&lt;-$B$10)),"Rechazar H0","No rechazar H0")</f>
        <v>No rechazar H0</v>
      </c>
      <c r="F3932" s="0" t="str">
        <f aca="false">IF(AND(B3932="H0 verdadera",E3932="Rechazar H0"),"Error tipo I",IF(AND(B3932="Ha verdadera",E3932="No rechazar H0"),"Error tipo II","Decisión correcta"))</f>
        <v>Decisión correcta</v>
      </c>
    </row>
    <row r="3933" customFormat="false" ht="15" hidden="false" customHeight="false" outlineLevel="0" collapsed="false">
      <c r="A3933" s="0" t="n">
        <v>3912</v>
      </c>
      <c r="B3933" s="0" t="s">
        <v>86</v>
      </c>
      <c r="C3933" s="17" t="n">
        <v>-0.338549636790985</v>
      </c>
      <c r="D3933" s="17" t="n">
        <f aca="false">(C3933-$B$4)/($B$6/SQRT($B$7))</f>
        <v>-1.69274818395492</v>
      </c>
      <c r="E3933" s="0" t="str">
        <f aca="false">IF(OR(AND($B$9="superior",D3933&gt;$B$10),AND($B$9="inferior",D3933&lt;-$B$10)),"Rechazar H0","No rechazar H0")</f>
        <v>Rechazar H0</v>
      </c>
      <c r="F3933" s="0" t="str">
        <f aca="false">IF(AND(B3933="H0 verdadera",E3933="Rechazar H0"),"Error tipo I",IF(AND(B3933="Ha verdadera",E3933="No rechazar H0"),"Error tipo II","Decisión correcta"))</f>
        <v>Decisión correcta</v>
      </c>
    </row>
    <row r="3934" customFormat="false" ht="15" hidden="false" customHeight="false" outlineLevel="0" collapsed="false">
      <c r="A3934" s="0" t="n">
        <v>3913</v>
      </c>
      <c r="B3934" s="0" t="s">
        <v>85</v>
      </c>
      <c r="C3934" s="17" t="n">
        <v>-0.0172879676581553</v>
      </c>
      <c r="D3934" s="17" t="n">
        <f aca="false">(C3934-$B$4)/($B$6/SQRT($B$7))</f>
        <v>-0.0864398382907767</v>
      </c>
      <c r="E3934" s="0" t="str">
        <f aca="false">IF(OR(AND($B$9="superior",D3934&gt;$B$10),AND($B$9="inferior",D3934&lt;-$B$10)),"Rechazar H0","No rechazar H0")</f>
        <v>No rechazar H0</v>
      </c>
      <c r="F3934" s="0" t="str">
        <f aca="false">IF(AND(B3934="H0 verdadera",E3934="Rechazar H0"),"Error tipo I",IF(AND(B3934="Ha verdadera",E3934="No rechazar H0"),"Error tipo II","Decisión correcta"))</f>
        <v>Decisión correcta</v>
      </c>
    </row>
    <row r="3935" customFormat="false" ht="15" hidden="false" customHeight="false" outlineLevel="0" collapsed="false">
      <c r="A3935" s="0" t="n">
        <v>3914</v>
      </c>
      <c r="B3935" s="0" t="s">
        <v>85</v>
      </c>
      <c r="C3935" s="17" t="n">
        <v>0.139443042098856</v>
      </c>
      <c r="D3935" s="17" t="n">
        <f aca="false">(C3935-$B$4)/($B$6/SQRT($B$7))</f>
        <v>0.697215210494278</v>
      </c>
      <c r="E3935" s="0" t="str">
        <f aca="false">IF(OR(AND($B$9="superior",D3935&gt;$B$10),AND($B$9="inferior",D3935&lt;-$B$10)),"Rechazar H0","No rechazar H0")</f>
        <v>No rechazar H0</v>
      </c>
      <c r="F3935" s="0" t="str">
        <f aca="false">IF(AND(B3935="H0 verdadera",E3935="Rechazar H0"),"Error tipo I",IF(AND(B3935="Ha verdadera",E3935="No rechazar H0"),"Error tipo II","Decisión correcta"))</f>
        <v>Decisión correcta</v>
      </c>
    </row>
    <row r="3936" customFormat="false" ht="15" hidden="false" customHeight="false" outlineLevel="0" collapsed="false">
      <c r="A3936" s="0" t="n">
        <v>3915</v>
      </c>
      <c r="B3936" s="0" t="s">
        <v>86</v>
      </c>
      <c r="C3936" s="17" t="n">
        <v>-0.534446083208215</v>
      </c>
      <c r="D3936" s="17" t="n">
        <f aca="false">(C3936-$B$4)/($B$6/SQRT($B$7))</f>
        <v>-2.67223041604108</v>
      </c>
      <c r="E3936" s="0" t="str">
        <f aca="false">IF(OR(AND($B$9="superior",D3936&gt;$B$10),AND($B$9="inferior",D3936&lt;-$B$10)),"Rechazar H0","No rechazar H0")</f>
        <v>Rechazar H0</v>
      </c>
      <c r="F3936" s="0" t="str">
        <f aca="false">IF(AND(B3936="H0 verdadera",E3936="Rechazar H0"),"Error tipo I",IF(AND(B3936="Ha verdadera",E3936="No rechazar H0"),"Error tipo II","Decisión correcta"))</f>
        <v>Decisión correcta</v>
      </c>
    </row>
    <row r="3937" customFormat="false" ht="15" hidden="false" customHeight="false" outlineLevel="0" collapsed="false">
      <c r="A3937" s="0" t="n">
        <v>3916</v>
      </c>
      <c r="B3937" s="0" t="s">
        <v>86</v>
      </c>
      <c r="C3937" s="17" t="n">
        <v>-0.25658227930821</v>
      </c>
      <c r="D3937" s="17" t="n">
        <f aca="false">(C3937-$B$4)/($B$6/SQRT($B$7))</f>
        <v>-1.28291139654105</v>
      </c>
      <c r="E3937" s="0" t="str">
        <f aca="false">IF(OR(AND($B$9="superior",D3937&gt;$B$10),AND($B$9="inferior",D3937&lt;-$B$10)),"Rechazar H0","No rechazar H0")</f>
        <v>No rechazar H0</v>
      </c>
      <c r="F3937" s="0" t="str">
        <f aca="false">IF(AND(B3937="H0 verdadera",E3937="Rechazar H0"),"Error tipo I",IF(AND(B3937="Ha verdadera",E3937="No rechazar H0"),"Error tipo II","Decisión correcta"))</f>
        <v>Error tipo II</v>
      </c>
    </row>
    <row r="3938" customFormat="false" ht="15" hidden="false" customHeight="false" outlineLevel="0" collapsed="false">
      <c r="A3938" s="0" t="n">
        <v>3917</v>
      </c>
      <c r="B3938" s="0" t="s">
        <v>85</v>
      </c>
      <c r="C3938" s="17" t="n">
        <v>-0.0648202716919083</v>
      </c>
      <c r="D3938" s="17" t="n">
        <f aca="false">(C3938-$B$4)/($B$6/SQRT($B$7))</f>
        <v>-0.324101358459541</v>
      </c>
      <c r="E3938" s="0" t="str">
        <f aca="false">IF(OR(AND($B$9="superior",D3938&gt;$B$10),AND($B$9="inferior",D3938&lt;-$B$10)),"Rechazar H0","No rechazar H0")</f>
        <v>No rechazar H0</v>
      </c>
      <c r="F3938" s="0" t="str">
        <f aca="false">IF(AND(B3938="H0 verdadera",E3938="Rechazar H0"),"Error tipo I",IF(AND(B3938="Ha verdadera",E3938="No rechazar H0"),"Error tipo II","Decisión correcta"))</f>
        <v>Decisión correcta</v>
      </c>
    </row>
    <row r="3939" customFormat="false" ht="15" hidden="false" customHeight="false" outlineLevel="0" collapsed="false">
      <c r="A3939" s="0" t="n">
        <v>3918</v>
      </c>
      <c r="B3939" s="0" t="s">
        <v>85</v>
      </c>
      <c r="C3939" s="17" t="n">
        <v>0.155349259314801</v>
      </c>
      <c r="D3939" s="17" t="n">
        <f aca="false">(C3939-$B$4)/($B$6/SQRT($B$7))</f>
        <v>0.776746296574003</v>
      </c>
      <c r="E3939" s="0" t="str">
        <f aca="false">IF(OR(AND($B$9="superior",D3939&gt;$B$10),AND($B$9="inferior",D3939&lt;-$B$10)),"Rechazar H0","No rechazar H0")</f>
        <v>No rechazar H0</v>
      </c>
      <c r="F3939" s="0" t="str">
        <f aca="false">IF(AND(B3939="H0 verdadera",E3939="Rechazar H0"),"Error tipo I",IF(AND(B3939="Ha verdadera",E3939="No rechazar H0"),"Error tipo II","Decisión correcta"))</f>
        <v>Decisión correcta</v>
      </c>
    </row>
    <row r="3940" customFormat="false" ht="15" hidden="false" customHeight="false" outlineLevel="0" collapsed="false">
      <c r="A3940" s="0" t="n">
        <v>3919</v>
      </c>
      <c r="B3940" s="0" t="s">
        <v>85</v>
      </c>
      <c r="C3940" s="17" t="n">
        <v>-0.217078219879179</v>
      </c>
      <c r="D3940" s="17" t="n">
        <f aca="false">(C3940-$B$4)/($B$6/SQRT($B$7))</f>
        <v>-1.08539109939589</v>
      </c>
      <c r="E3940" s="0" t="str">
        <f aca="false">IF(OR(AND($B$9="superior",D3940&gt;$B$10),AND($B$9="inferior",D3940&lt;-$B$10)),"Rechazar H0","No rechazar H0")</f>
        <v>No rechazar H0</v>
      </c>
      <c r="F3940" s="0" t="str">
        <f aca="false">IF(AND(B3940="H0 verdadera",E3940="Rechazar H0"),"Error tipo I",IF(AND(B3940="Ha verdadera",E3940="No rechazar H0"),"Error tipo II","Decisión correcta"))</f>
        <v>Decisión correcta</v>
      </c>
    </row>
    <row r="3941" customFormat="false" ht="15" hidden="false" customHeight="false" outlineLevel="0" collapsed="false">
      <c r="A3941" s="0" t="n">
        <v>3920</v>
      </c>
      <c r="B3941" s="0" t="s">
        <v>86</v>
      </c>
      <c r="C3941" s="17" t="n">
        <v>-0.772403704852357</v>
      </c>
      <c r="D3941" s="17" t="n">
        <f aca="false">(C3941-$B$4)/($B$6/SQRT($B$7))</f>
        <v>-3.86201852426178</v>
      </c>
      <c r="E3941" s="0" t="str">
        <f aca="false">IF(OR(AND($B$9="superior",D3941&gt;$B$10),AND($B$9="inferior",D3941&lt;-$B$10)),"Rechazar H0","No rechazar H0")</f>
        <v>Rechazar H0</v>
      </c>
      <c r="F3941" s="0" t="str">
        <f aca="false">IF(AND(B3941="H0 verdadera",E3941="Rechazar H0"),"Error tipo I",IF(AND(B3941="Ha verdadera",E3941="No rechazar H0"),"Error tipo II","Decisión correcta"))</f>
        <v>Decisión correcta</v>
      </c>
    </row>
    <row r="3942" customFormat="false" ht="15" hidden="false" customHeight="false" outlineLevel="0" collapsed="false">
      <c r="A3942" s="0" t="n">
        <v>3921</v>
      </c>
      <c r="B3942" s="0" t="s">
        <v>86</v>
      </c>
      <c r="C3942" s="17" t="n">
        <v>-0.467436249855844</v>
      </c>
      <c r="D3942" s="17" t="n">
        <f aca="false">(C3942-$B$4)/($B$6/SQRT($B$7))</f>
        <v>-2.33718124927922</v>
      </c>
      <c r="E3942" s="0" t="str">
        <f aca="false">IF(OR(AND($B$9="superior",D3942&gt;$B$10),AND($B$9="inferior",D3942&lt;-$B$10)),"Rechazar H0","No rechazar H0")</f>
        <v>Rechazar H0</v>
      </c>
      <c r="F3942" s="0" t="str">
        <f aca="false">IF(AND(B3942="H0 verdadera",E3942="Rechazar H0"),"Error tipo I",IF(AND(B3942="Ha verdadera",E3942="No rechazar H0"),"Error tipo II","Decisión correcta"))</f>
        <v>Decisión correcta</v>
      </c>
    </row>
    <row r="3943" customFormat="false" ht="15" hidden="false" customHeight="false" outlineLevel="0" collapsed="false">
      <c r="A3943" s="0" t="n">
        <v>3922</v>
      </c>
      <c r="B3943" s="0" t="s">
        <v>86</v>
      </c>
      <c r="C3943" s="17" t="n">
        <v>-0.656704350096838</v>
      </c>
      <c r="D3943" s="17" t="n">
        <f aca="false">(C3943-$B$4)/($B$6/SQRT($B$7))</f>
        <v>-3.28352175048419</v>
      </c>
      <c r="E3943" s="0" t="str">
        <f aca="false">IF(OR(AND($B$9="superior",D3943&gt;$B$10),AND($B$9="inferior",D3943&lt;-$B$10)),"Rechazar H0","No rechazar H0")</f>
        <v>Rechazar H0</v>
      </c>
      <c r="F3943" s="0" t="str">
        <f aca="false">IF(AND(B3943="H0 verdadera",E3943="Rechazar H0"),"Error tipo I",IF(AND(B3943="Ha verdadera",E3943="No rechazar H0"),"Error tipo II","Decisión correcta"))</f>
        <v>Decisión correcta</v>
      </c>
    </row>
    <row r="3944" customFormat="false" ht="15" hidden="false" customHeight="false" outlineLevel="0" collapsed="false">
      <c r="A3944" s="0" t="n">
        <v>3923</v>
      </c>
      <c r="B3944" s="0" t="s">
        <v>85</v>
      </c>
      <c r="C3944" s="17" t="n">
        <v>-0.0187460759525841</v>
      </c>
      <c r="D3944" s="17" t="n">
        <f aca="false">(C3944-$B$4)/($B$6/SQRT($B$7))</f>
        <v>-0.0937303797629206</v>
      </c>
      <c r="E3944" s="0" t="str">
        <f aca="false">IF(OR(AND($B$9="superior",D3944&gt;$B$10),AND($B$9="inferior",D3944&lt;-$B$10)),"Rechazar H0","No rechazar H0")</f>
        <v>No rechazar H0</v>
      </c>
      <c r="F3944" s="0" t="str">
        <f aca="false">IF(AND(B3944="H0 verdadera",E3944="Rechazar H0"),"Error tipo I",IF(AND(B3944="Ha verdadera",E3944="No rechazar H0"),"Error tipo II","Decisión correcta"))</f>
        <v>Decisión correcta</v>
      </c>
    </row>
    <row r="3945" customFormat="false" ht="15" hidden="false" customHeight="false" outlineLevel="0" collapsed="false">
      <c r="A3945" s="0" t="n">
        <v>3924</v>
      </c>
      <c r="B3945" s="0" t="s">
        <v>86</v>
      </c>
      <c r="C3945" s="17" t="n">
        <v>-0.111825789824421</v>
      </c>
      <c r="D3945" s="17" t="n">
        <f aca="false">(C3945-$B$4)/($B$6/SQRT($B$7))</f>
        <v>-0.559128949122103</v>
      </c>
      <c r="E3945" s="0" t="str">
        <f aca="false">IF(OR(AND($B$9="superior",D3945&gt;$B$10),AND($B$9="inferior",D3945&lt;-$B$10)),"Rechazar H0","No rechazar H0")</f>
        <v>No rechazar H0</v>
      </c>
      <c r="F3945" s="0" t="str">
        <f aca="false">IF(AND(B3945="H0 verdadera",E3945="Rechazar H0"),"Error tipo I",IF(AND(B3945="Ha verdadera",E3945="No rechazar H0"),"Error tipo II","Decisión correcta"))</f>
        <v>Error tipo II</v>
      </c>
    </row>
    <row r="3946" customFormat="false" ht="15" hidden="false" customHeight="false" outlineLevel="0" collapsed="false">
      <c r="A3946" s="0" t="n">
        <v>3925</v>
      </c>
      <c r="B3946" s="0" t="s">
        <v>85</v>
      </c>
      <c r="C3946" s="17" t="n">
        <v>0.0345647986423426</v>
      </c>
      <c r="D3946" s="17" t="n">
        <f aca="false">(C3946-$B$4)/($B$6/SQRT($B$7))</f>
        <v>0.172823993211713</v>
      </c>
      <c r="E3946" s="0" t="str">
        <f aca="false">IF(OR(AND($B$9="superior",D3946&gt;$B$10),AND($B$9="inferior",D3946&lt;-$B$10)),"Rechazar H0","No rechazar H0")</f>
        <v>No rechazar H0</v>
      </c>
      <c r="F3946" s="0" t="str">
        <f aca="false">IF(AND(B3946="H0 verdadera",E3946="Rechazar H0"),"Error tipo I",IF(AND(B3946="Ha verdadera",E3946="No rechazar H0"),"Error tipo II","Decisión correcta"))</f>
        <v>Decisión correcta</v>
      </c>
    </row>
    <row r="3947" customFormat="false" ht="15" hidden="false" customHeight="false" outlineLevel="0" collapsed="false">
      <c r="A3947" s="0" t="n">
        <v>3926</v>
      </c>
      <c r="B3947" s="0" t="s">
        <v>85</v>
      </c>
      <c r="C3947" s="17" t="n">
        <v>-0.179451791863121</v>
      </c>
      <c r="D3947" s="17" t="n">
        <f aca="false">(C3947-$B$4)/($B$6/SQRT($B$7))</f>
        <v>-0.897258959315607</v>
      </c>
      <c r="E3947" s="0" t="str">
        <f aca="false">IF(OR(AND($B$9="superior",D3947&gt;$B$10),AND($B$9="inferior",D3947&lt;-$B$10)),"Rechazar H0","No rechazar H0")</f>
        <v>No rechazar H0</v>
      </c>
      <c r="F3947" s="0" t="str">
        <f aca="false">IF(AND(B3947="H0 verdadera",E3947="Rechazar H0"),"Error tipo I",IF(AND(B3947="Ha verdadera",E3947="No rechazar H0"),"Error tipo II","Decisión correcta"))</f>
        <v>Decisión correcta</v>
      </c>
    </row>
    <row r="3948" customFormat="false" ht="15" hidden="false" customHeight="false" outlineLevel="0" collapsed="false">
      <c r="A3948" s="0" t="n">
        <v>3927</v>
      </c>
      <c r="B3948" s="0" t="s">
        <v>85</v>
      </c>
      <c r="C3948" s="17" t="n">
        <v>0.333543105986856</v>
      </c>
      <c r="D3948" s="17" t="n">
        <f aca="false">(C3948-$B$4)/($B$6/SQRT($B$7))</f>
        <v>1.66771552993428</v>
      </c>
      <c r="E3948" s="0" t="str">
        <f aca="false">IF(OR(AND($B$9="superior",D3948&gt;$B$10),AND($B$9="inferior",D3948&lt;-$B$10)),"Rechazar H0","No rechazar H0")</f>
        <v>No rechazar H0</v>
      </c>
      <c r="F3948" s="0" t="str">
        <f aca="false">IF(AND(B3948="H0 verdadera",E3948="Rechazar H0"),"Error tipo I",IF(AND(B3948="Ha verdadera",E3948="No rechazar H0"),"Error tipo II","Decisión correcta"))</f>
        <v>Decisión correcta</v>
      </c>
    </row>
    <row r="3949" customFormat="false" ht="15" hidden="false" customHeight="false" outlineLevel="0" collapsed="false">
      <c r="A3949" s="0" t="n">
        <v>3928</v>
      </c>
      <c r="B3949" s="0" t="s">
        <v>85</v>
      </c>
      <c r="C3949" s="17" t="n">
        <v>-0.0503926614241026</v>
      </c>
      <c r="D3949" s="17" t="n">
        <f aca="false">(C3949-$B$4)/($B$6/SQRT($B$7))</f>
        <v>-0.251963307120513</v>
      </c>
      <c r="E3949" s="0" t="str">
        <f aca="false">IF(OR(AND($B$9="superior",D3949&gt;$B$10),AND($B$9="inferior",D3949&lt;-$B$10)),"Rechazar H0","No rechazar H0")</f>
        <v>No rechazar H0</v>
      </c>
      <c r="F3949" s="0" t="str">
        <f aca="false">IF(AND(B3949="H0 verdadera",E3949="Rechazar H0"),"Error tipo I",IF(AND(B3949="Ha verdadera",E3949="No rechazar H0"),"Error tipo II","Decisión correcta"))</f>
        <v>Decisión correcta</v>
      </c>
    </row>
    <row r="3950" customFormat="false" ht="15" hidden="false" customHeight="false" outlineLevel="0" collapsed="false">
      <c r="A3950" s="0" t="n">
        <v>3929</v>
      </c>
      <c r="B3950" s="0" t="s">
        <v>85</v>
      </c>
      <c r="C3950" s="17" t="n">
        <v>-0.0916720792363037</v>
      </c>
      <c r="D3950" s="17" t="n">
        <f aca="false">(C3950-$B$4)/($B$6/SQRT($B$7))</f>
        <v>-0.458360396181518</v>
      </c>
      <c r="E3950" s="0" t="str">
        <f aca="false">IF(OR(AND($B$9="superior",D3950&gt;$B$10),AND($B$9="inferior",D3950&lt;-$B$10)),"Rechazar H0","No rechazar H0")</f>
        <v>No rechazar H0</v>
      </c>
      <c r="F3950" s="0" t="str">
        <f aca="false">IF(AND(B3950="H0 verdadera",E3950="Rechazar H0"),"Error tipo I",IF(AND(B3950="Ha verdadera",E3950="No rechazar H0"),"Error tipo II","Decisión correcta"))</f>
        <v>Decisión correcta</v>
      </c>
    </row>
    <row r="3951" customFormat="false" ht="15" hidden="false" customHeight="false" outlineLevel="0" collapsed="false">
      <c r="A3951" s="0" t="n">
        <v>3930</v>
      </c>
      <c r="B3951" s="0" t="s">
        <v>85</v>
      </c>
      <c r="C3951" s="17" t="n">
        <v>-0.309622596671181</v>
      </c>
      <c r="D3951" s="17" t="n">
        <f aca="false">(C3951-$B$4)/($B$6/SQRT($B$7))</f>
        <v>-1.54811298335591</v>
      </c>
      <c r="E3951" s="0" t="str">
        <f aca="false">IF(OR(AND($B$9="superior",D3951&gt;$B$10),AND($B$9="inferior",D3951&lt;-$B$10)),"Rechazar H0","No rechazar H0")</f>
        <v>No rechazar H0</v>
      </c>
      <c r="F3951" s="0" t="str">
        <f aca="false">IF(AND(B3951="H0 verdadera",E3951="Rechazar H0"),"Error tipo I",IF(AND(B3951="Ha verdadera",E3951="No rechazar H0"),"Error tipo II","Decisión correcta"))</f>
        <v>Decisión correcta</v>
      </c>
    </row>
    <row r="3952" customFormat="false" ht="15" hidden="false" customHeight="false" outlineLevel="0" collapsed="false">
      <c r="A3952" s="0" t="n">
        <v>3931</v>
      </c>
      <c r="B3952" s="0" t="s">
        <v>85</v>
      </c>
      <c r="C3952" s="17" t="n">
        <v>-0.180988661212617</v>
      </c>
      <c r="D3952" s="17" t="n">
        <f aca="false">(C3952-$B$4)/($B$6/SQRT($B$7))</f>
        <v>-0.904943306063084</v>
      </c>
      <c r="E3952" s="0" t="str">
        <f aca="false">IF(OR(AND($B$9="superior",D3952&gt;$B$10),AND($B$9="inferior",D3952&lt;-$B$10)),"Rechazar H0","No rechazar H0")</f>
        <v>No rechazar H0</v>
      </c>
      <c r="F3952" s="0" t="str">
        <f aca="false">IF(AND(B3952="H0 verdadera",E3952="Rechazar H0"),"Error tipo I",IF(AND(B3952="Ha verdadera",E3952="No rechazar H0"),"Error tipo II","Decisión correcta"))</f>
        <v>Decisión correcta</v>
      </c>
    </row>
    <row r="3953" customFormat="false" ht="15" hidden="false" customHeight="false" outlineLevel="0" collapsed="false">
      <c r="A3953" s="0" t="n">
        <v>3932</v>
      </c>
      <c r="B3953" s="0" t="s">
        <v>86</v>
      </c>
      <c r="C3953" s="17" t="n">
        <v>-0.591902353207252</v>
      </c>
      <c r="D3953" s="17" t="n">
        <f aca="false">(C3953-$B$4)/($B$6/SQRT($B$7))</f>
        <v>-2.95951176603626</v>
      </c>
      <c r="E3953" s="0" t="str">
        <f aca="false">IF(OR(AND($B$9="superior",D3953&gt;$B$10),AND($B$9="inferior",D3953&lt;-$B$10)),"Rechazar H0","No rechazar H0")</f>
        <v>Rechazar H0</v>
      </c>
      <c r="F3953" s="0" t="str">
        <f aca="false">IF(AND(B3953="H0 verdadera",E3953="Rechazar H0"),"Error tipo I",IF(AND(B3953="Ha verdadera",E3953="No rechazar H0"),"Error tipo II","Decisión correcta"))</f>
        <v>Decisión correcta</v>
      </c>
    </row>
    <row r="3954" customFormat="false" ht="15" hidden="false" customHeight="false" outlineLevel="0" collapsed="false">
      <c r="A3954" s="0" t="n">
        <v>3933</v>
      </c>
      <c r="B3954" s="0" t="s">
        <v>86</v>
      </c>
      <c r="C3954" s="17" t="n">
        <v>-0.583870540523151</v>
      </c>
      <c r="D3954" s="17" t="n">
        <f aca="false">(C3954-$B$4)/($B$6/SQRT($B$7))</f>
        <v>-2.91935270261575</v>
      </c>
      <c r="E3954" s="0" t="str">
        <f aca="false">IF(OR(AND($B$9="superior",D3954&gt;$B$10),AND($B$9="inferior",D3954&lt;-$B$10)),"Rechazar H0","No rechazar H0")</f>
        <v>Rechazar H0</v>
      </c>
      <c r="F3954" s="0" t="str">
        <f aca="false">IF(AND(B3954="H0 verdadera",E3954="Rechazar H0"),"Error tipo I",IF(AND(B3954="Ha verdadera",E3954="No rechazar H0"),"Error tipo II","Decisión correcta"))</f>
        <v>Decisión correcta</v>
      </c>
    </row>
    <row r="3955" customFormat="false" ht="15" hidden="false" customHeight="false" outlineLevel="0" collapsed="false">
      <c r="A3955" s="0" t="n">
        <v>3934</v>
      </c>
      <c r="B3955" s="0" t="s">
        <v>86</v>
      </c>
      <c r="C3955" s="17" t="n">
        <v>-0.573395779619751</v>
      </c>
      <c r="D3955" s="17" t="n">
        <f aca="false">(C3955-$B$4)/($B$6/SQRT($B$7))</f>
        <v>-2.86697889809875</v>
      </c>
      <c r="E3955" s="0" t="str">
        <f aca="false">IF(OR(AND($B$9="superior",D3955&gt;$B$10),AND($B$9="inferior",D3955&lt;-$B$10)),"Rechazar H0","No rechazar H0")</f>
        <v>Rechazar H0</v>
      </c>
      <c r="F3955" s="0" t="str">
        <f aca="false">IF(AND(B3955="H0 verdadera",E3955="Rechazar H0"),"Error tipo I",IF(AND(B3955="Ha verdadera",E3955="No rechazar H0"),"Error tipo II","Decisión correcta"))</f>
        <v>Decisión correcta</v>
      </c>
    </row>
    <row r="3956" customFormat="false" ht="15" hidden="false" customHeight="false" outlineLevel="0" collapsed="false">
      <c r="A3956" s="0" t="n">
        <v>3935</v>
      </c>
      <c r="B3956" s="0" t="s">
        <v>85</v>
      </c>
      <c r="C3956" s="17" t="n">
        <v>0.0515119363139098</v>
      </c>
      <c r="D3956" s="17" t="n">
        <f aca="false">(C3956-$B$4)/($B$6/SQRT($B$7))</f>
        <v>0.257559681569549</v>
      </c>
      <c r="E3956" s="0" t="str">
        <f aca="false">IF(OR(AND($B$9="superior",D3956&gt;$B$10),AND($B$9="inferior",D3956&lt;-$B$10)),"Rechazar H0","No rechazar H0")</f>
        <v>No rechazar H0</v>
      </c>
      <c r="F3956" s="0" t="str">
        <f aca="false">IF(AND(B3956="H0 verdadera",E3956="Rechazar H0"),"Error tipo I",IF(AND(B3956="Ha verdadera",E3956="No rechazar H0"),"Error tipo II","Decisión correcta"))</f>
        <v>Decisión correcta</v>
      </c>
    </row>
    <row r="3957" customFormat="false" ht="15" hidden="false" customHeight="false" outlineLevel="0" collapsed="false">
      <c r="A3957" s="0" t="n">
        <v>3936</v>
      </c>
      <c r="B3957" s="0" t="s">
        <v>85</v>
      </c>
      <c r="C3957" s="17" t="n">
        <v>-0.115710837568912</v>
      </c>
      <c r="D3957" s="17" t="n">
        <f aca="false">(C3957-$B$4)/($B$6/SQRT($B$7))</f>
        <v>-0.578554187844558</v>
      </c>
      <c r="E3957" s="0" t="str">
        <f aca="false">IF(OR(AND($B$9="superior",D3957&gt;$B$10),AND($B$9="inferior",D3957&lt;-$B$10)),"Rechazar H0","No rechazar H0")</f>
        <v>No rechazar H0</v>
      </c>
      <c r="F3957" s="0" t="str">
        <f aca="false">IF(AND(B3957="H0 verdadera",E3957="Rechazar H0"),"Error tipo I",IF(AND(B3957="Ha verdadera",E3957="No rechazar H0"),"Error tipo II","Decisión correcta"))</f>
        <v>Decisión correcta</v>
      </c>
    </row>
    <row r="3958" customFormat="false" ht="15" hidden="false" customHeight="false" outlineLevel="0" collapsed="false">
      <c r="A3958" s="0" t="n">
        <v>3937</v>
      </c>
      <c r="B3958" s="0" t="s">
        <v>86</v>
      </c>
      <c r="C3958" s="17" t="n">
        <v>-0.558431758397856</v>
      </c>
      <c r="D3958" s="17" t="n">
        <f aca="false">(C3958-$B$4)/($B$6/SQRT($B$7))</f>
        <v>-2.79215879198928</v>
      </c>
      <c r="E3958" s="0" t="str">
        <f aca="false">IF(OR(AND($B$9="superior",D3958&gt;$B$10),AND($B$9="inferior",D3958&lt;-$B$10)),"Rechazar H0","No rechazar H0")</f>
        <v>Rechazar H0</v>
      </c>
      <c r="F3958" s="0" t="str">
        <f aca="false">IF(AND(B3958="H0 verdadera",E3958="Rechazar H0"),"Error tipo I",IF(AND(B3958="Ha verdadera",E3958="No rechazar H0"),"Error tipo II","Decisión correcta"))</f>
        <v>Decisión correcta</v>
      </c>
    </row>
    <row r="3959" customFormat="false" ht="15" hidden="false" customHeight="false" outlineLevel="0" collapsed="false">
      <c r="A3959" s="0" t="n">
        <v>3938</v>
      </c>
      <c r="B3959" s="0" t="s">
        <v>85</v>
      </c>
      <c r="C3959" s="17" t="n">
        <v>0.344023347172004</v>
      </c>
      <c r="D3959" s="17" t="n">
        <f aca="false">(C3959-$B$4)/($B$6/SQRT($B$7))</f>
        <v>1.72011673586002</v>
      </c>
      <c r="E3959" s="0" t="str">
        <f aca="false">IF(OR(AND($B$9="superior",D3959&gt;$B$10),AND($B$9="inferior",D3959&lt;-$B$10)),"Rechazar H0","No rechazar H0")</f>
        <v>No rechazar H0</v>
      </c>
      <c r="F3959" s="0" t="str">
        <f aca="false">IF(AND(B3959="H0 verdadera",E3959="Rechazar H0"),"Error tipo I",IF(AND(B3959="Ha verdadera",E3959="No rechazar H0"),"Error tipo II","Decisión correcta"))</f>
        <v>Decisión correcta</v>
      </c>
    </row>
    <row r="3960" customFormat="false" ht="15" hidden="false" customHeight="false" outlineLevel="0" collapsed="false">
      <c r="A3960" s="0" t="n">
        <v>3939</v>
      </c>
      <c r="B3960" s="0" t="s">
        <v>85</v>
      </c>
      <c r="C3960" s="17" t="n">
        <v>-0.0977464521411078</v>
      </c>
      <c r="D3960" s="17" t="n">
        <f aca="false">(C3960-$B$4)/($B$6/SQRT($B$7))</f>
        <v>-0.488732260705539</v>
      </c>
      <c r="E3960" s="0" t="str">
        <f aca="false">IF(OR(AND($B$9="superior",D3960&gt;$B$10),AND($B$9="inferior",D3960&lt;-$B$10)),"Rechazar H0","No rechazar H0")</f>
        <v>No rechazar H0</v>
      </c>
      <c r="F3960" s="0" t="str">
        <f aca="false">IF(AND(B3960="H0 verdadera",E3960="Rechazar H0"),"Error tipo I",IF(AND(B3960="Ha verdadera",E3960="No rechazar H0"),"Error tipo II","Decisión correcta"))</f>
        <v>Decisión correcta</v>
      </c>
    </row>
    <row r="3961" customFormat="false" ht="15" hidden="false" customHeight="false" outlineLevel="0" collapsed="false">
      <c r="A3961" s="0" t="n">
        <v>3940</v>
      </c>
      <c r="B3961" s="0" t="s">
        <v>85</v>
      </c>
      <c r="C3961" s="17" t="n">
        <v>-0.00951267113537417</v>
      </c>
      <c r="D3961" s="17" t="n">
        <f aca="false">(C3961-$B$4)/($B$6/SQRT($B$7))</f>
        <v>-0.0475633556768709</v>
      </c>
      <c r="E3961" s="0" t="str">
        <f aca="false">IF(OR(AND($B$9="superior",D3961&gt;$B$10),AND($B$9="inferior",D3961&lt;-$B$10)),"Rechazar H0","No rechazar H0")</f>
        <v>No rechazar H0</v>
      </c>
      <c r="F3961" s="0" t="str">
        <f aca="false">IF(AND(B3961="H0 verdadera",E3961="Rechazar H0"),"Error tipo I",IF(AND(B3961="Ha verdadera",E3961="No rechazar H0"),"Error tipo II","Decisión correcta"))</f>
        <v>Decisión correcta</v>
      </c>
    </row>
    <row r="3962" customFormat="false" ht="15" hidden="false" customHeight="false" outlineLevel="0" collapsed="false">
      <c r="A3962" s="0" t="n">
        <v>3941</v>
      </c>
      <c r="B3962" s="0" t="s">
        <v>85</v>
      </c>
      <c r="C3962" s="17" t="n">
        <v>0.488735141603527</v>
      </c>
      <c r="D3962" s="17" t="n">
        <f aca="false">(C3962-$B$4)/($B$6/SQRT($B$7))</f>
        <v>2.44367570801763</v>
      </c>
      <c r="E3962" s="0" t="str">
        <f aca="false">IF(OR(AND($B$9="superior",D3962&gt;$B$10),AND($B$9="inferior",D3962&lt;-$B$10)),"Rechazar H0","No rechazar H0")</f>
        <v>No rechazar H0</v>
      </c>
      <c r="F3962" s="0" t="str">
        <f aca="false">IF(AND(B3962="H0 verdadera",E3962="Rechazar H0"),"Error tipo I",IF(AND(B3962="Ha verdadera",E3962="No rechazar H0"),"Error tipo II","Decisión correcta"))</f>
        <v>Decisión correcta</v>
      </c>
    </row>
    <row r="3963" customFormat="false" ht="15" hidden="false" customHeight="false" outlineLevel="0" collapsed="false">
      <c r="A3963" s="0" t="n">
        <v>3942</v>
      </c>
      <c r="B3963" s="0" t="s">
        <v>85</v>
      </c>
      <c r="C3963" s="17" t="n">
        <v>0.207681886935014</v>
      </c>
      <c r="D3963" s="17" t="n">
        <f aca="false">(C3963-$B$4)/($B$6/SQRT($B$7))</f>
        <v>1.03840943467507</v>
      </c>
      <c r="E3963" s="0" t="str">
        <f aca="false">IF(OR(AND($B$9="superior",D3963&gt;$B$10),AND($B$9="inferior",D3963&lt;-$B$10)),"Rechazar H0","No rechazar H0")</f>
        <v>No rechazar H0</v>
      </c>
      <c r="F3963" s="0" t="str">
        <f aca="false">IF(AND(B3963="H0 verdadera",E3963="Rechazar H0"),"Error tipo I",IF(AND(B3963="Ha verdadera",E3963="No rechazar H0"),"Error tipo II","Decisión correcta"))</f>
        <v>Decisión correcta</v>
      </c>
    </row>
    <row r="3964" customFormat="false" ht="15" hidden="false" customHeight="false" outlineLevel="0" collapsed="false">
      <c r="A3964" s="0" t="n">
        <v>3943</v>
      </c>
      <c r="B3964" s="0" t="s">
        <v>86</v>
      </c>
      <c r="C3964" s="17" t="n">
        <v>-0.43639391888569</v>
      </c>
      <c r="D3964" s="17" t="n">
        <f aca="false">(C3964-$B$4)/($B$6/SQRT($B$7))</f>
        <v>-2.18196959442845</v>
      </c>
      <c r="E3964" s="0" t="str">
        <f aca="false">IF(OR(AND($B$9="superior",D3964&gt;$B$10),AND($B$9="inferior",D3964&lt;-$B$10)),"Rechazar H0","No rechazar H0")</f>
        <v>Rechazar H0</v>
      </c>
      <c r="F3964" s="0" t="str">
        <f aca="false">IF(AND(B3964="H0 verdadera",E3964="Rechazar H0"),"Error tipo I",IF(AND(B3964="Ha verdadera",E3964="No rechazar H0"),"Error tipo II","Decisión correcta"))</f>
        <v>Decisión correcta</v>
      </c>
    </row>
    <row r="3965" customFormat="false" ht="15" hidden="false" customHeight="false" outlineLevel="0" collapsed="false">
      <c r="A3965" s="0" t="n">
        <v>3944</v>
      </c>
      <c r="B3965" s="0" t="s">
        <v>85</v>
      </c>
      <c r="C3965" s="17" t="n">
        <v>-0.130672228669614</v>
      </c>
      <c r="D3965" s="17" t="n">
        <f aca="false">(C3965-$B$4)/($B$6/SQRT($B$7))</f>
        <v>-0.653361143348069</v>
      </c>
      <c r="E3965" s="0" t="str">
        <f aca="false">IF(OR(AND($B$9="superior",D3965&gt;$B$10),AND($B$9="inferior",D3965&lt;-$B$10)),"Rechazar H0","No rechazar H0")</f>
        <v>No rechazar H0</v>
      </c>
      <c r="F3965" s="0" t="str">
        <f aca="false">IF(AND(B3965="H0 verdadera",E3965="Rechazar H0"),"Error tipo I",IF(AND(B3965="Ha verdadera",E3965="No rechazar H0"),"Error tipo II","Decisión correcta"))</f>
        <v>Decisión correcta</v>
      </c>
    </row>
    <row r="3966" customFormat="false" ht="15" hidden="false" customHeight="false" outlineLevel="0" collapsed="false">
      <c r="A3966" s="0" t="n">
        <v>3945</v>
      </c>
      <c r="B3966" s="0" t="s">
        <v>86</v>
      </c>
      <c r="C3966" s="17" t="n">
        <v>-0.407896565903981</v>
      </c>
      <c r="D3966" s="17" t="n">
        <f aca="false">(C3966-$B$4)/($B$6/SQRT($B$7))</f>
        <v>-2.03948282951991</v>
      </c>
      <c r="E3966" s="0" t="str">
        <f aca="false">IF(OR(AND($B$9="superior",D3966&gt;$B$10),AND($B$9="inferior",D3966&lt;-$B$10)),"Rechazar H0","No rechazar H0")</f>
        <v>Rechazar H0</v>
      </c>
      <c r="F3966" s="0" t="str">
        <f aca="false">IF(AND(B3966="H0 verdadera",E3966="Rechazar H0"),"Error tipo I",IF(AND(B3966="Ha verdadera",E3966="No rechazar H0"),"Error tipo II","Decisión correcta"))</f>
        <v>Decisión correcta</v>
      </c>
    </row>
    <row r="3967" customFormat="false" ht="15" hidden="false" customHeight="false" outlineLevel="0" collapsed="false">
      <c r="A3967" s="0" t="n">
        <v>3946</v>
      </c>
      <c r="B3967" s="0" t="s">
        <v>86</v>
      </c>
      <c r="C3967" s="17" t="n">
        <v>-0.223963950675559</v>
      </c>
      <c r="D3967" s="17" t="n">
        <f aca="false">(C3967-$B$4)/($B$6/SQRT($B$7))</f>
        <v>-1.1198197533778</v>
      </c>
      <c r="E3967" s="0" t="str">
        <f aca="false">IF(OR(AND($B$9="superior",D3967&gt;$B$10),AND($B$9="inferior",D3967&lt;-$B$10)),"Rechazar H0","No rechazar H0")</f>
        <v>No rechazar H0</v>
      </c>
      <c r="F3967" s="0" t="str">
        <f aca="false">IF(AND(B3967="H0 verdadera",E3967="Rechazar H0"),"Error tipo I",IF(AND(B3967="Ha verdadera",E3967="No rechazar H0"),"Error tipo II","Decisión correcta"))</f>
        <v>Error tipo II</v>
      </c>
    </row>
    <row r="3968" customFormat="false" ht="15" hidden="false" customHeight="false" outlineLevel="0" collapsed="false">
      <c r="A3968" s="0" t="n">
        <v>3947</v>
      </c>
      <c r="B3968" s="0" t="s">
        <v>86</v>
      </c>
      <c r="C3968" s="17" t="n">
        <v>-0.127678160585916</v>
      </c>
      <c r="D3968" s="17" t="n">
        <f aca="false">(C3968-$B$4)/($B$6/SQRT($B$7))</f>
        <v>-0.638390802929581</v>
      </c>
      <c r="E3968" s="0" t="str">
        <f aca="false">IF(OR(AND($B$9="superior",D3968&gt;$B$10),AND($B$9="inferior",D3968&lt;-$B$10)),"Rechazar H0","No rechazar H0")</f>
        <v>No rechazar H0</v>
      </c>
      <c r="F3968" s="0" t="str">
        <f aca="false">IF(AND(B3968="H0 verdadera",E3968="Rechazar H0"),"Error tipo I",IF(AND(B3968="Ha verdadera",E3968="No rechazar H0"),"Error tipo II","Decisión correcta"))</f>
        <v>Error tipo II</v>
      </c>
    </row>
    <row r="3969" customFormat="false" ht="15" hidden="false" customHeight="false" outlineLevel="0" collapsed="false">
      <c r="A3969" s="0" t="n">
        <v>3948</v>
      </c>
      <c r="B3969" s="0" t="s">
        <v>85</v>
      </c>
      <c r="C3969" s="17" t="n">
        <v>-0.121565267717796</v>
      </c>
      <c r="D3969" s="17" t="n">
        <f aca="false">(C3969-$B$4)/($B$6/SQRT($B$7))</f>
        <v>-0.607826338588977</v>
      </c>
      <c r="E3969" s="0" t="str">
        <f aca="false">IF(OR(AND($B$9="superior",D3969&gt;$B$10),AND($B$9="inferior",D3969&lt;-$B$10)),"Rechazar H0","No rechazar H0")</f>
        <v>No rechazar H0</v>
      </c>
      <c r="F3969" s="0" t="str">
        <f aca="false">IF(AND(B3969="H0 verdadera",E3969="Rechazar H0"),"Error tipo I",IF(AND(B3969="Ha verdadera",E3969="No rechazar H0"),"Error tipo II","Decisión correcta"))</f>
        <v>Decisión correcta</v>
      </c>
    </row>
    <row r="3970" customFormat="false" ht="15" hidden="false" customHeight="false" outlineLevel="0" collapsed="false">
      <c r="A3970" s="0" t="n">
        <v>3949</v>
      </c>
      <c r="B3970" s="0" t="s">
        <v>85</v>
      </c>
      <c r="C3970" s="17" t="n">
        <v>0.0943618828662615</v>
      </c>
      <c r="D3970" s="17" t="n">
        <f aca="false">(C3970-$B$4)/($B$6/SQRT($B$7))</f>
        <v>0.471809414331307</v>
      </c>
      <c r="E3970" s="0" t="str">
        <f aca="false">IF(OR(AND($B$9="superior",D3970&gt;$B$10),AND($B$9="inferior",D3970&lt;-$B$10)),"Rechazar H0","No rechazar H0")</f>
        <v>No rechazar H0</v>
      </c>
      <c r="F3970" s="0" t="str">
        <f aca="false">IF(AND(B3970="H0 verdadera",E3970="Rechazar H0"),"Error tipo I",IF(AND(B3970="Ha verdadera",E3970="No rechazar H0"),"Error tipo II","Decisión correcta"))</f>
        <v>Decisión correcta</v>
      </c>
    </row>
    <row r="3971" customFormat="false" ht="15" hidden="false" customHeight="false" outlineLevel="0" collapsed="false">
      <c r="A3971" s="0" t="n">
        <v>3950</v>
      </c>
      <c r="B3971" s="0" t="s">
        <v>86</v>
      </c>
      <c r="C3971" s="17" t="n">
        <v>-0.375836597184186</v>
      </c>
      <c r="D3971" s="17" t="n">
        <f aca="false">(C3971-$B$4)/($B$6/SQRT($B$7))</f>
        <v>-1.87918298592093</v>
      </c>
      <c r="E3971" s="0" t="str">
        <f aca="false">IF(OR(AND($B$9="superior",D3971&gt;$B$10),AND($B$9="inferior",D3971&lt;-$B$10)),"Rechazar H0","No rechazar H0")</f>
        <v>Rechazar H0</v>
      </c>
      <c r="F3971" s="0" t="str">
        <f aca="false">IF(AND(B3971="H0 verdadera",E3971="Rechazar H0"),"Error tipo I",IF(AND(B3971="Ha verdadera",E3971="No rechazar H0"),"Error tipo II","Decisión correcta"))</f>
        <v>Decisión correcta</v>
      </c>
    </row>
    <row r="3972" customFormat="false" ht="15" hidden="false" customHeight="false" outlineLevel="0" collapsed="false">
      <c r="A3972" s="0" t="n">
        <v>3951</v>
      </c>
      <c r="B3972" s="0" t="s">
        <v>85</v>
      </c>
      <c r="C3972" s="17" t="n">
        <v>-0.233412815138987</v>
      </c>
      <c r="D3972" s="17" t="n">
        <f aca="false">(C3972-$B$4)/($B$6/SQRT($B$7))</f>
        <v>-1.16706407569494</v>
      </c>
      <c r="E3972" s="0" t="str">
        <f aca="false">IF(OR(AND($B$9="superior",D3972&gt;$B$10),AND($B$9="inferior",D3972&lt;-$B$10)),"Rechazar H0","No rechazar H0")</f>
        <v>No rechazar H0</v>
      </c>
      <c r="F3972" s="0" t="str">
        <f aca="false">IF(AND(B3972="H0 verdadera",E3972="Rechazar H0"),"Error tipo I",IF(AND(B3972="Ha verdadera",E3972="No rechazar H0"),"Error tipo II","Decisión correcta"))</f>
        <v>Decisión correcta</v>
      </c>
    </row>
    <row r="3973" customFormat="false" ht="15" hidden="false" customHeight="false" outlineLevel="0" collapsed="false">
      <c r="A3973" s="0" t="n">
        <v>3952</v>
      </c>
      <c r="B3973" s="0" t="s">
        <v>85</v>
      </c>
      <c r="C3973" s="17" t="n">
        <v>0.0026020693176227</v>
      </c>
      <c r="D3973" s="17" t="n">
        <f aca="false">(C3973-$B$4)/($B$6/SQRT($B$7))</f>
        <v>0.0130103465881135</v>
      </c>
      <c r="E3973" s="0" t="str">
        <f aca="false">IF(OR(AND($B$9="superior",D3973&gt;$B$10),AND($B$9="inferior",D3973&lt;-$B$10)),"Rechazar H0","No rechazar H0")</f>
        <v>No rechazar H0</v>
      </c>
      <c r="F3973" s="0" t="str">
        <f aca="false">IF(AND(B3973="H0 verdadera",E3973="Rechazar H0"),"Error tipo I",IF(AND(B3973="Ha verdadera",E3973="No rechazar H0"),"Error tipo II","Decisión correcta"))</f>
        <v>Decisión correcta</v>
      </c>
    </row>
    <row r="3974" customFormat="false" ht="15" hidden="false" customHeight="false" outlineLevel="0" collapsed="false">
      <c r="A3974" s="0" t="n">
        <v>3953</v>
      </c>
      <c r="B3974" s="0" t="s">
        <v>86</v>
      </c>
      <c r="C3974" s="17" t="n">
        <v>-0.461299840217863</v>
      </c>
      <c r="D3974" s="17" t="n">
        <f aca="false">(C3974-$B$4)/($B$6/SQRT($B$7))</f>
        <v>-2.30649920108931</v>
      </c>
      <c r="E3974" s="0" t="str">
        <f aca="false">IF(OR(AND($B$9="superior",D3974&gt;$B$10),AND($B$9="inferior",D3974&lt;-$B$10)),"Rechazar H0","No rechazar H0")</f>
        <v>Rechazar H0</v>
      </c>
      <c r="F3974" s="0" t="str">
        <f aca="false">IF(AND(B3974="H0 verdadera",E3974="Rechazar H0"),"Error tipo I",IF(AND(B3974="Ha verdadera",E3974="No rechazar H0"),"Error tipo II","Decisión correcta"))</f>
        <v>Decisión correcta</v>
      </c>
    </row>
    <row r="3975" customFormat="false" ht="15" hidden="false" customHeight="false" outlineLevel="0" collapsed="false">
      <c r="A3975" s="0" t="n">
        <v>3954</v>
      </c>
      <c r="B3975" s="0" t="s">
        <v>86</v>
      </c>
      <c r="C3975" s="17" t="n">
        <v>-0.565577625033269</v>
      </c>
      <c r="D3975" s="17" t="n">
        <f aca="false">(C3975-$B$4)/($B$6/SQRT($B$7))</f>
        <v>-2.82788812516634</v>
      </c>
      <c r="E3975" s="0" t="str">
        <f aca="false">IF(OR(AND($B$9="superior",D3975&gt;$B$10),AND($B$9="inferior",D3975&lt;-$B$10)),"Rechazar H0","No rechazar H0")</f>
        <v>Rechazar H0</v>
      </c>
      <c r="F3975" s="0" t="str">
        <f aca="false">IF(AND(B3975="H0 verdadera",E3975="Rechazar H0"),"Error tipo I",IF(AND(B3975="Ha verdadera",E3975="No rechazar H0"),"Error tipo II","Decisión correcta"))</f>
        <v>Decisión correcta</v>
      </c>
    </row>
    <row r="3976" customFormat="false" ht="15" hidden="false" customHeight="false" outlineLevel="0" collapsed="false">
      <c r="A3976" s="0" t="n">
        <v>3955</v>
      </c>
      <c r="B3976" s="0" t="s">
        <v>86</v>
      </c>
      <c r="C3976" s="17" t="n">
        <v>-0.37109264741985</v>
      </c>
      <c r="D3976" s="17" t="n">
        <f aca="false">(C3976-$B$4)/($B$6/SQRT($B$7))</f>
        <v>-1.85546323709925</v>
      </c>
      <c r="E3976" s="0" t="str">
        <f aca="false">IF(OR(AND($B$9="superior",D3976&gt;$B$10),AND($B$9="inferior",D3976&lt;-$B$10)),"Rechazar H0","No rechazar H0")</f>
        <v>Rechazar H0</v>
      </c>
      <c r="F3976" s="0" t="str">
        <f aca="false">IF(AND(B3976="H0 verdadera",E3976="Rechazar H0"),"Error tipo I",IF(AND(B3976="Ha verdadera",E3976="No rechazar H0"),"Error tipo II","Decisión correcta"))</f>
        <v>Decisión correcta</v>
      </c>
    </row>
    <row r="3977" customFormat="false" ht="15" hidden="false" customHeight="false" outlineLevel="0" collapsed="false">
      <c r="A3977" s="0" t="n">
        <v>3956</v>
      </c>
      <c r="B3977" s="0" t="s">
        <v>85</v>
      </c>
      <c r="C3977" s="17" t="n">
        <v>-0.300036632312066</v>
      </c>
      <c r="D3977" s="17" t="n">
        <f aca="false">(C3977-$B$4)/($B$6/SQRT($B$7))</f>
        <v>-1.50018316156033</v>
      </c>
      <c r="E3977" s="0" t="str">
        <f aca="false">IF(OR(AND($B$9="superior",D3977&gt;$B$10),AND($B$9="inferior",D3977&lt;-$B$10)),"Rechazar H0","No rechazar H0")</f>
        <v>No rechazar H0</v>
      </c>
      <c r="F3977" s="0" t="str">
        <f aca="false">IF(AND(B3977="H0 verdadera",E3977="Rechazar H0"),"Error tipo I",IF(AND(B3977="Ha verdadera",E3977="No rechazar H0"),"Error tipo II","Decisión correcta"))</f>
        <v>Decisión correcta</v>
      </c>
    </row>
    <row r="3978" customFormat="false" ht="15" hidden="false" customHeight="false" outlineLevel="0" collapsed="false">
      <c r="A3978" s="0" t="n">
        <v>3957</v>
      </c>
      <c r="B3978" s="0" t="s">
        <v>86</v>
      </c>
      <c r="C3978" s="17" t="n">
        <v>-0.538360469445744</v>
      </c>
      <c r="D3978" s="17" t="n">
        <f aca="false">(C3978-$B$4)/($B$6/SQRT($B$7))</f>
        <v>-2.69180234722872</v>
      </c>
      <c r="E3978" s="0" t="str">
        <f aca="false">IF(OR(AND($B$9="superior",D3978&gt;$B$10),AND($B$9="inferior",D3978&lt;-$B$10)),"Rechazar H0","No rechazar H0")</f>
        <v>Rechazar H0</v>
      </c>
      <c r="F3978" s="0" t="str">
        <f aca="false">IF(AND(B3978="H0 verdadera",E3978="Rechazar H0"),"Error tipo I",IF(AND(B3978="Ha verdadera",E3978="No rechazar H0"),"Error tipo II","Decisión correcta"))</f>
        <v>Decisión correcta</v>
      </c>
    </row>
    <row r="3979" customFormat="false" ht="15" hidden="false" customHeight="false" outlineLevel="0" collapsed="false">
      <c r="A3979" s="0" t="n">
        <v>3958</v>
      </c>
      <c r="B3979" s="0" t="s">
        <v>86</v>
      </c>
      <c r="C3979" s="17" t="n">
        <v>-0.555630454271938</v>
      </c>
      <c r="D3979" s="17" t="n">
        <f aca="false">(C3979-$B$4)/($B$6/SQRT($B$7))</f>
        <v>-2.77815227135969</v>
      </c>
      <c r="E3979" s="0" t="str">
        <f aca="false">IF(OR(AND($B$9="superior",D3979&gt;$B$10),AND($B$9="inferior",D3979&lt;-$B$10)),"Rechazar H0","No rechazar H0")</f>
        <v>Rechazar H0</v>
      </c>
      <c r="F3979" s="0" t="str">
        <f aca="false">IF(AND(B3979="H0 verdadera",E3979="Rechazar H0"),"Error tipo I",IF(AND(B3979="Ha verdadera",E3979="No rechazar H0"),"Error tipo II","Decisión correcta"))</f>
        <v>Decisión correcta</v>
      </c>
    </row>
    <row r="3980" customFormat="false" ht="15" hidden="false" customHeight="false" outlineLevel="0" collapsed="false">
      <c r="A3980" s="0" t="n">
        <v>3959</v>
      </c>
      <c r="B3980" s="0" t="s">
        <v>86</v>
      </c>
      <c r="C3980" s="17" t="n">
        <v>-0.374283868082973</v>
      </c>
      <c r="D3980" s="17" t="n">
        <f aca="false">(C3980-$B$4)/($B$6/SQRT($B$7))</f>
        <v>-1.87141934041486</v>
      </c>
      <c r="E3980" s="0" t="str">
        <f aca="false">IF(OR(AND($B$9="superior",D3980&gt;$B$10),AND($B$9="inferior",D3980&lt;-$B$10)),"Rechazar H0","No rechazar H0")</f>
        <v>Rechazar H0</v>
      </c>
      <c r="F3980" s="0" t="str">
        <f aca="false">IF(AND(B3980="H0 verdadera",E3980="Rechazar H0"),"Error tipo I",IF(AND(B3980="Ha verdadera",E3980="No rechazar H0"),"Error tipo II","Decisión correcta"))</f>
        <v>Decisión correcta</v>
      </c>
    </row>
    <row r="3981" customFormat="false" ht="15" hidden="false" customHeight="false" outlineLevel="0" collapsed="false">
      <c r="A3981" s="0" t="n">
        <v>3960</v>
      </c>
      <c r="B3981" s="0" t="s">
        <v>85</v>
      </c>
      <c r="C3981" s="17" t="n">
        <v>-0.0734561791225377</v>
      </c>
      <c r="D3981" s="17" t="n">
        <f aca="false">(C3981-$B$4)/($B$6/SQRT($B$7))</f>
        <v>-0.367280895612688</v>
      </c>
      <c r="E3981" s="0" t="str">
        <f aca="false">IF(OR(AND($B$9="superior",D3981&gt;$B$10),AND($B$9="inferior",D3981&lt;-$B$10)),"Rechazar H0","No rechazar H0")</f>
        <v>No rechazar H0</v>
      </c>
      <c r="F3981" s="0" t="str">
        <f aca="false">IF(AND(B3981="H0 verdadera",E3981="Rechazar H0"),"Error tipo I",IF(AND(B3981="Ha verdadera",E3981="No rechazar H0"),"Error tipo II","Decisión correcta"))</f>
        <v>Decisión correcta</v>
      </c>
    </row>
    <row r="3982" customFormat="false" ht="15" hidden="false" customHeight="false" outlineLevel="0" collapsed="false">
      <c r="A3982" s="0" t="n">
        <v>3961</v>
      </c>
      <c r="B3982" s="0" t="s">
        <v>85</v>
      </c>
      <c r="C3982" s="17" t="n">
        <v>0.0805186424329341</v>
      </c>
      <c r="D3982" s="17" t="n">
        <f aca="false">(C3982-$B$4)/($B$6/SQRT($B$7))</f>
        <v>0.402593212164671</v>
      </c>
      <c r="E3982" s="0" t="str">
        <f aca="false">IF(OR(AND($B$9="superior",D3982&gt;$B$10),AND($B$9="inferior",D3982&lt;-$B$10)),"Rechazar H0","No rechazar H0")</f>
        <v>No rechazar H0</v>
      </c>
      <c r="F3982" s="0" t="str">
        <f aca="false">IF(AND(B3982="H0 verdadera",E3982="Rechazar H0"),"Error tipo I",IF(AND(B3982="Ha verdadera",E3982="No rechazar H0"),"Error tipo II","Decisión correcta"))</f>
        <v>Decisión correcta</v>
      </c>
    </row>
    <row r="3983" customFormat="false" ht="15" hidden="false" customHeight="false" outlineLevel="0" collapsed="false">
      <c r="A3983" s="0" t="n">
        <v>3962</v>
      </c>
      <c r="B3983" s="0" t="s">
        <v>86</v>
      </c>
      <c r="C3983" s="17" t="n">
        <v>-0.728511080667904</v>
      </c>
      <c r="D3983" s="17" t="n">
        <f aca="false">(C3983-$B$4)/($B$6/SQRT($B$7))</f>
        <v>-3.64255540333952</v>
      </c>
      <c r="E3983" s="0" t="str">
        <f aca="false">IF(OR(AND($B$9="superior",D3983&gt;$B$10),AND($B$9="inferior",D3983&lt;-$B$10)),"Rechazar H0","No rechazar H0")</f>
        <v>Rechazar H0</v>
      </c>
      <c r="F3983" s="0" t="str">
        <f aca="false">IF(AND(B3983="H0 verdadera",E3983="Rechazar H0"),"Error tipo I",IF(AND(B3983="Ha verdadera",E3983="No rechazar H0"),"Error tipo II","Decisión correcta"))</f>
        <v>Decisión correcta</v>
      </c>
    </row>
    <row r="3984" customFormat="false" ht="15" hidden="false" customHeight="false" outlineLevel="0" collapsed="false">
      <c r="A3984" s="0" t="n">
        <v>3963</v>
      </c>
      <c r="B3984" s="0" t="s">
        <v>85</v>
      </c>
      <c r="C3984" s="17" t="n">
        <v>0.0348733883933456</v>
      </c>
      <c r="D3984" s="17" t="n">
        <f aca="false">(C3984-$B$4)/($B$6/SQRT($B$7))</f>
        <v>0.174366941966728</v>
      </c>
      <c r="E3984" s="0" t="str">
        <f aca="false">IF(OR(AND($B$9="superior",D3984&gt;$B$10),AND($B$9="inferior",D3984&lt;-$B$10)),"Rechazar H0","No rechazar H0")</f>
        <v>No rechazar H0</v>
      </c>
      <c r="F3984" s="0" t="str">
        <f aca="false">IF(AND(B3984="H0 verdadera",E3984="Rechazar H0"),"Error tipo I",IF(AND(B3984="Ha verdadera",E3984="No rechazar H0"),"Error tipo II","Decisión correcta"))</f>
        <v>Decisión correcta</v>
      </c>
    </row>
    <row r="3985" customFormat="false" ht="15" hidden="false" customHeight="false" outlineLevel="0" collapsed="false">
      <c r="A3985" s="0" t="n">
        <v>3964</v>
      </c>
      <c r="B3985" s="0" t="s">
        <v>85</v>
      </c>
      <c r="C3985" s="17" t="n">
        <v>-0.0875840300179654</v>
      </c>
      <c r="D3985" s="17" t="n">
        <f aca="false">(C3985-$B$4)/($B$6/SQRT($B$7))</f>
        <v>-0.437920150089827</v>
      </c>
      <c r="E3985" s="0" t="str">
        <f aca="false">IF(OR(AND($B$9="superior",D3985&gt;$B$10),AND($B$9="inferior",D3985&lt;-$B$10)),"Rechazar H0","No rechazar H0")</f>
        <v>No rechazar H0</v>
      </c>
      <c r="F3985" s="0" t="str">
        <f aca="false">IF(AND(B3985="H0 verdadera",E3985="Rechazar H0"),"Error tipo I",IF(AND(B3985="Ha verdadera",E3985="No rechazar H0"),"Error tipo II","Decisión correcta"))</f>
        <v>Decisión correcta</v>
      </c>
    </row>
    <row r="3986" customFormat="false" ht="15" hidden="false" customHeight="false" outlineLevel="0" collapsed="false">
      <c r="A3986" s="0" t="n">
        <v>3965</v>
      </c>
      <c r="B3986" s="0" t="s">
        <v>86</v>
      </c>
      <c r="C3986" s="17" t="n">
        <v>-0.34107032242634</v>
      </c>
      <c r="D3986" s="17" t="n">
        <f aca="false">(C3986-$B$4)/($B$6/SQRT($B$7))</f>
        <v>-1.7053516121317</v>
      </c>
      <c r="E3986" s="0" t="str">
        <f aca="false">IF(OR(AND($B$9="superior",D3986&gt;$B$10),AND($B$9="inferior",D3986&lt;-$B$10)),"Rechazar H0","No rechazar H0")</f>
        <v>Rechazar H0</v>
      </c>
      <c r="F3986" s="0" t="str">
        <f aca="false">IF(AND(B3986="H0 verdadera",E3986="Rechazar H0"),"Error tipo I",IF(AND(B3986="Ha verdadera",E3986="No rechazar H0"),"Error tipo II","Decisión correcta"))</f>
        <v>Decisión correcta</v>
      </c>
    </row>
    <row r="3987" customFormat="false" ht="15" hidden="false" customHeight="false" outlineLevel="0" collapsed="false">
      <c r="A3987" s="0" t="n">
        <v>3966</v>
      </c>
      <c r="B3987" s="0" t="s">
        <v>86</v>
      </c>
      <c r="C3987" s="17" t="n">
        <v>-0.367620030974549</v>
      </c>
      <c r="D3987" s="17" t="n">
        <f aca="false">(C3987-$B$4)/($B$6/SQRT($B$7))</f>
        <v>-1.83810015487274</v>
      </c>
      <c r="E3987" s="0" t="str">
        <f aca="false">IF(OR(AND($B$9="superior",D3987&gt;$B$10),AND($B$9="inferior",D3987&lt;-$B$10)),"Rechazar H0","No rechazar H0")</f>
        <v>Rechazar H0</v>
      </c>
      <c r="F3987" s="0" t="str">
        <f aca="false">IF(AND(B3987="H0 verdadera",E3987="Rechazar H0"),"Error tipo I",IF(AND(B3987="Ha verdadera",E3987="No rechazar H0"),"Error tipo II","Decisión correcta"))</f>
        <v>Decisión correcta</v>
      </c>
    </row>
    <row r="3988" customFormat="false" ht="15" hidden="false" customHeight="false" outlineLevel="0" collapsed="false">
      <c r="A3988" s="0" t="n">
        <v>3967</v>
      </c>
      <c r="B3988" s="0" t="s">
        <v>86</v>
      </c>
      <c r="C3988" s="17" t="n">
        <v>-0.380884483951187</v>
      </c>
      <c r="D3988" s="17" t="n">
        <f aca="false">(C3988-$B$4)/($B$6/SQRT($B$7))</f>
        <v>-1.90442241975593</v>
      </c>
      <c r="E3988" s="0" t="str">
        <f aca="false">IF(OR(AND($B$9="superior",D3988&gt;$B$10),AND($B$9="inferior",D3988&lt;-$B$10)),"Rechazar H0","No rechazar H0")</f>
        <v>Rechazar H0</v>
      </c>
      <c r="F3988" s="0" t="str">
        <f aca="false">IF(AND(B3988="H0 verdadera",E3988="Rechazar H0"),"Error tipo I",IF(AND(B3988="Ha verdadera",E3988="No rechazar H0"),"Error tipo II","Decisión correcta"))</f>
        <v>Decisión correcta</v>
      </c>
    </row>
    <row r="3989" customFormat="false" ht="15" hidden="false" customHeight="false" outlineLevel="0" collapsed="false">
      <c r="A3989" s="0" t="n">
        <v>3968</v>
      </c>
      <c r="B3989" s="0" t="s">
        <v>85</v>
      </c>
      <c r="C3989" s="17" t="n">
        <v>0.236218348863652</v>
      </c>
      <c r="D3989" s="17" t="n">
        <f aca="false">(C3989-$B$4)/($B$6/SQRT($B$7))</f>
        <v>1.18109174431826</v>
      </c>
      <c r="E3989" s="0" t="str">
        <f aca="false">IF(OR(AND($B$9="superior",D3989&gt;$B$10),AND($B$9="inferior",D3989&lt;-$B$10)),"Rechazar H0","No rechazar H0")</f>
        <v>No rechazar H0</v>
      </c>
      <c r="F3989" s="0" t="str">
        <f aca="false">IF(AND(B3989="H0 verdadera",E3989="Rechazar H0"),"Error tipo I",IF(AND(B3989="Ha verdadera",E3989="No rechazar H0"),"Error tipo II","Decisión correcta"))</f>
        <v>Decisión correcta</v>
      </c>
    </row>
    <row r="3990" customFormat="false" ht="15" hidden="false" customHeight="false" outlineLevel="0" collapsed="false">
      <c r="A3990" s="0" t="n">
        <v>3969</v>
      </c>
      <c r="B3990" s="0" t="s">
        <v>86</v>
      </c>
      <c r="C3990" s="17" t="n">
        <v>-0.569137380678909</v>
      </c>
      <c r="D3990" s="17" t="n">
        <f aca="false">(C3990-$B$4)/($B$6/SQRT($B$7))</f>
        <v>-2.84568690339454</v>
      </c>
      <c r="E3990" s="0" t="str">
        <f aca="false">IF(OR(AND($B$9="superior",D3990&gt;$B$10),AND($B$9="inferior",D3990&lt;-$B$10)),"Rechazar H0","No rechazar H0")</f>
        <v>Rechazar H0</v>
      </c>
      <c r="F3990" s="0" t="str">
        <f aca="false">IF(AND(B3990="H0 verdadera",E3990="Rechazar H0"),"Error tipo I",IF(AND(B3990="Ha verdadera",E3990="No rechazar H0"),"Error tipo II","Decisión correcta"))</f>
        <v>Decisión correcta</v>
      </c>
    </row>
    <row r="3991" customFormat="false" ht="15" hidden="false" customHeight="false" outlineLevel="0" collapsed="false">
      <c r="A3991" s="0" t="n">
        <v>3970</v>
      </c>
      <c r="B3991" s="0" t="s">
        <v>86</v>
      </c>
      <c r="C3991" s="17" t="n">
        <v>-0.554773107816137</v>
      </c>
      <c r="D3991" s="17" t="n">
        <f aca="false">(C3991-$B$4)/($B$6/SQRT($B$7))</f>
        <v>-2.77386553908069</v>
      </c>
      <c r="E3991" s="0" t="str">
        <f aca="false">IF(OR(AND($B$9="superior",D3991&gt;$B$10),AND($B$9="inferior",D3991&lt;-$B$10)),"Rechazar H0","No rechazar H0")</f>
        <v>Rechazar H0</v>
      </c>
      <c r="F3991" s="0" t="str">
        <f aca="false">IF(AND(B3991="H0 verdadera",E3991="Rechazar H0"),"Error tipo I",IF(AND(B3991="Ha verdadera",E3991="No rechazar H0"),"Error tipo II","Decisión correcta"))</f>
        <v>Decisión correcta</v>
      </c>
    </row>
    <row r="3992" customFormat="false" ht="15" hidden="false" customHeight="false" outlineLevel="0" collapsed="false">
      <c r="A3992" s="0" t="n">
        <v>3971</v>
      </c>
      <c r="B3992" s="0" t="s">
        <v>85</v>
      </c>
      <c r="C3992" s="17" t="n">
        <v>-0.207194578625512</v>
      </c>
      <c r="D3992" s="17" t="n">
        <f aca="false">(C3992-$B$4)/($B$6/SQRT($B$7))</f>
        <v>-1.03597289312756</v>
      </c>
      <c r="E3992" s="0" t="str">
        <f aca="false">IF(OR(AND($B$9="superior",D3992&gt;$B$10),AND($B$9="inferior",D3992&lt;-$B$10)),"Rechazar H0","No rechazar H0")</f>
        <v>No rechazar H0</v>
      </c>
      <c r="F3992" s="0" t="str">
        <f aca="false">IF(AND(B3992="H0 verdadera",E3992="Rechazar H0"),"Error tipo I",IF(AND(B3992="Ha verdadera",E3992="No rechazar H0"),"Error tipo II","Decisión correcta"))</f>
        <v>Decisión correcta</v>
      </c>
    </row>
    <row r="3993" customFormat="false" ht="15" hidden="false" customHeight="false" outlineLevel="0" collapsed="false">
      <c r="A3993" s="0" t="n">
        <v>3972</v>
      </c>
      <c r="B3993" s="0" t="s">
        <v>86</v>
      </c>
      <c r="C3993" s="17" t="n">
        <v>-0.0533432998301696</v>
      </c>
      <c r="D3993" s="17" t="n">
        <f aca="false">(C3993-$B$4)/($B$6/SQRT($B$7))</f>
        <v>-0.266716499150848</v>
      </c>
      <c r="E3993" s="0" t="str">
        <f aca="false">IF(OR(AND($B$9="superior",D3993&gt;$B$10),AND($B$9="inferior",D3993&lt;-$B$10)),"Rechazar H0","No rechazar H0")</f>
        <v>No rechazar H0</v>
      </c>
      <c r="F3993" s="0" t="str">
        <f aca="false">IF(AND(B3993="H0 verdadera",E3993="Rechazar H0"),"Error tipo I",IF(AND(B3993="Ha verdadera",E3993="No rechazar H0"),"Error tipo II","Decisión correcta"))</f>
        <v>Error tipo II</v>
      </c>
    </row>
    <row r="3994" customFormat="false" ht="15" hidden="false" customHeight="false" outlineLevel="0" collapsed="false">
      <c r="A3994" s="0" t="n">
        <v>3973</v>
      </c>
      <c r="B3994" s="0" t="s">
        <v>86</v>
      </c>
      <c r="C3994" s="17" t="n">
        <v>-0.322118427682588</v>
      </c>
      <c r="D3994" s="17" t="n">
        <f aca="false">(C3994-$B$4)/($B$6/SQRT($B$7))</f>
        <v>-1.61059213841294</v>
      </c>
      <c r="E3994" s="0" t="str">
        <f aca="false">IF(OR(AND($B$9="superior",D3994&gt;$B$10),AND($B$9="inferior",D3994&lt;-$B$10)),"Rechazar H0","No rechazar H0")</f>
        <v>No rechazar H0</v>
      </c>
      <c r="F3994" s="0" t="str">
        <f aca="false">IF(AND(B3994="H0 verdadera",E3994="Rechazar H0"),"Error tipo I",IF(AND(B3994="Ha verdadera",E3994="No rechazar H0"),"Error tipo II","Decisión correcta"))</f>
        <v>Error tipo II</v>
      </c>
    </row>
    <row r="3995" customFormat="false" ht="15" hidden="false" customHeight="false" outlineLevel="0" collapsed="false">
      <c r="A3995" s="0" t="n">
        <v>3974</v>
      </c>
      <c r="B3995" s="0" t="s">
        <v>86</v>
      </c>
      <c r="C3995" s="17" t="n">
        <v>-0.5961210055316</v>
      </c>
      <c r="D3995" s="17" t="n">
        <f aca="false">(C3995-$B$4)/($B$6/SQRT($B$7))</f>
        <v>-2.980605027658</v>
      </c>
      <c r="E3995" s="0" t="str">
        <f aca="false">IF(OR(AND($B$9="superior",D3995&gt;$B$10),AND($B$9="inferior",D3995&lt;-$B$10)),"Rechazar H0","No rechazar H0")</f>
        <v>Rechazar H0</v>
      </c>
      <c r="F3995" s="0" t="str">
        <f aca="false">IF(AND(B3995="H0 verdadera",E3995="Rechazar H0"),"Error tipo I",IF(AND(B3995="Ha verdadera",E3995="No rechazar H0"),"Error tipo II","Decisión correcta"))</f>
        <v>Decisión correcta</v>
      </c>
    </row>
    <row r="3996" customFormat="false" ht="15" hidden="false" customHeight="false" outlineLevel="0" collapsed="false">
      <c r="A3996" s="0" t="n">
        <v>3975</v>
      </c>
      <c r="B3996" s="0" t="s">
        <v>85</v>
      </c>
      <c r="C3996" s="17" t="n">
        <v>0.0176285574767231</v>
      </c>
      <c r="D3996" s="17" t="n">
        <f aca="false">(C3996-$B$4)/($B$6/SQRT($B$7))</f>
        <v>0.0881427873836153</v>
      </c>
      <c r="E3996" s="0" t="str">
        <f aca="false">IF(OR(AND($B$9="superior",D3996&gt;$B$10),AND($B$9="inferior",D3996&lt;-$B$10)),"Rechazar H0","No rechazar H0")</f>
        <v>No rechazar H0</v>
      </c>
      <c r="F3996" s="0" t="str">
        <f aca="false">IF(AND(B3996="H0 verdadera",E3996="Rechazar H0"),"Error tipo I",IF(AND(B3996="Ha verdadera",E3996="No rechazar H0"),"Error tipo II","Decisión correcta"))</f>
        <v>Decisión correcta</v>
      </c>
    </row>
    <row r="3997" customFormat="false" ht="15" hidden="false" customHeight="false" outlineLevel="0" collapsed="false">
      <c r="A3997" s="0" t="n">
        <v>3976</v>
      </c>
      <c r="B3997" s="0" t="s">
        <v>85</v>
      </c>
      <c r="C3997" s="17" t="n">
        <v>0.0989576001830946</v>
      </c>
      <c r="D3997" s="17" t="n">
        <f aca="false">(C3997-$B$4)/($B$6/SQRT($B$7))</f>
        <v>0.494788000915473</v>
      </c>
      <c r="E3997" s="0" t="str">
        <f aca="false">IF(OR(AND($B$9="superior",D3997&gt;$B$10),AND($B$9="inferior",D3997&lt;-$B$10)),"Rechazar H0","No rechazar H0")</f>
        <v>No rechazar H0</v>
      </c>
      <c r="F3997" s="0" t="str">
        <f aca="false">IF(AND(B3997="H0 verdadera",E3997="Rechazar H0"),"Error tipo I",IF(AND(B3997="Ha verdadera",E3997="No rechazar H0"),"Error tipo II","Decisión correcta"))</f>
        <v>Decisión correcta</v>
      </c>
    </row>
    <row r="3998" customFormat="false" ht="15" hidden="false" customHeight="false" outlineLevel="0" collapsed="false">
      <c r="A3998" s="0" t="n">
        <v>3977</v>
      </c>
      <c r="B3998" s="0" t="s">
        <v>85</v>
      </c>
      <c r="C3998" s="17" t="n">
        <v>-0.123775954050804</v>
      </c>
      <c r="D3998" s="17" t="n">
        <f aca="false">(C3998-$B$4)/($B$6/SQRT($B$7))</f>
        <v>-0.618879770254021</v>
      </c>
      <c r="E3998" s="0" t="str">
        <f aca="false">IF(OR(AND($B$9="superior",D3998&gt;$B$10),AND($B$9="inferior",D3998&lt;-$B$10)),"Rechazar H0","No rechazar H0")</f>
        <v>No rechazar H0</v>
      </c>
      <c r="F3998" s="0" t="str">
        <f aca="false">IF(AND(B3998="H0 verdadera",E3998="Rechazar H0"),"Error tipo I",IF(AND(B3998="Ha verdadera",E3998="No rechazar H0"),"Error tipo II","Decisión correcta"))</f>
        <v>Decisión correcta</v>
      </c>
    </row>
    <row r="3999" customFormat="false" ht="15" hidden="false" customHeight="false" outlineLevel="0" collapsed="false">
      <c r="A3999" s="0" t="n">
        <v>3978</v>
      </c>
      <c r="B3999" s="0" t="s">
        <v>85</v>
      </c>
      <c r="C3999" s="17" t="n">
        <v>-0.00479635074661466</v>
      </c>
      <c r="D3999" s="17" t="n">
        <f aca="false">(C3999-$B$4)/($B$6/SQRT($B$7))</f>
        <v>-0.0239817537330733</v>
      </c>
      <c r="E3999" s="0" t="str">
        <f aca="false">IF(OR(AND($B$9="superior",D3999&gt;$B$10),AND($B$9="inferior",D3999&lt;-$B$10)),"Rechazar H0","No rechazar H0")</f>
        <v>No rechazar H0</v>
      </c>
      <c r="F3999" s="0" t="str">
        <f aca="false">IF(AND(B3999="H0 verdadera",E3999="Rechazar H0"),"Error tipo I",IF(AND(B3999="Ha verdadera",E3999="No rechazar H0"),"Error tipo II","Decisión correcta"))</f>
        <v>Decisión correcta</v>
      </c>
    </row>
    <row r="4000" customFormat="false" ht="15" hidden="false" customHeight="false" outlineLevel="0" collapsed="false">
      <c r="A4000" s="0" t="n">
        <v>3979</v>
      </c>
      <c r="B4000" s="0" t="s">
        <v>86</v>
      </c>
      <c r="C4000" s="17" t="n">
        <v>-0.286773343851881</v>
      </c>
      <c r="D4000" s="17" t="n">
        <f aca="false">(C4000-$B$4)/($B$6/SQRT($B$7))</f>
        <v>-1.43386671925941</v>
      </c>
      <c r="E4000" s="0" t="str">
        <f aca="false">IF(OR(AND($B$9="superior",D4000&gt;$B$10),AND($B$9="inferior",D4000&lt;-$B$10)),"Rechazar H0","No rechazar H0")</f>
        <v>No rechazar H0</v>
      </c>
      <c r="F4000" s="0" t="str">
        <f aca="false">IF(AND(B4000="H0 verdadera",E4000="Rechazar H0"),"Error tipo I",IF(AND(B4000="Ha verdadera",E4000="No rechazar H0"),"Error tipo II","Decisión correcta"))</f>
        <v>Error tipo II</v>
      </c>
    </row>
    <row r="4001" customFormat="false" ht="15" hidden="false" customHeight="false" outlineLevel="0" collapsed="false">
      <c r="A4001" s="0" t="n">
        <v>3980</v>
      </c>
      <c r="B4001" s="0" t="s">
        <v>85</v>
      </c>
      <c r="C4001" s="17" t="n">
        <v>0.0911012579652055</v>
      </c>
      <c r="D4001" s="17" t="n">
        <f aca="false">(C4001-$B$4)/($B$6/SQRT($B$7))</f>
        <v>0.455506289826027</v>
      </c>
      <c r="E4001" s="0" t="str">
        <f aca="false">IF(OR(AND($B$9="superior",D4001&gt;$B$10),AND($B$9="inferior",D4001&lt;-$B$10)),"Rechazar H0","No rechazar H0")</f>
        <v>No rechazar H0</v>
      </c>
      <c r="F4001" s="0" t="str">
        <f aca="false">IF(AND(B4001="H0 verdadera",E4001="Rechazar H0"),"Error tipo I",IF(AND(B4001="Ha verdadera",E4001="No rechazar H0"),"Error tipo II","Decisión correcta"))</f>
        <v>Decisión correcta</v>
      </c>
    </row>
    <row r="4002" customFormat="false" ht="15" hidden="false" customHeight="false" outlineLevel="0" collapsed="false">
      <c r="A4002" s="0" t="n">
        <v>3981</v>
      </c>
      <c r="B4002" s="0" t="s">
        <v>86</v>
      </c>
      <c r="C4002" s="17" t="n">
        <v>-0.235508176225493</v>
      </c>
      <c r="D4002" s="17" t="n">
        <f aca="false">(C4002-$B$4)/($B$6/SQRT($B$7))</f>
        <v>-1.17754088112747</v>
      </c>
      <c r="E4002" s="0" t="str">
        <f aca="false">IF(OR(AND($B$9="superior",D4002&gt;$B$10),AND($B$9="inferior",D4002&lt;-$B$10)),"Rechazar H0","No rechazar H0")</f>
        <v>No rechazar H0</v>
      </c>
      <c r="F4002" s="0" t="str">
        <f aca="false">IF(AND(B4002="H0 verdadera",E4002="Rechazar H0"),"Error tipo I",IF(AND(B4002="Ha verdadera",E4002="No rechazar H0"),"Error tipo II","Decisión correcta"))</f>
        <v>Error tipo II</v>
      </c>
    </row>
    <row r="4003" customFormat="false" ht="15" hidden="false" customHeight="false" outlineLevel="0" collapsed="false">
      <c r="A4003" s="0" t="n">
        <v>3982</v>
      </c>
      <c r="B4003" s="0" t="s">
        <v>86</v>
      </c>
      <c r="C4003" s="17" t="n">
        <v>-0.363283912998588</v>
      </c>
      <c r="D4003" s="17" t="n">
        <f aca="false">(C4003-$B$4)/($B$6/SQRT($B$7))</f>
        <v>-1.81641956499294</v>
      </c>
      <c r="E4003" s="0" t="str">
        <f aca="false">IF(OR(AND($B$9="superior",D4003&gt;$B$10),AND($B$9="inferior",D4003&lt;-$B$10)),"Rechazar H0","No rechazar H0")</f>
        <v>Rechazar H0</v>
      </c>
      <c r="F4003" s="0" t="str">
        <f aca="false">IF(AND(B4003="H0 verdadera",E4003="Rechazar H0"),"Error tipo I",IF(AND(B4003="Ha verdadera",E4003="No rechazar H0"),"Error tipo II","Decisión correcta"))</f>
        <v>Decisión correcta</v>
      </c>
    </row>
    <row r="4004" customFormat="false" ht="15" hidden="false" customHeight="false" outlineLevel="0" collapsed="false">
      <c r="A4004" s="0" t="n">
        <v>3983</v>
      </c>
      <c r="B4004" s="0" t="s">
        <v>85</v>
      </c>
      <c r="C4004" s="17" t="n">
        <v>-0.277895367257648</v>
      </c>
      <c r="D4004" s="17" t="n">
        <f aca="false">(C4004-$B$4)/($B$6/SQRT($B$7))</f>
        <v>-1.38947683628824</v>
      </c>
      <c r="E4004" s="0" t="str">
        <f aca="false">IF(OR(AND($B$9="superior",D4004&gt;$B$10),AND($B$9="inferior",D4004&lt;-$B$10)),"Rechazar H0","No rechazar H0")</f>
        <v>No rechazar H0</v>
      </c>
      <c r="F4004" s="0" t="str">
        <f aca="false">IF(AND(B4004="H0 verdadera",E4004="Rechazar H0"),"Error tipo I",IF(AND(B4004="Ha verdadera",E4004="No rechazar H0"),"Error tipo II","Decisión correcta"))</f>
        <v>Decisión correcta</v>
      </c>
    </row>
    <row r="4005" customFormat="false" ht="15" hidden="false" customHeight="false" outlineLevel="0" collapsed="false">
      <c r="A4005" s="0" t="n">
        <v>3984</v>
      </c>
      <c r="B4005" s="0" t="s">
        <v>86</v>
      </c>
      <c r="C4005" s="17" t="n">
        <v>-0.466714691027725</v>
      </c>
      <c r="D4005" s="17" t="n">
        <f aca="false">(C4005-$B$4)/($B$6/SQRT($B$7))</f>
        <v>-2.33357345513862</v>
      </c>
      <c r="E4005" s="0" t="str">
        <f aca="false">IF(OR(AND($B$9="superior",D4005&gt;$B$10),AND($B$9="inferior",D4005&lt;-$B$10)),"Rechazar H0","No rechazar H0")</f>
        <v>Rechazar H0</v>
      </c>
      <c r="F4005" s="0" t="str">
        <f aca="false">IF(AND(B4005="H0 verdadera",E4005="Rechazar H0"),"Error tipo I",IF(AND(B4005="Ha verdadera",E4005="No rechazar H0"),"Error tipo II","Decisión correcta"))</f>
        <v>Decisión correcta</v>
      </c>
    </row>
    <row r="4006" customFormat="false" ht="15" hidden="false" customHeight="false" outlineLevel="0" collapsed="false">
      <c r="A4006" s="0" t="n">
        <v>3985</v>
      </c>
      <c r="B4006" s="0" t="s">
        <v>85</v>
      </c>
      <c r="C4006" s="17" t="n">
        <v>-0.127953709554661</v>
      </c>
      <c r="D4006" s="17" t="n">
        <f aca="false">(C4006-$B$4)/($B$6/SQRT($B$7))</f>
        <v>-0.639768547773305</v>
      </c>
      <c r="E4006" s="0" t="str">
        <f aca="false">IF(OR(AND($B$9="superior",D4006&gt;$B$10),AND($B$9="inferior",D4006&lt;-$B$10)),"Rechazar H0","No rechazar H0")</f>
        <v>No rechazar H0</v>
      </c>
      <c r="F4006" s="0" t="str">
        <f aca="false">IF(AND(B4006="H0 verdadera",E4006="Rechazar H0"),"Error tipo I",IF(AND(B4006="Ha verdadera",E4006="No rechazar H0"),"Error tipo II","Decisión correcta"))</f>
        <v>Decisión correcta</v>
      </c>
    </row>
    <row r="4007" customFormat="false" ht="15" hidden="false" customHeight="false" outlineLevel="0" collapsed="false">
      <c r="A4007" s="0" t="n">
        <v>3986</v>
      </c>
      <c r="B4007" s="0" t="s">
        <v>85</v>
      </c>
      <c r="C4007" s="17" t="n">
        <v>-0.23778420368594</v>
      </c>
      <c r="D4007" s="17" t="n">
        <f aca="false">(C4007-$B$4)/($B$6/SQRT($B$7))</f>
        <v>-1.1889210184297</v>
      </c>
      <c r="E4007" s="0" t="str">
        <f aca="false">IF(OR(AND($B$9="superior",D4007&gt;$B$10),AND($B$9="inferior",D4007&lt;-$B$10)),"Rechazar H0","No rechazar H0")</f>
        <v>No rechazar H0</v>
      </c>
      <c r="F4007" s="0" t="str">
        <f aca="false">IF(AND(B4007="H0 verdadera",E4007="Rechazar H0"),"Error tipo I",IF(AND(B4007="Ha verdadera",E4007="No rechazar H0"),"Error tipo II","Decisión correcta"))</f>
        <v>Decisión correcta</v>
      </c>
    </row>
    <row r="4008" customFormat="false" ht="15" hidden="false" customHeight="false" outlineLevel="0" collapsed="false">
      <c r="A4008" s="0" t="n">
        <v>3987</v>
      </c>
      <c r="B4008" s="0" t="s">
        <v>85</v>
      </c>
      <c r="C4008" s="17" t="n">
        <v>-0.223363932209755</v>
      </c>
      <c r="D4008" s="17" t="n">
        <f aca="false">(C4008-$B$4)/($B$6/SQRT($B$7))</f>
        <v>-1.11681966104877</v>
      </c>
      <c r="E4008" s="0" t="str">
        <f aca="false">IF(OR(AND($B$9="superior",D4008&gt;$B$10),AND($B$9="inferior",D4008&lt;-$B$10)),"Rechazar H0","No rechazar H0")</f>
        <v>No rechazar H0</v>
      </c>
      <c r="F4008" s="0" t="str">
        <f aca="false">IF(AND(B4008="H0 verdadera",E4008="Rechazar H0"),"Error tipo I",IF(AND(B4008="Ha verdadera",E4008="No rechazar H0"),"Error tipo II","Decisión correcta"))</f>
        <v>Decisión correcta</v>
      </c>
    </row>
    <row r="4009" customFormat="false" ht="15" hidden="false" customHeight="false" outlineLevel="0" collapsed="false">
      <c r="A4009" s="0" t="n">
        <v>3988</v>
      </c>
      <c r="B4009" s="0" t="s">
        <v>86</v>
      </c>
      <c r="C4009" s="17" t="n">
        <v>-0.305270003375974</v>
      </c>
      <c r="D4009" s="17" t="n">
        <f aca="false">(C4009-$B$4)/($B$6/SQRT($B$7))</f>
        <v>-1.52635001687987</v>
      </c>
      <c r="E4009" s="0" t="str">
        <f aca="false">IF(OR(AND($B$9="superior",D4009&gt;$B$10),AND($B$9="inferior",D4009&lt;-$B$10)),"Rechazar H0","No rechazar H0")</f>
        <v>No rechazar H0</v>
      </c>
      <c r="F4009" s="0" t="str">
        <f aca="false">IF(AND(B4009="H0 verdadera",E4009="Rechazar H0"),"Error tipo I",IF(AND(B4009="Ha verdadera",E4009="No rechazar H0"),"Error tipo II","Decisión correcta"))</f>
        <v>Error tipo II</v>
      </c>
    </row>
    <row r="4010" customFormat="false" ht="15" hidden="false" customHeight="false" outlineLevel="0" collapsed="false">
      <c r="A4010" s="0" t="n">
        <v>3989</v>
      </c>
      <c r="B4010" s="0" t="s">
        <v>86</v>
      </c>
      <c r="C4010" s="17" t="n">
        <v>-0.35114334536661</v>
      </c>
      <c r="D4010" s="17" t="n">
        <f aca="false">(C4010-$B$4)/($B$6/SQRT($B$7))</f>
        <v>-1.75571672683305</v>
      </c>
      <c r="E4010" s="0" t="str">
        <f aca="false">IF(OR(AND($B$9="superior",D4010&gt;$B$10),AND($B$9="inferior",D4010&lt;-$B$10)),"Rechazar H0","No rechazar H0")</f>
        <v>Rechazar H0</v>
      </c>
      <c r="F4010" s="0" t="str">
        <f aca="false">IF(AND(B4010="H0 verdadera",E4010="Rechazar H0"),"Error tipo I",IF(AND(B4010="Ha verdadera",E4010="No rechazar H0"),"Error tipo II","Decisión correcta"))</f>
        <v>Decisión correcta</v>
      </c>
    </row>
    <row r="4011" customFormat="false" ht="15" hidden="false" customHeight="false" outlineLevel="0" collapsed="false">
      <c r="A4011" s="0" t="n">
        <v>3990</v>
      </c>
      <c r="B4011" s="0" t="s">
        <v>85</v>
      </c>
      <c r="C4011" s="17" t="n">
        <v>0.334326065872349</v>
      </c>
      <c r="D4011" s="17" t="n">
        <f aca="false">(C4011-$B$4)/($B$6/SQRT($B$7))</f>
        <v>1.67163032936174</v>
      </c>
      <c r="E4011" s="0" t="str">
        <f aca="false">IF(OR(AND($B$9="superior",D4011&gt;$B$10),AND($B$9="inferior",D4011&lt;-$B$10)),"Rechazar H0","No rechazar H0")</f>
        <v>No rechazar H0</v>
      </c>
      <c r="F4011" s="0" t="str">
        <f aca="false">IF(AND(B4011="H0 verdadera",E4011="Rechazar H0"),"Error tipo I",IF(AND(B4011="Ha verdadera",E4011="No rechazar H0"),"Error tipo II","Decisión correcta"))</f>
        <v>Decisión correcta</v>
      </c>
    </row>
    <row r="4012" customFormat="false" ht="15" hidden="false" customHeight="false" outlineLevel="0" collapsed="false">
      <c r="A4012" s="0" t="n">
        <v>3991</v>
      </c>
      <c r="B4012" s="0" t="s">
        <v>85</v>
      </c>
      <c r="C4012" s="17" t="n">
        <v>-0.0797761514968303</v>
      </c>
      <c r="D4012" s="17" t="n">
        <f aca="false">(C4012-$B$4)/($B$6/SQRT($B$7))</f>
        <v>-0.398880757484152</v>
      </c>
      <c r="E4012" s="0" t="str">
        <f aca="false">IF(OR(AND($B$9="superior",D4012&gt;$B$10),AND($B$9="inferior",D4012&lt;-$B$10)),"Rechazar H0","No rechazar H0")</f>
        <v>No rechazar H0</v>
      </c>
      <c r="F4012" s="0" t="str">
        <f aca="false">IF(AND(B4012="H0 verdadera",E4012="Rechazar H0"),"Error tipo I",IF(AND(B4012="Ha verdadera",E4012="No rechazar H0"),"Error tipo II","Decisión correcta"))</f>
        <v>Decisión correcta</v>
      </c>
    </row>
    <row r="4013" customFormat="false" ht="15" hidden="false" customHeight="false" outlineLevel="0" collapsed="false">
      <c r="A4013" s="0" t="n">
        <v>3992</v>
      </c>
      <c r="B4013" s="0" t="s">
        <v>85</v>
      </c>
      <c r="C4013" s="17" t="n">
        <v>0.0315119951171977</v>
      </c>
      <c r="D4013" s="17" t="n">
        <f aca="false">(C4013-$B$4)/($B$6/SQRT($B$7))</f>
        <v>0.157559975585989</v>
      </c>
      <c r="E4013" s="0" t="str">
        <f aca="false">IF(OR(AND($B$9="superior",D4013&gt;$B$10),AND($B$9="inferior",D4013&lt;-$B$10)),"Rechazar H0","No rechazar H0")</f>
        <v>No rechazar H0</v>
      </c>
      <c r="F4013" s="0" t="str">
        <f aca="false">IF(AND(B4013="H0 verdadera",E4013="Rechazar H0"),"Error tipo I",IF(AND(B4013="Ha verdadera",E4013="No rechazar H0"),"Error tipo II","Decisión correcta"))</f>
        <v>Decisión correcta</v>
      </c>
    </row>
    <row r="4014" customFormat="false" ht="15" hidden="false" customHeight="false" outlineLevel="0" collapsed="false">
      <c r="A4014" s="0" t="n">
        <v>3993</v>
      </c>
      <c r="B4014" s="0" t="s">
        <v>85</v>
      </c>
      <c r="C4014" s="17" t="n">
        <v>0.316124769863546</v>
      </c>
      <c r="D4014" s="17" t="n">
        <f aca="false">(C4014-$B$4)/($B$6/SQRT($B$7))</f>
        <v>1.58062384931773</v>
      </c>
      <c r="E4014" s="0" t="str">
        <f aca="false">IF(OR(AND($B$9="superior",D4014&gt;$B$10),AND($B$9="inferior",D4014&lt;-$B$10)),"Rechazar H0","No rechazar H0")</f>
        <v>No rechazar H0</v>
      </c>
      <c r="F4014" s="0" t="str">
        <f aca="false">IF(AND(B4014="H0 verdadera",E4014="Rechazar H0"),"Error tipo I",IF(AND(B4014="Ha verdadera",E4014="No rechazar H0"),"Error tipo II","Decisión correcta"))</f>
        <v>Decisión correcta</v>
      </c>
    </row>
    <row r="4015" customFormat="false" ht="15" hidden="false" customHeight="false" outlineLevel="0" collapsed="false">
      <c r="A4015" s="0" t="n">
        <v>3994</v>
      </c>
      <c r="B4015" s="0" t="s">
        <v>86</v>
      </c>
      <c r="C4015" s="17" t="n">
        <v>-0.143875143079155</v>
      </c>
      <c r="D4015" s="17" t="n">
        <f aca="false">(C4015-$B$4)/($B$6/SQRT($B$7))</f>
        <v>-0.719375715395774</v>
      </c>
      <c r="E4015" s="0" t="str">
        <f aca="false">IF(OR(AND($B$9="superior",D4015&gt;$B$10),AND($B$9="inferior",D4015&lt;-$B$10)),"Rechazar H0","No rechazar H0")</f>
        <v>No rechazar H0</v>
      </c>
      <c r="F4015" s="0" t="str">
        <f aca="false">IF(AND(B4015="H0 verdadera",E4015="Rechazar H0"),"Error tipo I",IF(AND(B4015="Ha verdadera",E4015="No rechazar H0"),"Error tipo II","Decisión correcta"))</f>
        <v>Error tipo II</v>
      </c>
    </row>
    <row r="4016" customFormat="false" ht="15" hidden="false" customHeight="false" outlineLevel="0" collapsed="false">
      <c r="A4016" s="0" t="n">
        <v>3995</v>
      </c>
      <c r="B4016" s="0" t="s">
        <v>85</v>
      </c>
      <c r="C4016" s="17" t="n">
        <v>0.169842936153198</v>
      </c>
      <c r="D4016" s="17" t="n">
        <f aca="false">(C4016-$B$4)/($B$6/SQRT($B$7))</f>
        <v>0.849214680765988</v>
      </c>
      <c r="E4016" s="0" t="str">
        <f aca="false">IF(OR(AND($B$9="superior",D4016&gt;$B$10),AND($B$9="inferior",D4016&lt;-$B$10)),"Rechazar H0","No rechazar H0")</f>
        <v>No rechazar H0</v>
      </c>
      <c r="F4016" s="0" t="str">
        <f aca="false">IF(AND(B4016="H0 verdadera",E4016="Rechazar H0"),"Error tipo I",IF(AND(B4016="Ha verdadera",E4016="No rechazar H0"),"Error tipo II","Decisión correcta"))</f>
        <v>Decisión correcta</v>
      </c>
    </row>
    <row r="4017" customFormat="false" ht="15" hidden="false" customHeight="false" outlineLevel="0" collapsed="false">
      <c r="A4017" s="0" t="n">
        <v>3996</v>
      </c>
      <c r="B4017" s="0" t="s">
        <v>86</v>
      </c>
      <c r="C4017" s="17" t="n">
        <v>-0.51809922999955</v>
      </c>
      <c r="D4017" s="17" t="n">
        <f aca="false">(C4017-$B$4)/($B$6/SQRT($B$7))</f>
        <v>-2.59049614999775</v>
      </c>
      <c r="E4017" s="0" t="str">
        <f aca="false">IF(OR(AND($B$9="superior",D4017&gt;$B$10),AND($B$9="inferior",D4017&lt;-$B$10)),"Rechazar H0","No rechazar H0")</f>
        <v>Rechazar H0</v>
      </c>
      <c r="F4017" s="0" t="str">
        <f aca="false">IF(AND(B4017="H0 verdadera",E4017="Rechazar H0"),"Error tipo I",IF(AND(B4017="Ha verdadera",E4017="No rechazar H0"),"Error tipo II","Decisión correcta"))</f>
        <v>Decisión correcta</v>
      </c>
    </row>
    <row r="4018" customFormat="false" ht="15" hidden="false" customHeight="false" outlineLevel="0" collapsed="false">
      <c r="A4018" s="0" t="n">
        <v>3997</v>
      </c>
      <c r="B4018" s="0" t="s">
        <v>85</v>
      </c>
      <c r="C4018" s="17" t="n">
        <v>-0.194707411115732</v>
      </c>
      <c r="D4018" s="17" t="n">
        <f aca="false">(C4018-$B$4)/($B$6/SQRT($B$7))</f>
        <v>-0.97353705557866</v>
      </c>
      <c r="E4018" s="0" t="str">
        <f aca="false">IF(OR(AND($B$9="superior",D4018&gt;$B$10),AND($B$9="inferior",D4018&lt;-$B$10)),"Rechazar H0","No rechazar H0")</f>
        <v>No rechazar H0</v>
      </c>
      <c r="F4018" s="0" t="str">
        <f aca="false">IF(AND(B4018="H0 verdadera",E4018="Rechazar H0"),"Error tipo I",IF(AND(B4018="Ha verdadera",E4018="No rechazar H0"),"Error tipo II","Decisión correcta"))</f>
        <v>Decisión correcta</v>
      </c>
    </row>
    <row r="4019" customFormat="false" ht="15" hidden="false" customHeight="false" outlineLevel="0" collapsed="false">
      <c r="A4019" s="0" t="n">
        <v>3998</v>
      </c>
      <c r="B4019" s="0" t="s">
        <v>86</v>
      </c>
      <c r="C4019" s="17" t="n">
        <v>-0.677876005570215</v>
      </c>
      <c r="D4019" s="17" t="n">
        <f aca="false">(C4019-$B$4)/($B$6/SQRT($B$7))</f>
        <v>-3.38938002785108</v>
      </c>
      <c r="E4019" s="0" t="str">
        <f aca="false">IF(OR(AND($B$9="superior",D4019&gt;$B$10),AND($B$9="inferior",D4019&lt;-$B$10)),"Rechazar H0","No rechazar H0")</f>
        <v>Rechazar H0</v>
      </c>
      <c r="F4019" s="0" t="str">
        <f aca="false">IF(AND(B4019="H0 verdadera",E4019="Rechazar H0"),"Error tipo I",IF(AND(B4019="Ha verdadera",E4019="No rechazar H0"),"Error tipo II","Decisión correcta"))</f>
        <v>Decisión correcta</v>
      </c>
    </row>
    <row r="4020" customFormat="false" ht="15" hidden="false" customHeight="false" outlineLevel="0" collapsed="false">
      <c r="A4020" s="0" t="n">
        <v>3999</v>
      </c>
      <c r="B4020" s="0" t="s">
        <v>85</v>
      </c>
      <c r="C4020" s="17" t="n">
        <v>-0.0159693636540579</v>
      </c>
      <c r="D4020" s="17" t="n">
        <f aca="false">(C4020-$B$4)/($B$6/SQRT($B$7))</f>
        <v>-0.0798468182702896</v>
      </c>
      <c r="E4020" s="0" t="str">
        <f aca="false">IF(OR(AND($B$9="superior",D4020&gt;$B$10),AND($B$9="inferior",D4020&lt;-$B$10)),"Rechazar H0","No rechazar H0")</f>
        <v>No rechazar H0</v>
      </c>
      <c r="F4020" s="0" t="str">
        <f aca="false">IF(AND(B4020="H0 verdadera",E4020="Rechazar H0"),"Error tipo I",IF(AND(B4020="Ha verdadera",E4020="No rechazar H0"),"Error tipo II","Decisión correcta"))</f>
        <v>Decisión correcta</v>
      </c>
    </row>
    <row r="4021" customFormat="false" ht="15" hidden="false" customHeight="false" outlineLevel="0" collapsed="false">
      <c r="A4021" s="0" t="n">
        <v>4000</v>
      </c>
      <c r="B4021" s="0" t="s">
        <v>85</v>
      </c>
      <c r="C4021" s="17" t="n">
        <v>0.0811855740859967</v>
      </c>
      <c r="D4021" s="17" t="n">
        <f aca="false">(C4021-$B$4)/($B$6/SQRT($B$7))</f>
        <v>0.405927870429983</v>
      </c>
      <c r="E4021" s="0" t="str">
        <f aca="false">IF(OR(AND($B$9="superior",D4021&gt;$B$10),AND($B$9="inferior",D4021&lt;-$B$10)),"Rechazar H0","No rechazar H0")</f>
        <v>No rechazar H0</v>
      </c>
      <c r="F4021" s="0" t="str">
        <f aca="false">IF(AND(B4021="H0 verdadera",E4021="Rechazar H0"),"Error tipo I",IF(AND(B4021="Ha verdadera",E4021="No rechazar H0"),"Error tipo II","Decisión correcta"))</f>
        <v>Decisión correcta</v>
      </c>
    </row>
    <row r="4022" customFormat="false" ht="15" hidden="false" customHeight="false" outlineLevel="0" collapsed="false">
      <c r="A4022" s="0" t="n">
        <v>4001</v>
      </c>
      <c r="B4022" s="0" t="s">
        <v>86</v>
      </c>
      <c r="C4022" s="17" t="n">
        <v>-0.289594027998998</v>
      </c>
      <c r="D4022" s="17" t="n">
        <f aca="false">(C4022-$B$4)/($B$6/SQRT($B$7))</f>
        <v>-1.44797013999499</v>
      </c>
      <c r="E4022" s="0" t="str">
        <f aca="false">IF(OR(AND($B$9="superior",D4022&gt;$B$10),AND($B$9="inferior",D4022&lt;-$B$10)),"Rechazar H0","No rechazar H0")</f>
        <v>No rechazar H0</v>
      </c>
      <c r="F4022" s="0" t="str">
        <f aca="false">IF(AND(B4022="H0 verdadera",E4022="Rechazar H0"),"Error tipo I",IF(AND(B4022="Ha verdadera",E4022="No rechazar H0"),"Error tipo II","Decisión correcta"))</f>
        <v>Error tipo II</v>
      </c>
    </row>
    <row r="4023" customFormat="false" ht="15" hidden="false" customHeight="false" outlineLevel="0" collapsed="false">
      <c r="A4023" s="0" t="n">
        <v>4002</v>
      </c>
      <c r="B4023" s="0" t="s">
        <v>85</v>
      </c>
      <c r="C4023" s="17" t="n">
        <v>-0.296589253691111</v>
      </c>
      <c r="D4023" s="17" t="n">
        <f aca="false">(C4023-$B$4)/($B$6/SQRT($B$7))</f>
        <v>-1.48294626845555</v>
      </c>
      <c r="E4023" s="0" t="str">
        <f aca="false">IF(OR(AND($B$9="superior",D4023&gt;$B$10),AND($B$9="inferior",D4023&lt;-$B$10)),"Rechazar H0","No rechazar H0")</f>
        <v>No rechazar H0</v>
      </c>
      <c r="F4023" s="0" t="str">
        <f aca="false">IF(AND(B4023="H0 verdadera",E4023="Rechazar H0"),"Error tipo I",IF(AND(B4023="Ha verdadera",E4023="No rechazar H0"),"Error tipo II","Decisión correcta"))</f>
        <v>Decisión correcta</v>
      </c>
    </row>
    <row r="4024" customFormat="false" ht="15" hidden="false" customHeight="false" outlineLevel="0" collapsed="false">
      <c r="A4024" s="0" t="n">
        <v>4003</v>
      </c>
      <c r="B4024" s="0" t="s">
        <v>86</v>
      </c>
      <c r="C4024" s="17" t="n">
        <v>-0.351718558099884</v>
      </c>
      <c r="D4024" s="17" t="n">
        <f aca="false">(C4024-$B$4)/($B$6/SQRT($B$7))</f>
        <v>-1.75859279049942</v>
      </c>
      <c r="E4024" s="0" t="str">
        <f aca="false">IF(OR(AND($B$9="superior",D4024&gt;$B$10),AND($B$9="inferior",D4024&lt;-$B$10)),"Rechazar H0","No rechazar H0")</f>
        <v>Rechazar H0</v>
      </c>
      <c r="F4024" s="0" t="str">
        <f aca="false">IF(AND(B4024="H0 verdadera",E4024="Rechazar H0"),"Error tipo I",IF(AND(B4024="Ha verdadera",E4024="No rechazar H0"),"Error tipo II","Decisión correcta"))</f>
        <v>Decisión correcta</v>
      </c>
    </row>
    <row r="4025" customFormat="false" ht="15" hidden="false" customHeight="false" outlineLevel="0" collapsed="false">
      <c r="A4025" s="0" t="n">
        <v>4004</v>
      </c>
      <c r="B4025" s="0" t="s">
        <v>85</v>
      </c>
      <c r="C4025" s="17" t="n">
        <v>0.2074932847456</v>
      </c>
      <c r="D4025" s="17" t="n">
        <f aca="false">(C4025-$B$4)/($B$6/SQRT($B$7))</f>
        <v>1.037466423728</v>
      </c>
      <c r="E4025" s="0" t="str">
        <f aca="false">IF(OR(AND($B$9="superior",D4025&gt;$B$10),AND($B$9="inferior",D4025&lt;-$B$10)),"Rechazar H0","No rechazar H0")</f>
        <v>No rechazar H0</v>
      </c>
      <c r="F4025" s="0" t="str">
        <f aca="false">IF(AND(B4025="H0 verdadera",E4025="Rechazar H0"),"Error tipo I",IF(AND(B4025="Ha verdadera",E4025="No rechazar H0"),"Error tipo II","Decisión correcta"))</f>
        <v>Decisión correcta</v>
      </c>
    </row>
    <row r="4026" customFormat="false" ht="15" hidden="false" customHeight="false" outlineLevel="0" collapsed="false">
      <c r="A4026" s="0" t="n">
        <v>4005</v>
      </c>
      <c r="B4026" s="0" t="s">
        <v>86</v>
      </c>
      <c r="C4026" s="17" t="n">
        <v>-0.535983471821741</v>
      </c>
      <c r="D4026" s="17" t="n">
        <f aca="false">(C4026-$B$4)/($B$6/SQRT($B$7))</f>
        <v>-2.67991735910871</v>
      </c>
      <c r="E4026" s="0" t="str">
        <f aca="false">IF(OR(AND($B$9="superior",D4026&gt;$B$10),AND($B$9="inferior",D4026&lt;-$B$10)),"Rechazar H0","No rechazar H0")</f>
        <v>Rechazar H0</v>
      </c>
      <c r="F4026" s="0" t="str">
        <f aca="false">IF(AND(B4026="H0 verdadera",E4026="Rechazar H0"),"Error tipo I",IF(AND(B4026="Ha verdadera",E4026="No rechazar H0"),"Error tipo II","Decisión correcta"))</f>
        <v>Decisión correcta</v>
      </c>
    </row>
    <row r="4027" customFormat="false" ht="15" hidden="false" customHeight="false" outlineLevel="0" collapsed="false">
      <c r="A4027" s="0" t="n">
        <v>4006</v>
      </c>
      <c r="B4027" s="0" t="s">
        <v>86</v>
      </c>
      <c r="C4027" s="17" t="n">
        <v>-0.550375090496802</v>
      </c>
      <c r="D4027" s="17" t="n">
        <f aca="false">(C4027-$B$4)/($B$6/SQRT($B$7))</f>
        <v>-2.75187545248401</v>
      </c>
      <c r="E4027" s="0" t="str">
        <f aca="false">IF(OR(AND($B$9="superior",D4027&gt;$B$10),AND($B$9="inferior",D4027&lt;-$B$10)),"Rechazar H0","No rechazar H0")</f>
        <v>Rechazar H0</v>
      </c>
      <c r="F4027" s="0" t="str">
        <f aca="false">IF(AND(B4027="H0 verdadera",E4027="Rechazar H0"),"Error tipo I",IF(AND(B4027="Ha verdadera",E4027="No rechazar H0"),"Error tipo II","Decisión correcta"))</f>
        <v>Decisión correcta</v>
      </c>
    </row>
    <row r="4028" customFormat="false" ht="15" hidden="false" customHeight="false" outlineLevel="0" collapsed="false">
      <c r="A4028" s="0" t="n">
        <v>4007</v>
      </c>
      <c r="B4028" s="0" t="s">
        <v>85</v>
      </c>
      <c r="C4028" s="17" t="n">
        <v>0.116030321160266</v>
      </c>
      <c r="D4028" s="17" t="n">
        <f aca="false">(C4028-$B$4)/($B$6/SQRT($B$7))</f>
        <v>0.58015160580133</v>
      </c>
      <c r="E4028" s="0" t="str">
        <f aca="false">IF(OR(AND($B$9="superior",D4028&gt;$B$10),AND($B$9="inferior",D4028&lt;-$B$10)),"Rechazar H0","No rechazar H0")</f>
        <v>No rechazar H0</v>
      </c>
      <c r="F4028" s="0" t="str">
        <f aca="false">IF(AND(B4028="H0 verdadera",E4028="Rechazar H0"),"Error tipo I",IF(AND(B4028="Ha verdadera",E4028="No rechazar H0"),"Error tipo II","Decisión correcta"))</f>
        <v>Decisión correcta</v>
      </c>
    </row>
    <row r="4029" customFormat="false" ht="15" hidden="false" customHeight="false" outlineLevel="0" collapsed="false">
      <c r="A4029" s="0" t="n">
        <v>4008</v>
      </c>
      <c r="B4029" s="0" t="s">
        <v>86</v>
      </c>
      <c r="C4029" s="17" t="n">
        <v>-0.695246361221746</v>
      </c>
      <c r="D4029" s="17" t="n">
        <f aca="false">(C4029-$B$4)/($B$6/SQRT($B$7))</f>
        <v>-3.47623180610873</v>
      </c>
      <c r="E4029" s="0" t="str">
        <f aca="false">IF(OR(AND($B$9="superior",D4029&gt;$B$10),AND($B$9="inferior",D4029&lt;-$B$10)),"Rechazar H0","No rechazar H0")</f>
        <v>Rechazar H0</v>
      </c>
      <c r="F4029" s="0" t="str">
        <f aca="false">IF(AND(B4029="H0 verdadera",E4029="Rechazar H0"),"Error tipo I",IF(AND(B4029="Ha verdadera",E4029="No rechazar H0"),"Error tipo II","Decisión correcta"))</f>
        <v>Decisión correcta</v>
      </c>
    </row>
    <row r="4030" customFormat="false" ht="15" hidden="false" customHeight="false" outlineLevel="0" collapsed="false">
      <c r="A4030" s="0" t="n">
        <v>4009</v>
      </c>
      <c r="B4030" s="0" t="s">
        <v>86</v>
      </c>
      <c r="C4030" s="17" t="n">
        <v>-0.357659622978915</v>
      </c>
      <c r="D4030" s="17" t="n">
        <f aca="false">(C4030-$B$4)/($B$6/SQRT($B$7))</f>
        <v>-1.78829811489457</v>
      </c>
      <c r="E4030" s="0" t="str">
        <f aca="false">IF(OR(AND($B$9="superior",D4030&gt;$B$10),AND($B$9="inferior",D4030&lt;-$B$10)),"Rechazar H0","No rechazar H0")</f>
        <v>Rechazar H0</v>
      </c>
      <c r="F4030" s="0" t="str">
        <f aca="false">IF(AND(B4030="H0 verdadera",E4030="Rechazar H0"),"Error tipo I",IF(AND(B4030="Ha verdadera",E4030="No rechazar H0"),"Error tipo II","Decisión correcta"))</f>
        <v>Decisión correcta</v>
      </c>
    </row>
    <row r="4031" customFormat="false" ht="15" hidden="false" customHeight="false" outlineLevel="0" collapsed="false">
      <c r="A4031" s="0" t="n">
        <v>4010</v>
      </c>
      <c r="B4031" s="0" t="s">
        <v>85</v>
      </c>
      <c r="C4031" s="17" t="n">
        <v>0.149832314735622</v>
      </c>
      <c r="D4031" s="17" t="n">
        <f aca="false">(C4031-$B$4)/($B$6/SQRT($B$7))</f>
        <v>0.749161573678111</v>
      </c>
      <c r="E4031" s="0" t="str">
        <f aca="false">IF(OR(AND($B$9="superior",D4031&gt;$B$10),AND($B$9="inferior",D4031&lt;-$B$10)),"Rechazar H0","No rechazar H0")</f>
        <v>No rechazar H0</v>
      </c>
      <c r="F4031" s="0" t="str">
        <f aca="false">IF(AND(B4031="H0 verdadera",E4031="Rechazar H0"),"Error tipo I",IF(AND(B4031="Ha verdadera",E4031="No rechazar H0"),"Error tipo II","Decisión correcta"))</f>
        <v>Decisión correcta</v>
      </c>
    </row>
    <row r="4032" customFormat="false" ht="15" hidden="false" customHeight="false" outlineLevel="0" collapsed="false">
      <c r="A4032" s="0" t="n">
        <v>4011</v>
      </c>
      <c r="B4032" s="0" t="s">
        <v>86</v>
      </c>
      <c r="C4032" s="17" t="n">
        <v>-0.279213607834265</v>
      </c>
      <c r="D4032" s="17" t="n">
        <f aca="false">(C4032-$B$4)/($B$6/SQRT($B$7))</f>
        <v>-1.39606803917133</v>
      </c>
      <c r="E4032" s="0" t="str">
        <f aca="false">IF(OR(AND($B$9="superior",D4032&gt;$B$10),AND($B$9="inferior",D4032&lt;-$B$10)),"Rechazar H0","No rechazar H0")</f>
        <v>No rechazar H0</v>
      </c>
      <c r="F4032" s="0" t="str">
        <f aca="false">IF(AND(B4032="H0 verdadera",E4032="Rechazar H0"),"Error tipo I",IF(AND(B4032="Ha verdadera",E4032="No rechazar H0"),"Error tipo II","Decisión correcta"))</f>
        <v>Error tipo II</v>
      </c>
    </row>
    <row r="4033" customFormat="false" ht="15" hidden="false" customHeight="false" outlineLevel="0" collapsed="false">
      <c r="A4033" s="0" t="n">
        <v>4012</v>
      </c>
      <c r="B4033" s="0" t="s">
        <v>86</v>
      </c>
      <c r="C4033" s="17" t="n">
        <v>-0.647611372424797</v>
      </c>
      <c r="D4033" s="17" t="n">
        <f aca="false">(C4033-$B$4)/($B$6/SQRT($B$7))</f>
        <v>-3.23805686212399</v>
      </c>
      <c r="E4033" s="0" t="str">
        <f aca="false">IF(OR(AND($B$9="superior",D4033&gt;$B$10),AND($B$9="inferior",D4033&lt;-$B$10)),"Rechazar H0","No rechazar H0")</f>
        <v>Rechazar H0</v>
      </c>
      <c r="F4033" s="0" t="str">
        <f aca="false">IF(AND(B4033="H0 verdadera",E4033="Rechazar H0"),"Error tipo I",IF(AND(B4033="Ha verdadera",E4033="No rechazar H0"),"Error tipo II","Decisión correcta"))</f>
        <v>Decisión correcta</v>
      </c>
    </row>
    <row r="4034" customFormat="false" ht="15" hidden="false" customHeight="false" outlineLevel="0" collapsed="false">
      <c r="A4034" s="0" t="n">
        <v>4013</v>
      </c>
      <c r="B4034" s="0" t="s">
        <v>86</v>
      </c>
      <c r="C4034" s="17" t="n">
        <v>-0.344067816440261</v>
      </c>
      <c r="D4034" s="17" t="n">
        <f aca="false">(C4034-$B$4)/($B$6/SQRT($B$7))</f>
        <v>-1.72033908220131</v>
      </c>
      <c r="E4034" s="0" t="str">
        <f aca="false">IF(OR(AND($B$9="superior",D4034&gt;$B$10),AND($B$9="inferior",D4034&lt;-$B$10)),"Rechazar H0","No rechazar H0")</f>
        <v>Rechazar H0</v>
      </c>
      <c r="F4034" s="0" t="str">
        <f aca="false">IF(AND(B4034="H0 verdadera",E4034="Rechazar H0"),"Error tipo I",IF(AND(B4034="Ha verdadera",E4034="No rechazar H0"),"Error tipo II","Decisión correcta"))</f>
        <v>Decisión correcta</v>
      </c>
    </row>
    <row r="4035" customFormat="false" ht="15" hidden="false" customHeight="false" outlineLevel="0" collapsed="false">
      <c r="A4035" s="0" t="n">
        <v>4014</v>
      </c>
      <c r="B4035" s="0" t="s">
        <v>86</v>
      </c>
      <c r="C4035" s="17" t="n">
        <v>-0.431433899030453</v>
      </c>
      <c r="D4035" s="17" t="n">
        <f aca="false">(C4035-$B$4)/($B$6/SQRT($B$7))</f>
        <v>-2.15716949515226</v>
      </c>
      <c r="E4035" s="0" t="str">
        <f aca="false">IF(OR(AND($B$9="superior",D4035&gt;$B$10),AND($B$9="inferior",D4035&lt;-$B$10)),"Rechazar H0","No rechazar H0")</f>
        <v>Rechazar H0</v>
      </c>
      <c r="F4035" s="0" t="str">
        <f aca="false">IF(AND(B4035="H0 verdadera",E4035="Rechazar H0"),"Error tipo I",IF(AND(B4035="Ha verdadera",E4035="No rechazar H0"),"Error tipo II","Decisión correcta"))</f>
        <v>Decisión correcta</v>
      </c>
    </row>
    <row r="4036" customFormat="false" ht="15" hidden="false" customHeight="false" outlineLevel="0" collapsed="false">
      <c r="A4036" s="0" t="n">
        <v>4015</v>
      </c>
      <c r="B4036" s="0" t="s">
        <v>85</v>
      </c>
      <c r="C4036" s="17" t="n">
        <v>-0.321365643311735</v>
      </c>
      <c r="D4036" s="17" t="n">
        <f aca="false">(C4036-$B$4)/($B$6/SQRT($B$7))</f>
        <v>-1.60682821655868</v>
      </c>
      <c r="E4036" s="0" t="str">
        <f aca="false">IF(OR(AND($B$9="superior",D4036&gt;$B$10),AND($B$9="inferior",D4036&lt;-$B$10)),"Rechazar H0","No rechazar H0")</f>
        <v>No rechazar H0</v>
      </c>
      <c r="F4036" s="0" t="str">
        <f aca="false">IF(AND(B4036="H0 verdadera",E4036="Rechazar H0"),"Error tipo I",IF(AND(B4036="Ha verdadera",E4036="No rechazar H0"),"Error tipo II","Decisión correcta"))</f>
        <v>Decisión correcta</v>
      </c>
    </row>
    <row r="4037" customFormat="false" ht="15" hidden="false" customHeight="false" outlineLevel="0" collapsed="false">
      <c r="A4037" s="0" t="n">
        <v>4016</v>
      </c>
      <c r="B4037" s="0" t="s">
        <v>85</v>
      </c>
      <c r="C4037" s="17" t="n">
        <v>0.171869395912026</v>
      </c>
      <c r="D4037" s="17" t="n">
        <f aca="false">(C4037-$B$4)/($B$6/SQRT($B$7))</f>
        <v>0.859346979560131</v>
      </c>
      <c r="E4037" s="0" t="str">
        <f aca="false">IF(OR(AND($B$9="superior",D4037&gt;$B$10),AND($B$9="inferior",D4037&lt;-$B$10)),"Rechazar H0","No rechazar H0")</f>
        <v>No rechazar H0</v>
      </c>
      <c r="F4037" s="0" t="str">
        <f aca="false">IF(AND(B4037="H0 verdadera",E4037="Rechazar H0"),"Error tipo I",IF(AND(B4037="Ha verdadera",E4037="No rechazar H0"),"Error tipo II","Decisión correcta"))</f>
        <v>Decisión correcta</v>
      </c>
    </row>
    <row r="4038" customFormat="false" ht="15" hidden="false" customHeight="false" outlineLevel="0" collapsed="false">
      <c r="A4038" s="0" t="n">
        <v>4017</v>
      </c>
      <c r="B4038" s="0" t="s">
        <v>85</v>
      </c>
      <c r="C4038" s="17" t="n">
        <v>0.0635528721611191</v>
      </c>
      <c r="D4038" s="17" t="n">
        <f aca="false">(C4038-$B$4)/($B$6/SQRT($B$7))</f>
        <v>0.317764360805595</v>
      </c>
      <c r="E4038" s="0" t="str">
        <f aca="false">IF(OR(AND($B$9="superior",D4038&gt;$B$10),AND($B$9="inferior",D4038&lt;-$B$10)),"Rechazar H0","No rechazar H0")</f>
        <v>No rechazar H0</v>
      </c>
      <c r="F4038" s="0" t="str">
        <f aca="false">IF(AND(B4038="H0 verdadera",E4038="Rechazar H0"),"Error tipo I",IF(AND(B4038="Ha verdadera",E4038="No rechazar H0"),"Error tipo II","Decisión correcta"))</f>
        <v>Decisión correcta</v>
      </c>
    </row>
    <row r="4039" customFormat="false" ht="15" hidden="false" customHeight="false" outlineLevel="0" collapsed="false">
      <c r="A4039" s="0" t="n">
        <v>4018</v>
      </c>
      <c r="B4039" s="0" t="s">
        <v>86</v>
      </c>
      <c r="C4039" s="17" t="n">
        <v>-0.213744582543226</v>
      </c>
      <c r="D4039" s="17" t="n">
        <f aca="false">(C4039-$B$4)/($B$6/SQRT($B$7))</f>
        <v>-1.06872291271613</v>
      </c>
      <c r="E4039" s="0" t="str">
        <f aca="false">IF(OR(AND($B$9="superior",D4039&gt;$B$10),AND($B$9="inferior",D4039&lt;-$B$10)),"Rechazar H0","No rechazar H0")</f>
        <v>No rechazar H0</v>
      </c>
      <c r="F4039" s="0" t="str">
        <f aca="false">IF(AND(B4039="H0 verdadera",E4039="Rechazar H0"),"Error tipo I",IF(AND(B4039="Ha verdadera",E4039="No rechazar H0"),"Error tipo II","Decisión correcta"))</f>
        <v>Error tipo II</v>
      </c>
    </row>
    <row r="4040" customFormat="false" ht="15" hidden="false" customHeight="false" outlineLevel="0" collapsed="false">
      <c r="A4040" s="0" t="n">
        <v>4019</v>
      </c>
      <c r="B4040" s="0" t="s">
        <v>85</v>
      </c>
      <c r="C4040" s="17" t="n">
        <v>0.0390343205731015</v>
      </c>
      <c r="D4040" s="17" t="n">
        <f aca="false">(C4040-$B$4)/($B$6/SQRT($B$7))</f>
        <v>0.195171602865508</v>
      </c>
      <c r="E4040" s="0" t="str">
        <f aca="false">IF(OR(AND($B$9="superior",D4040&gt;$B$10),AND($B$9="inferior",D4040&lt;-$B$10)),"Rechazar H0","No rechazar H0")</f>
        <v>No rechazar H0</v>
      </c>
      <c r="F4040" s="0" t="str">
        <f aca="false">IF(AND(B4040="H0 verdadera",E4040="Rechazar H0"),"Error tipo I",IF(AND(B4040="Ha verdadera",E4040="No rechazar H0"),"Error tipo II","Decisión correcta"))</f>
        <v>Decisión correcta</v>
      </c>
    </row>
    <row r="4041" customFormat="false" ht="15" hidden="false" customHeight="false" outlineLevel="0" collapsed="false">
      <c r="A4041" s="0" t="n">
        <v>4020</v>
      </c>
      <c r="B4041" s="0" t="s">
        <v>86</v>
      </c>
      <c r="C4041" s="17" t="n">
        <v>-0.874220423773095</v>
      </c>
      <c r="D4041" s="17" t="n">
        <f aca="false">(C4041-$B$4)/($B$6/SQRT($B$7))</f>
        <v>-4.37110211886547</v>
      </c>
      <c r="E4041" s="0" t="str">
        <f aca="false">IF(OR(AND($B$9="superior",D4041&gt;$B$10),AND($B$9="inferior",D4041&lt;-$B$10)),"Rechazar H0","No rechazar H0")</f>
        <v>Rechazar H0</v>
      </c>
      <c r="F4041" s="0" t="str">
        <f aca="false">IF(AND(B4041="H0 verdadera",E4041="Rechazar H0"),"Error tipo I",IF(AND(B4041="Ha verdadera",E4041="No rechazar H0"),"Error tipo II","Decisión correcta"))</f>
        <v>Decisión correcta</v>
      </c>
    </row>
    <row r="4042" customFormat="false" ht="15" hidden="false" customHeight="false" outlineLevel="0" collapsed="false">
      <c r="A4042" s="0" t="n">
        <v>4021</v>
      </c>
      <c r="B4042" s="0" t="s">
        <v>86</v>
      </c>
      <c r="C4042" s="17" t="n">
        <v>-0.451800626089941</v>
      </c>
      <c r="D4042" s="17" t="n">
        <f aca="false">(C4042-$B$4)/($B$6/SQRT($B$7))</f>
        <v>-2.25900313044971</v>
      </c>
      <c r="E4042" s="0" t="str">
        <f aca="false">IF(OR(AND($B$9="superior",D4042&gt;$B$10),AND($B$9="inferior",D4042&lt;-$B$10)),"Rechazar H0","No rechazar H0")</f>
        <v>Rechazar H0</v>
      </c>
      <c r="F4042" s="0" t="str">
        <f aca="false">IF(AND(B4042="H0 verdadera",E4042="Rechazar H0"),"Error tipo I",IF(AND(B4042="Ha verdadera",E4042="No rechazar H0"),"Error tipo II","Decisión correcta"))</f>
        <v>Decisión correcta</v>
      </c>
    </row>
    <row r="4043" customFormat="false" ht="15" hidden="false" customHeight="false" outlineLevel="0" collapsed="false">
      <c r="A4043" s="0" t="n">
        <v>4022</v>
      </c>
      <c r="B4043" s="0" t="s">
        <v>86</v>
      </c>
      <c r="C4043" s="17" t="n">
        <v>-0.185914457065034</v>
      </c>
      <c r="D4043" s="17" t="n">
        <f aca="false">(C4043-$B$4)/($B$6/SQRT($B$7))</f>
        <v>-0.929572285325171</v>
      </c>
      <c r="E4043" s="0" t="str">
        <f aca="false">IF(OR(AND($B$9="superior",D4043&gt;$B$10),AND($B$9="inferior",D4043&lt;-$B$10)),"Rechazar H0","No rechazar H0")</f>
        <v>No rechazar H0</v>
      </c>
      <c r="F4043" s="0" t="str">
        <f aca="false">IF(AND(B4043="H0 verdadera",E4043="Rechazar H0"),"Error tipo I",IF(AND(B4043="Ha verdadera",E4043="No rechazar H0"),"Error tipo II","Decisión correcta"))</f>
        <v>Error tipo II</v>
      </c>
    </row>
    <row r="4044" customFormat="false" ht="15" hidden="false" customHeight="false" outlineLevel="0" collapsed="false">
      <c r="A4044" s="0" t="n">
        <v>4023</v>
      </c>
      <c r="B4044" s="0" t="s">
        <v>86</v>
      </c>
      <c r="C4044" s="17" t="n">
        <v>-0.365152860901174</v>
      </c>
      <c r="D4044" s="17" t="n">
        <f aca="false">(C4044-$B$4)/($B$6/SQRT($B$7))</f>
        <v>-1.82576430450587</v>
      </c>
      <c r="E4044" s="0" t="str">
        <f aca="false">IF(OR(AND($B$9="superior",D4044&gt;$B$10),AND($B$9="inferior",D4044&lt;-$B$10)),"Rechazar H0","No rechazar H0")</f>
        <v>Rechazar H0</v>
      </c>
      <c r="F4044" s="0" t="str">
        <f aca="false">IF(AND(B4044="H0 verdadera",E4044="Rechazar H0"),"Error tipo I",IF(AND(B4044="Ha verdadera",E4044="No rechazar H0"),"Error tipo II","Decisión correcta"))</f>
        <v>Decisión correcta</v>
      </c>
    </row>
    <row r="4045" customFormat="false" ht="15" hidden="false" customHeight="false" outlineLevel="0" collapsed="false">
      <c r="A4045" s="0" t="n">
        <v>4024</v>
      </c>
      <c r="B4045" s="0" t="s">
        <v>86</v>
      </c>
      <c r="C4045" s="17" t="n">
        <v>-0.488883874453097</v>
      </c>
      <c r="D4045" s="17" t="n">
        <f aca="false">(C4045-$B$4)/($B$6/SQRT($B$7))</f>
        <v>-2.44441937226549</v>
      </c>
      <c r="E4045" s="0" t="str">
        <f aca="false">IF(OR(AND($B$9="superior",D4045&gt;$B$10),AND($B$9="inferior",D4045&lt;-$B$10)),"Rechazar H0","No rechazar H0")</f>
        <v>Rechazar H0</v>
      </c>
      <c r="F4045" s="0" t="str">
        <f aca="false">IF(AND(B4045="H0 verdadera",E4045="Rechazar H0"),"Error tipo I",IF(AND(B4045="Ha verdadera",E4045="No rechazar H0"),"Error tipo II","Decisión correcta"))</f>
        <v>Decisión correcta</v>
      </c>
    </row>
    <row r="4046" customFormat="false" ht="15" hidden="false" customHeight="false" outlineLevel="0" collapsed="false">
      <c r="A4046" s="0" t="n">
        <v>4025</v>
      </c>
      <c r="B4046" s="0" t="s">
        <v>86</v>
      </c>
      <c r="C4046" s="17" t="n">
        <v>-0.523757882608164</v>
      </c>
      <c r="D4046" s="17" t="n">
        <f aca="false">(C4046-$B$4)/($B$6/SQRT($B$7))</f>
        <v>-2.61878941304082</v>
      </c>
      <c r="E4046" s="0" t="str">
        <f aca="false">IF(OR(AND($B$9="superior",D4046&gt;$B$10),AND($B$9="inferior",D4046&lt;-$B$10)),"Rechazar H0","No rechazar H0")</f>
        <v>Rechazar H0</v>
      </c>
      <c r="F4046" s="0" t="str">
        <f aca="false">IF(AND(B4046="H0 verdadera",E4046="Rechazar H0"),"Error tipo I",IF(AND(B4046="Ha verdadera",E4046="No rechazar H0"),"Error tipo II","Decisión correcta"))</f>
        <v>Decisión correcta</v>
      </c>
    </row>
    <row r="4047" customFormat="false" ht="15" hidden="false" customHeight="false" outlineLevel="0" collapsed="false">
      <c r="A4047" s="0" t="n">
        <v>4026</v>
      </c>
      <c r="B4047" s="0" t="s">
        <v>85</v>
      </c>
      <c r="C4047" s="17" t="n">
        <v>0.0797592690175996</v>
      </c>
      <c r="D4047" s="17" t="n">
        <f aca="false">(C4047-$B$4)/($B$6/SQRT($B$7))</f>
        <v>0.398796345087998</v>
      </c>
      <c r="E4047" s="0" t="str">
        <f aca="false">IF(OR(AND($B$9="superior",D4047&gt;$B$10),AND($B$9="inferior",D4047&lt;-$B$10)),"Rechazar H0","No rechazar H0")</f>
        <v>No rechazar H0</v>
      </c>
      <c r="F4047" s="0" t="str">
        <f aca="false">IF(AND(B4047="H0 verdadera",E4047="Rechazar H0"),"Error tipo I",IF(AND(B4047="Ha verdadera",E4047="No rechazar H0"),"Error tipo II","Decisión correcta"))</f>
        <v>Decisión correcta</v>
      </c>
    </row>
    <row r="4048" customFormat="false" ht="15" hidden="false" customHeight="false" outlineLevel="0" collapsed="false">
      <c r="A4048" s="0" t="n">
        <v>4027</v>
      </c>
      <c r="B4048" s="0" t="s">
        <v>86</v>
      </c>
      <c r="C4048" s="17" t="n">
        <v>-0.484311069577625</v>
      </c>
      <c r="D4048" s="17" t="n">
        <f aca="false">(C4048-$B$4)/($B$6/SQRT($B$7))</f>
        <v>-2.42155534788813</v>
      </c>
      <c r="E4048" s="0" t="str">
        <f aca="false">IF(OR(AND($B$9="superior",D4048&gt;$B$10),AND($B$9="inferior",D4048&lt;-$B$10)),"Rechazar H0","No rechazar H0")</f>
        <v>Rechazar H0</v>
      </c>
      <c r="F4048" s="0" t="str">
        <f aca="false">IF(AND(B4048="H0 verdadera",E4048="Rechazar H0"),"Error tipo I",IF(AND(B4048="Ha verdadera",E4048="No rechazar H0"),"Error tipo II","Decisión correcta"))</f>
        <v>Decisión correcta</v>
      </c>
    </row>
    <row r="4049" customFormat="false" ht="15" hidden="false" customHeight="false" outlineLevel="0" collapsed="false">
      <c r="A4049" s="0" t="n">
        <v>4028</v>
      </c>
      <c r="B4049" s="0" t="s">
        <v>86</v>
      </c>
      <c r="C4049" s="17" t="n">
        <v>-0.738157302556551</v>
      </c>
      <c r="D4049" s="17" t="n">
        <f aca="false">(C4049-$B$4)/($B$6/SQRT($B$7))</f>
        <v>-3.69078651278276</v>
      </c>
      <c r="E4049" s="0" t="str">
        <f aca="false">IF(OR(AND($B$9="superior",D4049&gt;$B$10),AND($B$9="inferior",D4049&lt;-$B$10)),"Rechazar H0","No rechazar H0")</f>
        <v>Rechazar H0</v>
      </c>
      <c r="F4049" s="0" t="str">
        <f aca="false">IF(AND(B4049="H0 verdadera",E4049="Rechazar H0"),"Error tipo I",IF(AND(B4049="Ha verdadera",E4049="No rechazar H0"),"Error tipo II","Decisión correcta"))</f>
        <v>Decisión correcta</v>
      </c>
    </row>
    <row r="4050" customFormat="false" ht="15" hidden="false" customHeight="false" outlineLevel="0" collapsed="false">
      <c r="A4050" s="0" t="n">
        <v>4029</v>
      </c>
      <c r="B4050" s="0" t="s">
        <v>85</v>
      </c>
      <c r="C4050" s="17" t="n">
        <v>0.183073559248948</v>
      </c>
      <c r="D4050" s="17" t="n">
        <f aca="false">(C4050-$B$4)/($B$6/SQRT($B$7))</f>
        <v>0.915367796244738</v>
      </c>
      <c r="E4050" s="0" t="str">
        <f aca="false">IF(OR(AND($B$9="superior",D4050&gt;$B$10),AND($B$9="inferior",D4050&lt;-$B$10)),"Rechazar H0","No rechazar H0")</f>
        <v>No rechazar H0</v>
      </c>
      <c r="F4050" s="0" t="str">
        <f aca="false">IF(AND(B4050="H0 verdadera",E4050="Rechazar H0"),"Error tipo I",IF(AND(B4050="Ha verdadera",E4050="No rechazar H0"),"Error tipo II","Decisión correcta"))</f>
        <v>Decisión correcta</v>
      </c>
    </row>
    <row r="4051" customFormat="false" ht="15" hidden="false" customHeight="false" outlineLevel="0" collapsed="false">
      <c r="A4051" s="0" t="n">
        <v>4030</v>
      </c>
      <c r="B4051" s="0" t="s">
        <v>85</v>
      </c>
      <c r="C4051" s="17" t="n">
        <v>-0.162401594465786</v>
      </c>
      <c r="D4051" s="17" t="n">
        <f aca="false">(C4051-$B$4)/($B$6/SQRT($B$7))</f>
        <v>-0.812007972328929</v>
      </c>
      <c r="E4051" s="0" t="str">
        <f aca="false">IF(OR(AND($B$9="superior",D4051&gt;$B$10),AND($B$9="inferior",D4051&lt;-$B$10)),"Rechazar H0","No rechazar H0")</f>
        <v>No rechazar H0</v>
      </c>
      <c r="F4051" s="0" t="str">
        <f aca="false">IF(AND(B4051="H0 verdadera",E4051="Rechazar H0"),"Error tipo I",IF(AND(B4051="Ha verdadera",E4051="No rechazar H0"),"Error tipo II","Decisión correcta"))</f>
        <v>Decisión correcta</v>
      </c>
    </row>
    <row r="4052" customFormat="false" ht="15" hidden="false" customHeight="false" outlineLevel="0" collapsed="false">
      <c r="A4052" s="0" t="n">
        <v>4031</v>
      </c>
      <c r="B4052" s="0" t="s">
        <v>85</v>
      </c>
      <c r="C4052" s="17" t="n">
        <v>-0.190081205449123</v>
      </c>
      <c r="D4052" s="17" t="n">
        <f aca="false">(C4052-$B$4)/($B$6/SQRT($B$7))</f>
        <v>-0.950406027245615</v>
      </c>
      <c r="E4052" s="0" t="str">
        <f aca="false">IF(OR(AND($B$9="superior",D4052&gt;$B$10),AND($B$9="inferior",D4052&lt;-$B$10)),"Rechazar H0","No rechazar H0")</f>
        <v>No rechazar H0</v>
      </c>
      <c r="F4052" s="0" t="str">
        <f aca="false">IF(AND(B4052="H0 verdadera",E4052="Rechazar H0"),"Error tipo I",IF(AND(B4052="Ha verdadera",E4052="No rechazar H0"),"Error tipo II","Decisión correcta"))</f>
        <v>Decisión correcta</v>
      </c>
    </row>
    <row r="4053" customFormat="false" ht="15" hidden="false" customHeight="false" outlineLevel="0" collapsed="false">
      <c r="A4053" s="0" t="n">
        <v>4032</v>
      </c>
      <c r="B4053" s="0" t="s">
        <v>85</v>
      </c>
      <c r="C4053" s="17" t="n">
        <v>-0.0131414345267637</v>
      </c>
      <c r="D4053" s="17" t="n">
        <f aca="false">(C4053-$B$4)/($B$6/SQRT($B$7))</f>
        <v>-0.0657071726338185</v>
      </c>
      <c r="E4053" s="0" t="str">
        <f aca="false">IF(OR(AND($B$9="superior",D4053&gt;$B$10),AND($B$9="inferior",D4053&lt;-$B$10)),"Rechazar H0","No rechazar H0")</f>
        <v>No rechazar H0</v>
      </c>
      <c r="F4053" s="0" t="str">
        <f aca="false">IF(AND(B4053="H0 verdadera",E4053="Rechazar H0"),"Error tipo I",IF(AND(B4053="Ha verdadera",E4053="No rechazar H0"),"Error tipo II","Decisión correcta"))</f>
        <v>Decisión correcta</v>
      </c>
    </row>
    <row r="4054" customFormat="false" ht="15" hidden="false" customHeight="false" outlineLevel="0" collapsed="false">
      <c r="A4054" s="0" t="n">
        <v>4033</v>
      </c>
      <c r="B4054" s="0" t="s">
        <v>86</v>
      </c>
      <c r="C4054" s="17" t="n">
        <v>-0.408031638288182</v>
      </c>
      <c r="D4054" s="17" t="n">
        <f aca="false">(C4054-$B$4)/($B$6/SQRT($B$7))</f>
        <v>-2.04015819144091</v>
      </c>
      <c r="E4054" s="0" t="str">
        <f aca="false">IF(OR(AND($B$9="superior",D4054&gt;$B$10),AND($B$9="inferior",D4054&lt;-$B$10)),"Rechazar H0","No rechazar H0")</f>
        <v>Rechazar H0</v>
      </c>
      <c r="F4054" s="0" t="str">
        <f aca="false">IF(AND(B4054="H0 verdadera",E4054="Rechazar H0"),"Error tipo I",IF(AND(B4054="Ha verdadera",E4054="No rechazar H0"),"Error tipo II","Decisión correcta"))</f>
        <v>Decisión correcta</v>
      </c>
    </row>
    <row r="4055" customFormat="false" ht="15" hidden="false" customHeight="false" outlineLevel="0" collapsed="false">
      <c r="A4055" s="0" t="n">
        <v>4034</v>
      </c>
      <c r="B4055" s="0" t="s">
        <v>86</v>
      </c>
      <c r="C4055" s="17" t="n">
        <v>-0.208910190238941</v>
      </c>
      <c r="D4055" s="17" t="n">
        <f aca="false">(C4055-$B$4)/($B$6/SQRT($B$7))</f>
        <v>-1.04455095119471</v>
      </c>
      <c r="E4055" s="0" t="str">
        <f aca="false">IF(OR(AND($B$9="superior",D4055&gt;$B$10),AND($B$9="inferior",D4055&lt;-$B$10)),"Rechazar H0","No rechazar H0")</f>
        <v>No rechazar H0</v>
      </c>
      <c r="F4055" s="0" t="str">
        <f aca="false">IF(AND(B4055="H0 verdadera",E4055="Rechazar H0"),"Error tipo I",IF(AND(B4055="Ha verdadera",E4055="No rechazar H0"),"Error tipo II","Decisión correcta"))</f>
        <v>Error tipo II</v>
      </c>
    </row>
    <row r="4056" customFormat="false" ht="15" hidden="false" customHeight="false" outlineLevel="0" collapsed="false">
      <c r="A4056" s="0" t="n">
        <v>4035</v>
      </c>
      <c r="B4056" s="0" t="s">
        <v>85</v>
      </c>
      <c r="C4056" s="17" t="n">
        <v>0.546284462110736</v>
      </c>
      <c r="D4056" s="17" t="n">
        <f aca="false">(C4056-$B$4)/($B$6/SQRT($B$7))</f>
        <v>2.73142231055368</v>
      </c>
      <c r="E4056" s="0" t="str">
        <f aca="false">IF(OR(AND($B$9="superior",D4056&gt;$B$10),AND($B$9="inferior",D4056&lt;-$B$10)),"Rechazar H0","No rechazar H0")</f>
        <v>No rechazar H0</v>
      </c>
      <c r="F4056" s="0" t="str">
        <f aca="false">IF(AND(B4056="H0 verdadera",E4056="Rechazar H0"),"Error tipo I",IF(AND(B4056="Ha verdadera",E4056="No rechazar H0"),"Error tipo II","Decisión correcta"))</f>
        <v>Decisión correcta</v>
      </c>
    </row>
    <row r="4057" customFormat="false" ht="15" hidden="false" customHeight="false" outlineLevel="0" collapsed="false">
      <c r="A4057" s="0" t="n">
        <v>4036</v>
      </c>
      <c r="B4057" s="0" t="s">
        <v>85</v>
      </c>
      <c r="C4057" s="17" t="n">
        <v>0.129719444617975</v>
      </c>
      <c r="D4057" s="17" t="n">
        <f aca="false">(C4057-$B$4)/($B$6/SQRT($B$7))</f>
        <v>0.648597223089877</v>
      </c>
      <c r="E4057" s="0" t="str">
        <f aca="false">IF(OR(AND($B$9="superior",D4057&gt;$B$10),AND($B$9="inferior",D4057&lt;-$B$10)),"Rechazar H0","No rechazar H0")</f>
        <v>No rechazar H0</v>
      </c>
      <c r="F4057" s="0" t="str">
        <f aca="false">IF(AND(B4057="H0 verdadera",E4057="Rechazar H0"),"Error tipo I",IF(AND(B4057="Ha verdadera",E4057="No rechazar H0"),"Error tipo II","Decisión correcta"))</f>
        <v>Decisión correcta</v>
      </c>
    </row>
    <row r="4058" customFormat="false" ht="15" hidden="false" customHeight="false" outlineLevel="0" collapsed="false">
      <c r="A4058" s="0" t="n">
        <v>4037</v>
      </c>
      <c r="B4058" s="0" t="s">
        <v>85</v>
      </c>
      <c r="C4058" s="17" t="n">
        <v>-0.00384865917510846</v>
      </c>
      <c r="D4058" s="17" t="n">
        <f aca="false">(C4058-$B$4)/($B$6/SQRT($B$7))</f>
        <v>-0.0192432958755423</v>
      </c>
      <c r="E4058" s="0" t="str">
        <f aca="false">IF(OR(AND($B$9="superior",D4058&gt;$B$10),AND($B$9="inferior",D4058&lt;-$B$10)),"Rechazar H0","No rechazar H0")</f>
        <v>No rechazar H0</v>
      </c>
      <c r="F4058" s="0" t="str">
        <f aca="false">IF(AND(B4058="H0 verdadera",E4058="Rechazar H0"),"Error tipo I",IF(AND(B4058="Ha verdadera",E4058="No rechazar H0"),"Error tipo II","Decisión correcta"))</f>
        <v>Decisión correcta</v>
      </c>
    </row>
    <row r="4059" customFormat="false" ht="15" hidden="false" customHeight="false" outlineLevel="0" collapsed="false">
      <c r="A4059" s="0" t="n">
        <v>4038</v>
      </c>
      <c r="B4059" s="0" t="s">
        <v>86</v>
      </c>
      <c r="C4059" s="17" t="n">
        <v>-0.276225549687627</v>
      </c>
      <c r="D4059" s="17" t="n">
        <f aca="false">(C4059-$B$4)/($B$6/SQRT($B$7))</f>
        <v>-1.38112774843813</v>
      </c>
      <c r="E4059" s="0" t="str">
        <f aca="false">IF(OR(AND($B$9="superior",D4059&gt;$B$10),AND($B$9="inferior",D4059&lt;-$B$10)),"Rechazar H0","No rechazar H0")</f>
        <v>No rechazar H0</v>
      </c>
      <c r="F4059" s="0" t="str">
        <f aca="false">IF(AND(B4059="H0 verdadera",E4059="Rechazar H0"),"Error tipo I",IF(AND(B4059="Ha verdadera",E4059="No rechazar H0"),"Error tipo II","Decisión correcta"))</f>
        <v>Error tipo II</v>
      </c>
    </row>
    <row r="4060" customFormat="false" ht="15" hidden="false" customHeight="false" outlineLevel="0" collapsed="false">
      <c r="A4060" s="0" t="n">
        <v>4039</v>
      </c>
      <c r="B4060" s="0" t="s">
        <v>86</v>
      </c>
      <c r="C4060" s="17" t="n">
        <v>-0.436862685374564</v>
      </c>
      <c r="D4060" s="17" t="n">
        <f aca="false">(C4060-$B$4)/($B$6/SQRT($B$7))</f>
        <v>-2.18431342687282</v>
      </c>
      <c r="E4060" s="0" t="str">
        <f aca="false">IF(OR(AND($B$9="superior",D4060&gt;$B$10),AND($B$9="inferior",D4060&lt;-$B$10)),"Rechazar H0","No rechazar H0")</f>
        <v>Rechazar H0</v>
      </c>
      <c r="F4060" s="0" t="str">
        <f aca="false">IF(AND(B4060="H0 verdadera",E4060="Rechazar H0"),"Error tipo I",IF(AND(B4060="Ha verdadera",E4060="No rechazar H0"),"Error tipo II","Decisión correcta"))</f>
        <v>Decisión correcta</v>
      </c>
    </row>
    <row r="4061" customFormat="false" ht="15" hidden="false" customHeight="false" outlineLevel="0" collapsed="false">
      <c r="A4061" s="0" t="n">
        <v>4040</v>
      </c>
      <c r="B4061" s="0" t="s">
        <v>85</v>
      </c>
      <c r="C4061" s="17" t="n">
        <v>0.239616254628484</v>
      </c>
      <c r="D4061" s="17" t="n">
        <f aca="false">(C4061-$B$4)/($B$6/SQRT($B$7))</f>
        <v>1.19808127314242</v>
      </c>
      <c r="E4061" s="0" t="str">
        <f aca="false">IF(OR(AND($B$9="superior",D4061&gt;$B$10),AND($B$9="inferior",D4061&lt;-$B$10)),"Rechazar H0","No rechazar H0")</f>
        <v>No rechazar H0</v>
      </c>
      <c r="F4061" s="0" t="str">
        <f aca="false">IF(AND(B4061="H0 verdadera",E4061="Rechazar H0"),"Error tipo I",IF(AND(B4061="Ha verdadera",E4061="No rechazar H0"),"Error tipo II","Decisión correcta"))</f>
        <v>Decisión correcta</v>
      </c>
    </row>
    <row r="4062" customFormat="false" ht="15" hidden="false" customHeight="false" outlineLevel="0" collapsed="false">
      <c r="A4062" s="0" t="n">
        <v>4041</v>
      </c>
      <c r="B4062" s="0" t="s">
        <v>86</v>
      </c>
      <c r="C4062" s="17" t="n">
        <v>-0.100921710174977</v>
      </c>
      <c r="D4062" s="17" t="n">
        <f aca="false">(C4062-$B$4)/($B$6/SQRT($B$7))</f>
        <v>-0.504608550874884</v>
      </c>
      <c r="E4062" s="0" t="str">
        <f aca="false">IF(OR(AND($B$9="superior",D4062&gt;$B$10),AND($B$9="inferior",D4062&lt;-$B$10)),"Rechazar H0","No rechazar H0")</f>
        <v>No rechazar H0</v>
      </c>
      <c r="F4062" s="0" t="str">
        <f aca="false">IF(AND(B4062="H0 verdadera",E4062="Rechazar H0"),"Error tipo I",IF(AND(B4062="Ha verdadera",E4062="No rechazar H0"),"Error tipo II","Decisión correcta"))</f>
        <v>Error tipo II</v>
      </c>
    </row>
    <row r="4063" customFormat="false" ht="15" hidden="false" customHeight="false" outlineLevel="0" collapsed="false">
      <c r="A4063" s="0" t="n">
        <v>4042</v>
      </c>
      <c r="B4063" s="0" t="s">
        <v>85</v>
      </c>
      <c r="C4063" s="17" t="n">
        <v>0.0041190286533045</v>
      </c>
      <c r="D4063" s="17" t="n">
        <f aca="false">(C4063-$B$4)/($B$6/SQRT($B$7))</f>
        <v>0.0205951432665225</v>
      </c>
      <c r="E4063" s="0" t="str">
        <f aca="false">IF(OR(AND($B$9="superior",D4063&gt;$B$10),AND($B$9="inferior",D4063&lt;-$B$10)),"Rechazar H0","No rechazar H0")</f>
        <v>No rechazar H0</v>
      </c>
      <c r="F4063" s="0" t="str">
        <f aca="false">IF(AND(B4063="H0 verdadera",E4063="Rechazar H0"),"Error tipo I",IF(AND(B4063="Ha verdadera",E4063="No rechazar H0"),"Error tipo II","Decisión correcta"))</f>
        <v>Decisión correcta</v>
      </c>
    </row>
    <row r="4064" customFormat="false" ht="15" hidden="false" customHeight="false" outlineLevel="0" collapsed="false">
      <c r="A4064" s="0" t="n">
        <v>4043</v>
      </c>
      <c r="B4064" s="0" t="s">
        <v>86</v>
      </c>
      <c r="C4064" s="17" t="n">
        <v>-0.242213547214097</v>
      </c>
      <c r="D4064" s="17" t="n">
        <f aca="false">(C4064-$B$4)/($B$6/SQRT($B$7))</f>
        <v>-1.21106773607048</v>
      </c>
      <c r="E4064" s="0" t="str">
        <f aca="false">IF(OR(AND($B$9="superior",D4064&gt;$B$10),AND($B$9="inferior",D4064&lt;-$B$10)),"Rechazar H0","No rechazar H0")</f>
        <v>No rechazar H0</v>
      </c>
      <c r="F4064" s="0" t="str">
        <f aca="false">IF(AND(B4064="H0 verdadera",E4064="Rechazar H0"),"Error tipo I",IF(AND(B4064="Ha verdadera",E4064="No rechazar H0"),"Error tipo II","Decisión correcta"))</f>
        <v>Error tipo II</v>
      </c>
    </row>
    <row r="4065" customFormat="false" ht="15" hidden="false" customHeight="false" outlineLevel="0" collapsed="false">
      <c r="A4065" s="0" t="n">
        <v>4044</v>
      </c>
      <c r="B4065" s="0" t="s">
        <v>85</v>
      </c>
      <c r="C4065" s="17" t="n">
        <v>0.103948229426317</v>
      </c>
      <c r="D4065" s="17" t="n">
        <f aca="false">(C4065-$B$4)/($B$6/SQRT($B$7))</f>
        <v>0.519741147131587</v>
      </c>
      <c r="E4065" s="0" t="str">
        <f aca="false">IF(OR(AND($B$9="superior",D4065&gt;$B$10),AND($B$9="inferior",D4065&lt;-$B$10)),"Rechazar H0","No rechazar H0")</f>
        <v>No rechazar H0</v>
      </c>
      <c r="F4065" s="0" t="str">
        <f aca="false">IF(AND(B4065="H0 verdadera",E4065="Rechazar H0"),"Error tipo I",IF(AND(B4065="Ha verdadera",E4065="No rechazar H0"),"Error tipo II","Decisión correcta"))</f>
        <v>Decisión correcta</v>
      </c>
    </row>
    <row r="4066" customFormat="false" ht="15" hidden="false" customHeight="false" outlineLevel="0" collapsed="false">
      <c r="A4066" s="0" t="n">
        <v>4045</v>
      </c>
      <c r="B4066" s="0" t="s">
        <v>86</v>
      </c>
      <c r="C4066" s="17" t="n">
        <v>-0.458933379352385</v>
      </c>
      <c r="D4066" s="17" t="n">
        <f aca="false">(C4066-$B$4)/($B$6/SQRT($B$7))</f>
        <v>-2.29466689676193</v>
      </c>
      <c r="E4066" s="0" t="str">
        <f aca="false">IF(OR(AND($B$9="superior",D4066&gt;$B$10),AND($B$9="inferior",D4066&lt;-$B$10)),"Rechazar H0","No rechazar H0")</f>
        <v>Rechazar H0</v>
      </c>
      <c r="F4066" s="0" t="str">
        <f aca="false">IF(AND(B4066="H0 verdadera",E4066="Rechazar H0"),"Error tipo I",IF(AND(B4066="Ha verdadera",E4066="No rechazar H0"),"Error tipo II","Decisión correcta"))</f>
        <v>Decisión correcta</v>
      </c>
    </row>
    <row r="4067" customFormat="false" ht="15" hidden="false" customHeight="false" outlineLevel="0" collapsed="false">
      <c r="A4067" s="0" t="n">
        <v>4046</v>
      </c>
      <c r="B4067" s="0" t="s">
        <v>85</v>
      </c>
      <c r="C4067" s="17" t="n">
        <v>-0.101785705720129</v>
      </c>
      <c r="D4067" s="17" t="n">
        <f aca="false">(C4067-$B$4)/($B$6/SQRT($B$7))</f>
        <v>-0.508928528600644</v>
      </c>
      <c r="E4067" s="0" t="str">
        <f aca="false">IF(OR(AND($B$9="superior",D4067&gt;$B$10),AND($B$9="inferior",D4067&lt;-$B$10)),"Rechazar H0","No rechazar H0")</f>
        <v>No rechazar H0</v>
      </c>
      <c r="F4067" s="0" t="str">
        <f aca="false">IF(AND(B4067="H0 verdadera",E4067="Rechazar H0"),"Error tipo I",IF(AND(B4067="Ha verdadera",E4067="No rechazar H0"),"Error tipo II","Decisión correcta"))</f>
        <v>Decisión correcta</v>
      </c>
    </row>
    <row r="4068" customFormat="false" ht="15" hidden="false" customHeight="false" outlineLevel="0" collapsed="false">
      <c r="A4068" s="0" t="n">
        <v>4047</v>
      </c>
      <c r="B4068" s="0" t="s">
        <v>86</v>
      </c>
      <c r="C4068" s="17" t="n">
        <v>-0.608568091689367</v>
      </c>
      <c r="D4068" s="17" t="n">
        <f aca="false">(C4068-$B$4)/($B$6/SQRT($B$7))</f>
        <v>-3.04284045844684</v>
      </c>
      <c r="E4068" s="0" t="str">
        <f aca="false">IF(OR(AND($B$9="superior",D4068&gt;$B$10),AND($B$9="inferior",D4068&lt;-$B$10)),"Rechazar H0","No rechazar H0")</f>
        <v>Rechazar H0</v>
      </c>
      <c r="F4068" s="0" t="str">
        <f aca="false">IF(AND(B4068="H0 verdadera",E4068="Rechazar H0"),"Error tipo I",IF(AND(B4068="Ha verdadera",E4068="No rechazar H0"),"Error tipo II","Decisión correcta"))</f>
        <v>Decisión correcta</v>
      </c>
    </row>
    <row r="4069" customFormat="false" ht="15" hidden="false" customHeight="false" outlineLevel="0" collapsed="false">
      <c r="A4069" s="0" t="n">
        <v>4048</v>
      </c>
      <c r="B4069" s="0" t="s">
        <v>86</v>
      </c>
      <c r="C4069" s="17" t="n">
        <v>-0.605849185135744</v>
      </c>
      <c r="D4069" s="17" t="n">
        <f aca="false">(C4069-$B$4)/($B$6/SQRT($B$7))</f>
        <v>-3.02924592567872</v>
      </c>
      <c r="E4069" s="0" t="str">
        <f aca="false">IF(OR(AND($B$9="superior",D4069&gt;$B$10),AND($B$9="inferior",D4069&lt;-$B$10)),"Rechazar H0","No rechazar H0")</f>
        <v>Rechazar H0</v>
      </c>
      <c r="F4069" s="0" t="str">
        <f aca="false">IF(AND(B4069="H0 verdadera",E4069="Rechazar H0"),"Error tipo I",IF(AND(B4069="Ha verdadera",E4069="No rechazar H0"),"Error tipo II","Decisión correcta"))</f>
        <v>Decisión correcta</v>
      </c>
    </row>
    <row r="4070" customFormat="false" ht="15" hidden="false" customHeight="false" outlineLevel="0" collapsed="false">
      <c r="A4070" s="0" t="n">
        <v>4049</v>
      </c>
      <c r="B4070" s="0" t="s">
        <v>85</v>
      </c>
      <c r="C4070" s="17" t="n">
        <v>0.0977977612231633</v>
      </c>
      <c r="D4070" s="17" t="n">
        <f aca="false">(C4070-$B$4)/($B$6/SQRT($B$7))</f>
        <v>0.488988806115816</v>
      </c>
      <c r="E4070" s="0" t="str">
        <f aca="false">IF(OR(AND($B$9="superior",D4070&gt;$B$10),AND($B$9="inferior",D4070&lt;-$B$10)),"Rechazar H0","No rechazar H0")</f>
        <v>No rechazar H0</v>
      </c>
      <c r="F4070" s="0" t="str">
        <f aca="false">IF(AND(B4070="H0 verdadera",E4070="Rechazar H0"),"Error tipo I",IF(AND(B4070="Ha verdadera",E4070="No rechazar H0"),"Error tipo II","Decisión correcta"))</f>
        <v>Decisión correcta</v>
      </c>
    </row>
    <row r="4071" customFormat="false" ht="15" hidden="false" customHeight="false" outlineLevel="0" collapsed="false">
      <c r="A4071" s="0" t="n">
        <v>4050</v>
      </c>
      <c r="B4071" s="0" t="s">
        <v>86</v>
      </c>
      <c r="C4071" s="17" t="n">
        <v>-0.482537539614984</v>
      </c>
      <c r="D4071" s="17" t="n">
        <f aca="false">(C4071-$B$4)/($B$6/SQRT($B$7))</f>
        <v>-2.41268769807492</v>
      </c>
      <c r="E4071" s="0" t="str">
        <f aca="false">IF(OR(AND($B$9="superior",D4071&gt;$B$10),AND($B$9="inferior",D4071&lt;-$B$10)),"Rechazar H0","No rechazar H0")</f>
        <v>Rechazar H0</v>
      </c>
      <c r="F4071" s="0" t="str">
        <f aca="false">IF(AND(B4071="H0 verdadera",E4071="Rechazar H0"),"Error tipo I",IF(AND(B4071="Ha verdadera",E4071="No rechazar H0"),"Error tipo II","Decisión correcta"))</f>
        <v>Decisión correcta</v>
      </c>
    </row>
    <row r="4072" customFormat="false" ht="15" hidden="false" customHeight="false" outlineLevel="0" collapsed="false">
      <c r="A4072" s="0" t="n">
        <v>4051</v>
      </c>
      <c r="B4072" s="0" t="s">
        <v>85</v>
      </c>
      <c r="C4072" s="17" t="n">
        <v>0.0436687233107128</v>
      </c>
      <c r="D4072" s="17" t="n">
        <f aca="false">(C4072-$B$4)/($B$6/SQRT($B$7))</f>
        <v>0.218343616553564</v>
      </c>
      <c r="E4072" s="0" t="str">
        <f aca="false">IF(OR(AND($B$9="superior",D4072&gt;$B$10),AND($B$9="inferior",D4072&lt;-$B$10)),"Rechazar H0","No rechazar H0")</f>
        <v>No rechazar H0</v>
      </c>
      <c r="F4072" s="0" t="str">
        <f aca="false">IF(AND(B4072="H0 verdadera",E4072="Rechazar H0"),"Error tipo I",IF(AND(B4072="Ha verdadera",E4072="No rechazar H0"),"Error tipo II","Decisión correcta"))</f>
        <v>Decisión correcta</v>
      </c>
    </row>
    <row r="4073" customFormat="false" ht="15" hidden="false" customHeight="false" outlineLevel="0" collapsed="false">
      <c r="A4073" s="0" t="n">
        <v>4052</v>
      </c>
      <c r="B4073" s="0" t="s">
        <v>85</v>
      </c>
      <c r="C4073" s="17" t="n">
        <v>-0.322669957762592</v>
      </c>
      <c r="D4073" s="17" t="n">
        <f aca="false">(C4073-$B$4)/($B$6/SQRT($B$7))</f>
        <v>-1.61334978881296</v>
      </c>
      <c r="E4073" s="0" t="str">
        <f aca="false">IF(OR(AND($B$9="superior",D4073&gt;$B$10),AND($B$9="inferior",D4073&lt;-$B$10)),"Rechazar H0","No rechazar H0")</f>
        <v>No rechazar H0</v>
      </c>
      <c r="F4073" s="0" t="str">
        <f aca="false">IF(AND(B4073="H0 verdadera",E4073="Rechazar H0"),"Error tipo I",IF(AND(B4073="Ha verdadera",E4073="No rechazar H0"),"Error tipo II","Decisión correcta"))</f>
        <v>Decisión correcta</v>
      </c>
    </row>
    <row r="4074" customFormat="false" ht="15" hidden="false" customHeight="false" outlineLevel="0" collapsed="false">
      <c r="A4074" s="0" t="n">
        <v>4053</v>
      </c>
      <c r="B4074" s="0" t="s">
        <v>85</v>
      </c>
      <c r="C4074" s="17" t="n">
        <v>0.00566048089337876</v>
      </c>
      <c r="D4074" s="17" t="n">
        <f aca="false">(C4074-$B$4)/($B$6/SQRT($B$7))</f>
        <v>0.0283024044668938</v>
      </c>
      <c r="E4074" s="0" t="str">
        <f aca="false">IF(OR(AND($B$9="superior",D4074&gt;$B$10),AND($B$9="inferior",D4074&lt;-$B$10)),"Rechazar H0","No rechazar H0")</f>
        <v>No rechazar H0</v>
      </c>
      <c r="F4074" s="0" t="str">
        <f aca="false">IF(AND(B4074="H0 verdadera",E4074="Rechazar H0"),"Error tipo I",IF(AND(B4074="Ha verdadera",E4074="No rechazar H0"),"Error tipo II","Decisión correcta"))</f>
        <v>Decisión correcta</v>
      </c>
    </row>
    <row r="4075" customFormat="false" ht="15" hidden="false" customHeight="false" outlineLevel="0" collapsed="false">
      <c r="A4075" s="0" t="n">
        <v>4054</v>
      </c>
      <c r="B4075" s="0" t="s">
        <v>86</v>
      </c>
      <c r="C4075" s="17" t="n">
        <v>-0.312682323033332</v>
      </c>
      <c r="D4075" s="17" t="n">
        <f aca="false">(C4075-$B$4)/($B$6/SQRT($B$7))</f>
        <v>-1.56341161516666</v>
      </c>
      <c r="E4075" s="0" t="str">
        <f aca="false">IF(OR(AND($B$9="superior",D4075&gt;$B$10),AND($B$9="inferior",D4075&lt;-$B$10)),"Rechazar H0","No rechazar H0")</f>
        <v>No rechazar H0</v>
      </c>
      <c r="F4075" s="0" t="str">
        <f aca="false">IF(AND(B4075="H0 verdadera",E4075="Rechazar H0"),"Error tipo I",IF(AND(B4075="Ha verdadera",E4075="No rechazar H0"),"Error tipo II","Decisión correcta"))</f>
        <v>Error tipo II</v>
      </c>
    </row>
    <row r="4076" customFormat="false" ht="15" hidden="false" customHeight="false" outlineLevel="0" collapsed="false">
      <c r="A4076" s="0" t="n">
        <v>4055</v>
      </c>
      <c r="B4076" s="0" t="s">
        <v>86</v>
      </c>
      <c r="C4076" s="17" t="n">
        <v>-0.477011605635122</v>
      </c>
      <c r="D4076" s="17" t="n">
        <f aca="false">(C4076-$B$4)/($B$6/SQRT($B$7))</f>
        <v>-2.38505802817561</v>
      </c>
      <c r="E4076" s="0" t="str">
        <f aca="false">IF(OR(AND($B$9="superior",D4076&gt;$B$10),AND($B$9="inferior",D4076&lt;-$B$10)),"Rechazar H0","No rechazar H0")</f>
        <v>Rechazar H0</v>
      </c>
      <c r="F4076" s="0" t="str">
        <f aca="false">IF(AND(B4076="H0 verdadera",E4076="Rechazar H0"),"Error tipo I",IF(AND(B4076="Ha verdadera",E4076="No rechazar H0"),"Error tipo II","Decisión correcta"))</f>
        <v>Decisión correcta</v>
      </c>
    </row>
    <row r="4077" customFormat="false" ht="15" hidden="false" customHeight="false" outlineLevel="0" collapsed="false">
      <c r="A4077" s="0" t="n">
        <v>4056</v>
      </c>
      <c r="B4077" s="0" t="s">
        <v>85</v>
      </c>
      <c r="C4077" s="17" t="n">
        <v>-0.0513990674085287</v>
      </c>
      <c r="D4077" s="17" t="n">
        <f aca="false">(C4077-$B$4)/($B$6/SQRT($B$7))</f>
        <v>-0.256995337042644</v>
      </c>
      <c r="E4077" s="0" t="str">
        <f aca="false">IF(OR(AND($B$9="superior",D4077&gt;$B$10),AND($B$9="inferior",D4077&lt;-$B$10)),"Rechazar H0","No rechazar H0")</f>
        <v>No rechazar H0</v>
      </c>
      <c r="F4077" s="0" t="str">
        <f aca="false">IF(AND(B4077="H0 verdadera",E4077="Rechazar H0"),"Error tipo I",IF(AND(B4077="Ha verdadera",E4077="No rechazar H0"),"Error tipo II","Decisión correcta"))</f>
        <v>Decisión correcta</v>
      </c>
    </row>
    <row r="4078" customFormat="false" ht="15" hidden="false" customHeight="false" outlineLevel="0" collapsed="false">
      <c r="A4078" s="0" t="n">
        <v>4057</v>
      </c>
      <c r="B4078" s="0" t="s">
        <v>85</v>
      </c>
      <c r="C4078" s="17" t="n">
        <v>0.182149068609569</v>
      </c>
      <c r="D4078" s="17" t="n">
        <f aca="false">(C4078-$B$4)/($B$6/SQRT($B$7))</f>
        <v>0.910745343047845</v>
      </c>
      <c r="E4078" s="0" t="str">
        <f aca="false">IF(OR(AND($B$9="superior",D4078&gt;$B$10),AND($B$9="inferior",D4078&lt;-$B$10)),"Rechazar H0","No rechazar H0")</f>
        <v>No rechazar H0</v>
      </c>
      <c r="F4078" s="0" t="str">
        <f aca="false">IF(AND(B4078="H0 verdadera",E4078="Rechazar H0"),"Error tipo I",IF(AND(B4078="Ha verdadera",E4078="No rechazar H0"),"Error tipo II","Decisión correcta"))</f>
        <v>Decisión correcta</v>
      </c>
    </row>
    <row r="4079" customFormat="false" ht="15" hidden="false" customHeight="false" outlineLevel="0" collapsed="false">
      <c r="A4079" s="0" t="n">
        <v>4058</v>
      </c>
      <c r="B4079" s="0" t="s">
        <v>85</v>
      </c>
      <c r="C4079" s="17" t="n">
        <v>0.250793904849089</v>
      </c>
      <c r="D4079" s="17" t="n">
        <f aca="false">(C4079-$B$4)/($B$6/SQRT($B$7))</f>
        <v>1.25396952424544</v>
      </c>
      <c r="E4079" s="0" t="str">
        <f aca="false">IF(OR(AND($B$9="superior",D4079&gt;$B$10),AND($B$9="inferior",D4079&lt;-$B$10)),"Rechazar H0","No rechazar H0")</f>
        <v>No rechazar H0</v>
      </c>
      <c r="F4079" s="0" t="str">
        <f aca="false">IF(AND(B4079="H0 verdadera",E4079="Rechazar H0"),"Error tipo I",IF(AND(B4079="Ha verdadera",E4079="No rechazar H0"),"Error tipo II","Decisión correcta"))</f>
        <v>Decisión correcta</v>
      </c>
    </row>
    <row r="4080" customFormat="false" ht="15" hidden="false" customHeight="false" outlineLevel="0" collapsed="false">
      <c r="A4080" s="0" t="n">
        <v>4059</v>
      </c>
      <c r="B4080" s="0" t="s">
        <v>85</v>
      </c>
      <c r="C4080" s="17" t="n">
        <v>-0.15313229804885</v>
      </c>
      <c r="D4080" s="17" t="n">
        <f aca="false">(C4080-$B$4)/($B$6/SQRT($B$7))</f>
        <v>-0.765661490244248</v>
      </c>
      <c r="E4080" s="0" t="str">
        <f aca="false">IF(OR(AND($B$9="superior",D4080&gt;$B$10),AND($B$9="inferior",D4080&lt;-$B$10)),"Rechazar H0","No rechazar H0")</f>
        <v>No rechazar H0</v>
      </c>
      <c r="F4080" s="0" t="str">
        <f aca="false">IF(AND(B4080="H0 verdadera",E4080="Rechazar H0"),"Error tipo I",IF(AND(B4080="Ha verdadera",E4080="No rechazar H0"),"Error tipo II","Decisión correcta"))</f>
        <v>Decisión correcta</v>
      </c>
    </row>
    <row r="4081" customFormat="false" ht="15" hidden="false" customHeight="false" outlineLevel="0" collapsed="false">
      <c r="A4081" s="0" t="n">
        <v>4060</v>
      </c>
      <c r="B4081" s="0" t="s">
        <v>86</v>
      </c>
      <c r="C4081" s="17" t="n">
        <v>-0.544177138299039</v>
      </c>
      <c r="D4081" s="17" t="n">
        <f aca="false">(C4081-$B$4)/($B$6/SQRT($B$7))</f>
        <v>-2.72088569149519</v>
      </c>
      <c r="E4081" s="0" t="str">
        <f aca="false">IF(OR(AND($B$9="superior",D4081&gt;$B$10),AND($B$9="inferior",D4081&lt;-$B$10)),"Rechazar H0","No rechazar H0")</f>
        <v>Rechazar H0</v>
      </c>
      <c r="F4081" s="0" t="str">
        <f aca="false">IF(AND(B4081="H0 verdadera",E4081="Rechazar H0"),"Error tipo I",IF(AND(B4081="Ha verdadera",E4081="No rechazar H0"),"Error tipo II","Decisión correcta"))</f>
        <v>Decisión correcta</v>
      </c>
    </row>
    <row r="4082" customFormat="false" ht="15" hidden="false" customHeight="false" outlineLevel="0" collapsed="false">
      <c r="A4082" s="0" t="n">
        <v>4061</v>
      </c>
      <c r="B4082" s="0" t="s">
        <v>86</v>
      </c>
      <c r="C4082" s="17" t="n">
        <v>-0.698302214212287</v>
      </c>
      <c r="D4082" s="17" t="n">
        <f aca="false">(C4082-$B$4)/($B$6/SQRT($B$7))</f>
        <v>-3.49151107106143</v>
      </c>
      <c r="E4082" s="0" t="str">
        <f aca="false">IF(OR(AND($B$9="superior",D4082&gt;$B$10),AND($B$9="inferior",D4082&lt;-$B$10)),"Rechazar H0","No rechazar H0")</f>
        <v>Rechazar H0</v>
      </c>
      <c r="F4082" s="0" t="str">
        <f aca="false">IF(AND(B4082="H0 verdadera",E4082="Rechazar H0"),"Error tipo I",IF(AND(B4082="Ha verdadera",E4082="No rechazar H0"),"Error tipo II","Decisión correcta"))</f>
        <v>Decisión correcta</v>
      </c>
    </row>
    <row r="4083" customFormat="false" ht="15" hidden="false" customHeight="false" outlineLevel="0" collapsed="false">
      <c r="A4083" s="0" t="n">
        <v>4062</v>
      </c>
      <c r="B4083" s="0" t="s">
        <v>86</v>
      </c>
      <c r="C4083" s="17" t="n">
        <v>-0.444773729223752</v>
      </c>
      <c r="D4083" s="17" t="n">
        <f aca="false">(C4083-$B$4)/($B$6/SQRT($B$7))</f>
        <v>-2.22386864611876</v>
      </c>
      <c r="E4083" s="0" t="str">
        <f aca="false">IF(OR(AND($B$9="superior",D4083&gt;$B$10),AND($B$9="inferior",D4083&lt;-$B$10)),"Rechazar H0","No rechazar H0")</f>
        <v>Rechazar H0</v>
      </c>
      <c r="F4083" s="0" t="str">
        <f aca="false">IF(AND(B4083="H0 verdadera",E4083="Rechazar H0"),"Error tipo I",IF(AND(B4083="Ha verdadera",E4083="No rechazar H0"),"Error tipo II","Decisión correcta"))</f>
        <v>Decisión correcta</v>
      </c>
    </row>
    <row r="4084" customFormat="false" ht="15" hidden="false" customHeight="false" outlineLevel="0" collapsed="false">
      <c r="A4084" s="0" t="n">
        <v>4063</v>
      </c>
      <c r="B4084" s="0" t="s">
        <v>86</v>
      </c>
      <c r="C4084" s="17" t="n">
        <v>-0.554324230512902</v>
      </c>
      <c r="D4084" s="17" t="n">
        <f aca="false">(C4084-$B$4)/($B$6/SQRT($B$7))</f>
        <v>-2.77162115256451</v>
      </c>
      <c r="E4084" s="0" t="str">
        <f aca="false">IF(OR(AND($B$9="superior",D4084&gt;$B$10),AND($B$9="inferior",D4084&lt;-$B$10)),"Rechazar H0","No rechazar H0")</f>
        <v>Rechazar H0</v>
      </c>
      <c r="F4084" s="0" t="str">
        <f aca="false">IF(AND(B4084="H0 verdadera",E4084="Rechazar H0"),"Error tipo I",IF(AND(B4084="Ha verdadera",E4084="No rechazar H0"),"Error tipo II","Decisión correcta"))</f>
        <v>Decisión correcta</v>
      </c>
    </row>
    <row r="4085" customFormat="false" ht="15" hidden="false" customHeight="false" outlineLevel="0" collapsed="false">
      <c r="A4085" s="0" t="n">
        <v>4064</v>
      </c>
      <c r="B4085" s="0" t="s">
        <v>86</v>
      </c>
      <c r="C4085" s="17" t="n">
        <v>-0.443703051306868</v>
      </c>
      <c r="D4085" s="17" t="n">
        <f aca="false">(C4085-$B$4)/($B$6/SQRT($B$7))</f>
        <v>-2.21851525653434</v>
      </c>
      <c r="E4085" s="0" t="str">
        <f aca="false">IF(OR(AND($B$9="superior",D4085&gt;$B$10),AND($B$9="inferior",D4085&lt;-$B$10)),"Rechazar H0","No rechazar H0")</f>
        <v>Rechazar H0</v>
      </c>
      <c r="F4085" s="0" t="str">
        <f aca="false">IF(AND(B4085="H0 verdadera",E4085="Rechazar H0"),"Error tipo I",IF(AND(B4085="Ha verdadera",E4085="No rechazar H0"),"Error tipo II","Decisión correcta"))</f>
        <v>Decisión correcta</v>
      </c>
    </row>
    <row r="4086" customFormat="false" ht="15" hidden="false" customHeight="false" outlineLevel="0" collapsed="false">
      <c r="A4086" s="0" t="n">
        <v>4065</v>
      </c>
      <c r="B4086" s="0" t="s">
        <v>86</v>
      </c>
      <c r="C4086" s="17" t="n">
        <v>-0.452135772252233</v>
      </c>
      <c r="D4086" s="17" t="n">
        <f aca="false">(C4086-$B$4)/($B$6/SQRT($B$7))</f>
        <v>-2.26067886126116</v>
      </c>
      <c r="E4086" s="0" t="str">
        <f aca="false">IF(OR(AND($B$9="superior",D4086&gt;$B$10),AND($B$9="inferior",D4086&lt;-$B$10)),"Rechazar H0","No rechazar H0")</f>
        <v>Rechazar H0</v>
      </c>
      <c r="F4086" s="0" t="str">
        <f aca="false">IF(AND(B4086="H0 verdadera",E4086="Rechazar H0"),"Error tipo I",IF(AND(B4086="Ha verdadera",E4086="No rechazar H0"),"Error tipo II","Decisión correcta"))</f>
        <v>Decisión correcta</v>
      </c>
    </row>
    <row r="4087" customFormat="false" ht="15" hidden="false" customHeight="false" outlineLevel="0" collapsed="false">
      <c r="A4087" s="0" t="n">
        <v>4066</v>
      </c>
      <c r="B4087" s="0" t="s">
        <v>86</v>
      </c>
      <c r="C4087" s="17" t="n">
        <v>-0.467508445089556</v>
      </c>
      <c r="D4087" s="17" t="n">
        <f aca="false">(C4087-$B$4)/($B$6/SQRT($B$7))</f>
        <v>-2.33754222544778</v>
      </c>
      <c r="E4087" s="0" t="str">
        <f aca="false">IF(OR(AND($B$9="superior",D4087&gt;$B$10),AND($B$9="inferior",D4087&lt;-$B$10)),"Rechazar H0","No rechazar H0")</f>
        <v>Rechazar H0</v>
      </c>
      <c r="F4087" s="0" t="str">
        <f aca="false">IF(AND(B4087="H0 verdadera",E4087="Rechazar H0"),"Error tipo I",IF(AND(B4087="Ha verdadera",E4087="No rechazar H0"),"Error tipo II","Decisión correcta"))</f>
        <v>Decisión correcta</v>
      </c>
    </row>
    <row r="4088" customFormat="false" ht="15" hidden="false" customHeight="false" outlineLevel="0" collapsed="false">
      <c r="A4088" s="0" t="n">
        <v>4067</v>
      </c>
      <c r="B4088" s="0" t="s">
        <v>86</v>
      </c>
      <c r="C4088" s="17" t="n">
        <v>-0.579636314025624</v>
      </c>
      <c r="D4088" s="17" t="n">
        <f aca="false">(C4088-$B$4)/($B$6/SQRT($B$7))</f>
        <v>-2.89818157012812</v>
      </c>
      <c r="E4088" s="0" t="str">
        <f aca="false">IF(OR(AND($B$9="superior",D4088&gt;$B$10),AND($B$9="inferior",D4088&lt;-$B$10)),"Rechazar H0","No rechazar H0")</f>
        <v>Rechazar H0</v>
      </c>
      <c r="F4088" s="0" t="str">
        <f aca="false">IF(AND(B4088="H0 verdadera",E4088="Rechazar H0"),"Error tipo I",IF(AND(B4088="Ha verdadera",E4088="No rechazar H0"),"Error tipo II","Decisión correcta"))</f>
        <v>Decisión correcta</v>
      </c>
    </row>
    <row r="4089" customFormat="false" ht="15" hidden="false" customHeight="false" outlineLevel="0" collapsed="false">
      <c r="A4089" s="0" t="n">
        <v>4068</v>
      </c>
      <c r="B4089" s="0" t="s">
        <v>86</v>
      </c>
      <c r="C4089" s="17" t="n">
        <v>-0.327326588145925</v>
      </c>
      <c r="D4089" s="17" t="n">
        <f aca="false">(C4089-$B$4)/($B$6/SQRT($B$7))</f>
        <v>-1.63663294072962</v>
      </c>
      <c r="E4089" s="0" t="str">
        <f aca="false">IF(OR(AND($B$9="superior",D4089&gt;$B$10),AND($B$9="inferior",D4089&lt;-$B$10)),"Rechazar H0","No rechazar H0")</f>
        <v>No rechazar H0</v>
      </c>
      <c r="F4089" s="0" t="str">
        <f aca="false">IF(AND(B4089="H0 verdadera",E4089="Rechazar H0"),"Error tipo I",IF(AND(B4089="Ha verdadera",E4089="No rechazar H0"),"Error tipo II","Decisión correcta"))</f>
        <v>Error tipo II</v>
      </c>
    </row>
    <row r="4090" customFormat="false" ht="15" hidden="false" customHeight="false" outlineLevel="0" collapsed="false">
      <c r="A4090" s="0" t="n">
        <v>4069</v>
      </c>
      <c r="B4090" s="0" t="s">
        <v>86</v>
      </c>
      <c r="C4090" s="17" t="n">
        <v>-0.197416541477402</v>
      </c>
      <c r="D4090" s="17" t="n">
        <f aca="false">(C4090-$B$4)/($B$6/SQRT($B$7))</f>
        <v>-0.987082707387008</v>
      </c>
      <c r="E4090" s="0" t="str">
        <f aca="false">IF(OR(AND($B$9="superior",D4090&gt;$B$10),AND($B$9="inferior",D4090&lt;-$B$10)),"Rechazar H0","No rechazar H0")</f>
        <v>No rechazar H0</v>
      </c>
      <c r="F4090" s="0" t="str">
        <f aca="false">IF(AND(B4090="H0 verdadera",E4090="Rechazar H0"),"Error tipo I",IF(AND(B4090="Ha verdadera",E4090="No rechazar H0"),"Error tipo II","Decisión correcta"))</f>
        <v>Error tipo II</v>
      </c>
    </row>
    <row r="4091" customFormat="false" ht="15" hidden="false" customHeight="false" outlineLevel="0" collapsed="false">
      <c r="A4091" s="0" t="n">
        <v>4070</v>
      </c>
      <c r="B4091" s="0" t="s">
        <v>85</v>
      </c>
      <c r="C4091" s="17" t="n">
        <v>-0.163149448126485</v>
      </c>
      <c r="D4091" s="17" t="n">
        <f aca="false">(C4091-$B$4)/($B$6/SQRT($B$7))</f>
        <v>-0.815747240632423</v>
      </c>
      <c r="E4091" s="0" t="str">
        <f aca="false">IF(OR(AND($B$9="superior",D4091&gt;$B$10),AND($B$9="inferior",D4091&lt;-$B$10)),"Rechazar H0","No rechazar H0")</f>
        <v>No rechazar H0</v>
      </c>
      <c r="F4091" s="0" t="str">
        <f aca="false">IF(AND(B4091="H0 verdadera",E4091="Rechazar H0"),"Error tipo I",IF(AND(B4091="Ha verdadera",E4091="No rechazar H0"),"Error tipo II","Decisión correcta"))</f>
        <v>Decisión correcta</v>
      </c>
    </row>
    <row r="4092" customFormat="false" ht="15" hidden="false" customHeight="false" outlineLevel="0" collapsed="false">
      <c r="A4092" s="0" t="n">
        <v>4071</v>
      </c>
      <c r="B4092" s="0" t="s">
        <v>86</v>
      </c>
      <c r="C4092" s="17" t="n">
        <v>-0.64760549836464</v>
      </c>
      <c r="D4092" s="17" t="n">
        <f aca="false">(C4092-$B$4)/($B$6/SQRT($B$7))</f>
        <v>-3.2380274918232</v>
      </c>
      <c r="E4092" s="0" t="str">
        <f aca="false">IF(OR(AND($B$9="superior",D4092&gt;$B$10),AND($B$9="inferior",D4092&lt;-$B$10)),"Rechazar H0","No rechazar H0")</f>
        <v>Rechazar H0</v>
      </c>
      <c r="F4092" s="0" t="str">
        <f aca="false">IF(AND(B4092="H0 verdadera",E4092="Rechazar H0"),"Error tipo I",IF(AND(B4092="Ha verdadera",E4092="No rechazar H0"),"Error tipo II","Decisión correcta"))</f>
        <v>Decisión correcta</v>
      </c>
    </row>
    <row r="4093" customFormat="false" ht="15" hidden="false" customHeight="false" outlineLevel="0" collapsed="false">
      <c r="A4093" s="0" t="n">
        <v>4072</v>
      </c>
      <c r="B4093" s="0" t="s">
        <v>85</v>
      </c>
      <c r="C4093" s="17" t="n">
        <v>0.317604490255063</v>
      </c>
      <c r="D4093" s="17" t="n">
        <f aca="false">(C4093-$B$4)/($B$6/SQRT($B$7))</f>
        <v>1.58802245127531</v>
      </c>
      <c r="E4093" s="0" t="str">
        <f aca="false">IF(OR(AND($B$9="superior",D4093&gt;$B$10),AND($B$9="inferior",D4093&lt;-$B$10)),"Rechazar H0","No rechazar H0")</f>
        <v>No rechazar H0</v>
      </c>
      <c r="F4093" s="0" t="str">
        <f aca="false">IF(AND(B4093="H0 verdadera",E4093="Rechazar H0"),"Error tipo I",IF(AND(B4093="Ha verdadera",E4093="No rechazar H0"),"Error tipo II","Decisión correcta"))</f>
        <v>Decisión correcta</v>
      </c>
    </row>
    <row r="4094" customFormat="false" ht="15" hidden="false" customHeight="false" outlineLevel="0" collapsed="false">
      <c r="A4094" s="0" t="n">
        <v>4073</v>
      </c>
      <c r="B4094" s="0" t="s">
        <v>86</v>
      </c>
      <c r="C4094" s="17" t="n">
        <v>-0.480198755025922</v>
      </c>
      <c r="D4094" s="17" t="n">
        <f aca="false">(C4094-$B$4)/($B$6/SQRT($B$7))</f>
        <v>-2.40099377512961</v>
      </c>
      <c r="E4094" s="0" t="str">
        <f aca="false">IF(OR(AND($B$9="superior",D4094&gt;$B$10),AND($B$9="inferior",D4094&lt;-$B$10)),"Rechazar H0","No rechazar H0")</f>
        <v>Rechazar H0</v>
      </c>
      <c r="F4094" s="0" t="str">
        <f aca="false">IF(AND(B4094="H0 verdadera",E4094="Rechazar H0"),"Error tipo I",IF(AND(B4094="Ha verdadera",E4094="No rechazar H0"),"Error tipo II","Decisión correcta"))</f>
        <v>Decisión correcta</v>
      </c>
    </row>
    <row r="4095" customFormat="false" ht="15" hidden="false" customHeight="false" outlineLevel="0" collapsed="false">
      <c r="A4095" s="0" t="n">
        <v>4074</v>
      </c>
      <c r="B4095" s="0" t="s">
        <v>86</v>
      </c>
      <c r="C4095" s="17" t="n">
        <v>-0.474723656516862</v>
      </c>
      <c r="D4095" s="17" t="n">
        <f aca="false">(C4095-$B$4)/($B$6/SQRT($B$7))</f>
        <v>-2.37361828258431</v>
      </c>
      <c r="E4095" s="0" t="str">
        <f aca="false">IF(OR(AND($B$9="superior",D4095&gt;$B$10),AND($B$9="inferior",D4095&lt;-$B$10)),"Rechazar H0","No rechazar H0")</f>
        <v>Rechazar H0</v>
      </c>
      <c r="F4095" s="0" t="str">
        <f aca="false">IF(AND(B4095="H0 verdadera",E4095="Rechazar H0"),"Error tipo I",IF(AND(B4095="Ha verdadera",E4095="No rechazar H0"),"Error tipo II","Decisión correcta"))</f>
        <v>Decisión correcta</v>
      </c>
    </row>
    <row r="4096" customFormat="false" ht="15" hidden="false" customHeight="false" outlineLevel="0" collapsed="false">
      <c r="A4096" s="0" t="n">
        <v>4075</v>
      </c>
      <c r="B4096" s="0" t="s">
        <v>85</v>
      </c>
      <c r="C4096" s="17" t="n">
        <v>0.00166318810980077</v>
      </c>
      <c r="D4096" s="17" t="n">
        <f aca="false">(C4096-$B$4)/($B$6/SQRT($B$7))</f>
        <v>0.00831594054900384</v>
      </c>
      <c r="E4096" s="0" t="str">
        <f aca="false">IF(OR(AND($B$9="superior",D4096&gt;$B$10),AND($B$9="inferior",D4096&lt;-$B$10)),"Rechazar H0","No rechazar H0")</f>
        <v>No rechazar H0</v>
      </c>
      <c r="F4096" s="0" t="str">
        <f aca="false">IF(AND(B4096="H0 verdadera",E4096="Rechazar H0"),"Error tipo I",IF(AND(B4096="Ha verdadera",E4096="No rechazar H0"),"Error tipo II","Decisión correcta"))</f>
        <v>Decisión correcta</v>
      </c>
    </row>
    <row r="4097" customFormat="false" ht="15" hidden="false" customHeight="false" outlineLevel="0" collapsed="false">
      <c r="A4097" s="0" t="n">
        <v>4076</v>
      </c>
      <c r="B4097" s="0" t="s">
        <v>85</v>
      </c>
      <c r="C4097" s="17" t="n">
        <v>-0.168958663591672</v>
      </c>
      <c r="D4097" s="17" t="n">
        <f aca="false">(C4097-$B$4)/($B$6/SQRT($B$7))</f>
        <v>-0.844793317958359</v>
      </c>
      <c r="E4097" s="0" t="str">
        <f aca="false">IF(OR(AND($B$9="superior",D4097&gt;$B$10),AND($B$9="inferior",D4097&lt;-$B$10)),"Rechazar H0","No rechazar H0")</f>
        <v>No rechazar H0</v>
      </c>
      <c r="F4097" s="0" t="str">
        <f aca="false">IF(AND(B4097="H0 verdadera",E4097="Rechazar H0"),"Error tipo I",IF(AND(B4097="Ha verdadera",E4097="No rechazar H0"),"Error tipo II","Decisión correcta"))</f>
        <v>Decisión correcta</v>
      </c>
    </row>
    <row r="4098" customFormat="false" ht="15" hidden="false" customHeight="false" outlineLevel="0" collapsed="false">
      <c r="A4098" s="0" t="n">
        <v>4077</v>
      </c>
      <c r="B4098" s="0" t="s">
        <v>85</v>
      </c>
      <c r="C4098" s="17" t="n">
        <v>0.0647285865460498</v>
      </c>
      <c r="D4098" s="17" t="n">
        <f aca="false">(C4098-$B$4)/($B$6/SQRT($B$7))</f>
        <v>0.323642932730249</v>
      </c>
      <c r="E4098" s="0" t="str">
        <f aca="false">IF(OR(AND($B$9="superior",D4098&gt;$B$10),AND($B$9="inferior",D4098&lt;-$B$10)),"Rechazar H0","No rechazar H0")</f>
        <v>No rechazar H0</v>
      </c>
      <c r="F4098" s="0" t="str">
        <f aca="false">IF(AND(B4098="H0 verdadera",E4098="Rechazar H0"),"Error tipo I",IF(AND(B4098="Ha verdadera",E4098="No rechazar H0"),"Error tipo II","Decisión correcta"))</f>
        <v>Decisión correcta</v>
      </c>
    </row>
    <row r="4099" customFormat="false" ht="15" hidden="false" customHeight="false" outlineLevel="0" collapsed="false">
      <c r="A4099" s="0" t="n">
        <v>4078</v>
      </c>
      <c r="B4099" s="0" t="s">
        <v>86</v>
      </c>
      <c r="C4099" s="17" t="n">
        <v>-0.0193685538977875</v>
      </c>
      <c r="D4099" s="17" t="n">
        <f aca="false">(C4099-$B$4)/($B$6/SQRT($B$7))</f>
        <v>-0.0968427694889377</v>
      </c>
      <c r="E4099" s="0" t="str">
        <f aca="false">IF(OR(AND($B$9="superior",D4099&gt;$B$10),AND($B$9="inferior",D4099&lt;-$B$10)),"Rechazar H0","No rechazar H0")</f>
        <v>No rechazar H0</v>
      </c>
      <c r="F4099" s="0" t="str">
        <f aca="false">IF(AND(B4099="H0 verdadera",E4099="Rechazar H0"),"Error tipo I",IF(AND(B4099="Ha verdadera",E4099="No rechazar H0"),"Error tipo II","Decisión correcta"))</f>
        <v>Error tipo II</v>
      </c>
    </row>
    <row r="4100" customFormat="false" ht="15" hidden="false" customHeight="false" outlineLevel="0" collapsed="false">
      <c r="A4100" s="0" t="n">
        <v>4079</v>
      </c>
      <c r="B4100" s="0" t="s">
        <v>85</v>
      </c>
      <c r="C4100" s="17" t="n">
        <v>-0.0989952905969621</v>
      </c>
      <c r="D4100" s="17" t="n">
        <f aca="false">(C4100-$B$4)/($B$6/SQRT($B$7))</f>
        <v>-0.49497645298481</v>
      </c>
      <c r="E4100" s="0" t="str">
        <f aca="false">IF(OR(AND($B$9="superior",D4100&gt;$B$10),AND($B$9="inferior",D4100&lt;-$B$10)),"Rechazar H0","No rechazar H0")</f>
        <v>No rechazar H0</v>
      </c>
      <c r="F4100" s="0" t="str">
        <f aca="false">IF(AND(B4100="H0 verdadera",E4100="Rechazar H0"),"Error tipo I",IF(AND(B4100="Ha verdadera",E4100="No rechazar H0"),"Error tipo II","Decisión correcta"))</f>
        <v>Decisión correcta</v>
      </c>
    </row>
    <row r="4101" customFormat="false" ht="15" hidden="false" customHeight="false" outlineLevel="0" collapsed="false">
      <c r="A4101" s="0" t="n">
        <v>4080</v>
      </c>
      <c r="B4101" s="0" t="s">
        <v>85</v>
      </c>
      <c r="C4101" s="17" t="n">
        <v>0.0117926865294097</v>
      </c>
      <c r="D4101" s="17" t="n">
        <f aca="false">(C4101-$B$4)/($B$6/SQRT($B$7))</f>
        <v>0.0589634326470484</v>
      </c>
      <c r="E4101" s="0" t="str">
        <f aca="false">IF(OR(AND($B$9="superior",D4101&gt;$B$10),AND($B$9="inferior",D4101&lt;-$B$10)),"Rechazar H0","No rechazar H0")</f>
        <v>No rechazar H0</v>
      </c>
      <c r="F4101" s="0" t="str">
        <f aca="false">IF(AND(B4101="H0 verdadera",E4101="Rechazar H0"),"Error tipo I",IF(AND(B4101="Ha verdadera",E4101="No rechazar H0"),"Error tipo II","Decisión correcta"))</f>
        <v>Decisión correcta</v>
      </c>
    </row>
    <row r="4102" customFormat="false" ht="15" hidden="false" customHeight="false" outlineLevel="0" collapsed="false">
      <c r="A4102" s="0" t="n">
        <v>4081</v>
      </c>
      <c r="B4102" s="0" t="s">
        <v>85</v>
      </c>
      <c r="C4102" s="17" t="n">
        <v>-0.0425514775879097</v>
      </c>
      <c r="D4102" s="17" t="n">
        <f aca="false">(C4102-$B$4)/($B$6/SQRT($B$7))</f>
        <v>-0.212757387939549</v>
      </c>
      <c r="E4102" s="0" t="str">
        <f aca="false">IF(OR(AND($B$9="superior",D4102&gt;$B$10),AND($B$9="inferior",D4102&lt;-$B$10)),"Rechazar H0","No rechazar H0")</f>
        <v>No rechazar H0</v>
      </c>
      <c r="F4102" s="0" t="str">
        <f aca="false">IF(AND(B4102="H0 verdadera",E4102="Rechazar H0"),"Error tipo I",IF(AND(B4102="Ha verdadera",E4102="No rechazar H0"),"Error tipo II","Decisión correcta"))</f>
        <v>Decisión correcta</v>
      </c>
    </row>
    <row r="4103" customFormat="false" ht="15" hidden="false" customHeight="false" outlineLevel="0" collapsed="false">
      <c r="A4103" s="0" t="n">
        <v>4082</v>
      </c>
      <c r="B4103" s="0" t="s">
        <v>86</v>
      </c>
      <c r="C4103" s="17" t="n">
        <v>-0.44257787627675</v>
      </c>
      <c r="D4103" s="17" t="n">
        <f aca="false">(C4103-$B$4)/($B$6/SQRT($B$7))</f>
        <v>-2.21288938138375</v>
      </c>
      <c r="E4103" s="0" t="str">
        <f aca="false">IF(OR(AND($B$9="superior",D4103&gt;$B$10),AND($B$9="inferior",D4103&lt;-$B$10)),"Rechazar H0","No rechazar H0")</f>
        <v>Rechazar H0</v>
      </c>
      <c r="F4103" s="0" t="str">
        <f aca="false">IF(AND(B4103="H0 verdadera",E4103="Rechazar H0"),"Error tipo I",IF(AND(B4103="Ha verdadera",E4103="No rechazar H0"),"Error tipo II","Decisión correcta"))</f>
        <v>Decisión correcta</v>
      </c>
    </row>
    <row r="4104" customFormat="false" ht="15" hidden="false" customHeight="false" outlineLevel="0" collapsed="false">
      <c r="A4104" s="0" t="n">
        <v>4083</v>
      </c>
      <c r="B4104" s="0" t="s">
        <v>86</v>
      </c>
      <c r="C4104" s="17" t="n">
        <v>-0.343941852393245</v>
      </c>
      <c r="D4104" s="17" t="n">
        <f aca="false">(C4104-$B$4)/($B$6/SQRT($B$7))</f>
        <v>-1.71970926196622</v>
      </c>
      <c r="E4104" s="0" t="str">
        <f aca="false">IF(OR(AND($B$9="superior",D4104&gt;$B$10),AND($B$9="inferior",D4104&lt;-$B$10)),"Rechazar H0","No rechazar H0")</f>
        <v>Rechazar H0</v>
      </c>
      <c r="F4104" s="0" t="str">
        <f aca="false">IF(AND(B4104="H0 verdadera",E4104="Rechazar H0"),"Error tipo I",IF(AND(B4104="Ha verdadera",E4104="No rechazar H0"),"Error tipo II","Decisión correcta"))</f>
        <v>Decisión correcta</v>
      </c>
    </row>
    <row r="4105" customFormat="false" ht="15" hidden="false" customHeight="false" outlineLevel="0" collapsed="false">
      <c r="A4105" s="0" t="n">
        <v>4084</v>
      </c>
      <c r="B4105" s="0" t="s">
        <v>86</v>
      </c>
      <c r="C4105" s="17" t="n">
        <v>-0.365183853125211</v>
      </c>
      <c r="D4105" s="17" t="n">
        <f aca="false">(C4105-$B$4)/($B$6/SQRT($B$7))</f>
        <v>-1.82591926562606</v>
      </c>
      <c r="E4105" s="0" t="str">
        <f aca="false">IF(OR(AND($B$9="superior",D4105&gt;$B$10),AND($B$9="inferior",D4105&lt;-$B$10)),"Rechazar H0","No rechazar H0")</f>
        <v>Rechazar H0</v>
      </c>
      <c r="F4105" s="0" t="str">
        <f aca="false">IF(AND(B4105="H0 verdadera",E4105="Rechazar H0"),"Error tipo I",IF(AND(B4105="Ha verdadera",E4105="No rechazar H0"),"Error tipo II","Decisión correcta"))</f>
        <v>Decisión correcta</v>
      </c>
    </row>
    <row r="4106" customFormat="false" ht="15" hidden="false" customHeight="false" outlineLevel="0" collapsed="false">
      <c r="A4106" s="0" t="n">
        <v>4085</v>
      </c>
      <c r="B4106" s="0" t="s">
        <v>86</v>
      </c>
      <c r="C4106" s="17" t="n">
        <v>-0.417221449603106</v>
      </c>
      <c r="D4106" s="17" t="n">
        <f aca="false">(C4106-$B$4)/($B$6/SQRT($B$7))</f>
        <v>-2.08610724801553</v>
      </c>
      <c r="E4106" s="0" t="str">
        <f aca="false">IF(OR(AND($B$9="superior",D4106&gt;$B$10),AND($B$9="inferior",D4106&lt;-$B$10)),"Rechazar H0","No rechazar H0")</f>
        <v>Rechazar H0</v>
      </c>
      <c r="F4106" s="0" t="str">
        <f aca="false">IF(AND(B4106="H0 verdadera",E4106="Rechazar H0"),"Error tipo I",IF(AND(B4106="Ha verdadera",E4106="No rechazar H0"),"Error tipo II","Decisión correcta"))</f>
        <v>Decisión correcta</v>
      </c>
    </row>
    <row r="4107" customFormat="false" ht="15" hidden="false" customHeight="false" outlineLevel="0" collapsed="false">
      <c r="A4107" s="0" t="n">
        <v>4086</v>
      </c>
      <c r="B4107" s="0" t="s">
        <v>86</v>
      </c>
      <c r="C4107" s="17" t="n">
        <v>-0.228419761684993</v>
      </c>
      <c r="D4107" s="17" t="n">
        <f aca="false">(C4107-$B$4)/($B$6/SQRT($B$7))</f>
        <v>-1.14209880842497</v>
      </c>
      <c r="E4107" s="0" t="str">
        <f aca="false">IF(OR(AND($B$9="superior",D4107&gt;$B$10),AND($B$9="inferior",D4107&lt;-$B$10)),"Rechazar H0","No rechazar H0")</f>
        <v>No rechazar H0</v>
      </c>
      <c r="F4107" s="0" t="str">
        <f aca="false">IF(AND(B4107="H0 verdadera",E4107="Rechazar H0"),"Error tipo I",IF(AND(B4107="Ha verdadera",E4107="No rechazar H0"),"Error tipo II","Decisión correcta"))</f>
        <v>Error tipo II</v>
      </c>
    </row>
    <row r="4108" customFormat="false" ht="15" hidden="false" customHeight="false" outlineLevel="0" collapsed="false">
      <c r="A4108" s="0" t="n">
        <v>4087</v>
      </c>
      <c r="B4108" s="0" t="s">
        <v>86</v>
      </c>
      <c r="C4108" s="17" t="n">
        <v>-0.322536591394929</v>
      </c>
      <c r="D4108" s="17" t="n">
        <f aca="false">(C4108-$B$4)/($B$6/SQRT($B$7))</f>
        <v>-1.61268295697464</v>
      </c>
      <c r="E4108" s="0" t="str">
        <f aca="false">IF(OR(AND($B$9="superior",D4108&gt;$B$10),AND($B$9="inferior",D4108&lt;-$B$10)),"Rechazar H0","No rechazar H0")</f>
        <v>No rechazar H0</v>
      </c>
      <c r="F4108" s="0" t="str">
        <f aca="false">IF(AND(B4108="H0 verdadera",E4108="Rechazar H0"),"Error tipo I",IF(AND(B4108="Ha verdadera",E4108="No rechazar H0"),"Error tipo II","Decisión correcta"))</f>
        <v>Error tipo II</v>
      </c>
    </row>
    <row r="4109" customFormat="false" ht="15" hidden="false" customHeight="false" outlineLevel="0" collapsed="false">
      <c r="A4109" s="0" t="n">
        <v>4088</v>
      </c>
      <c r="B4109" s="0" t="s">
        <v>85</v>
      </c>
      <c r="C4109" s="17" t="n">
        <v>-0.12914662982501</v>
      </c>
      <c r="D4109" s="17" t="n">
        <f aca="false">(C4109-$B$4)/($B$6/SQRT($B$7))</f>
        <v>-0.645733149125051</v>
      </c>
      <c r="E4109" s="0" t="str">
        <f aca="false">IF(OR(AND($B$9="superior",D4109&gt;$B$10),AND($B$9="inferior",D4109&lt;-$B$10)),"Rechazar H0","No rechazar H0")</f>
        <v>No rechazar H0</v>
      </c>
      <c r="F4109" s="0" t="str">
        <f aca="false">IF(AND(B4109="H0 verdadera",E4109="Rechazar H0"),"Error tipo I",IF(AND(B4109="Ha verdadera",E4109="No rechazar H0"),"Error tipo II","Decisión correcta"))</f>
        <v>Decisión correcta</v>
      </c>
    </row>
    <row r="4110" customFormat="false" ht="15" hidden="false" customHeight="false" outlineLevel="0" collapsed="false">
      <c r="A4110" s="0" t="n">
        <v>4089</v>
      </c>
      <c r="B4110" s="0" t="s">
        <v>86</v>
      </c>
      <c r="C4110" s="17" t="n">
        <v>-0.183907312935009</v>
      </c>
      <c r="D4110" s="17" t="n">
        <f aca="false">(C4110-$B$4)/($B$6/SQRT($B$7))</f>
        <v>-0.919536564675043</v>
      </c>
      <c r="E4110" s="0" t="str">
        <f aca="false">IF(OR(AND($B$9="superior",D4110&gt;$B$10),AND($B$9="inferior",D4110&lt;-$B$10)),"Rechazar H0","No rechazar H0")</f>
        <v>No rechazar H0</v>
      </c>
      <c r="F4110" s="0" t="str">
        <f aca="false">IF(AND(B4110="H0 verdadera",E4110="Rechazar H0"),"Error tipo I",IF(AND(B4110="Ha verdadera",E4110="No rechazar H0"),"Error tipo II","Decisión correcta"))</f>
        <v>Error tipo II</v>
      </c>
    </row>
    <row r="4111" customFormat="false" ht="15" hidden="false" customHeight="false" outlineLevel="0" collapsed="false">
      <c r="A4111" s="0" t="n">
        <v>4090</v>
      </c>
      <c r="B4111" s="0" t="s">
        <v>85</v>
      </c>
      <c r="C4111" s="17" t="n">
        <v>-0.0295563726634932</v>
      </c>
      <c r="D4111" s="17" t="n">
        <f aca="false">(C4111-$B$4)/($B$6/SQRT($B$7))</f>
        <v>-0.147781863317466</v>
      </c>
      <c r="E4111" s="0" t="str">
        <f aca="false">IF(OR(AND($B$9="superior",D4111&gt;$B$10),AND($B$9="inferior",D4111&lt;-$B$10)),"Rechazar H0","No rechazar H0")</f>
        <v>No rechazar H0</v>
      </c>
      <c r="F4111" s="0" t="str">
        <f aca="false">IF(AND(B4111="H0 verdadera",E4111="Rechazar H0"),"Error tipo I",IF(AND(B4111="Ha verdadera",E4111="No rechazar H0"),"Error tipo II","Decisión correcta"))</f>
        <v>Decisión correcta</v>
      </c>
    </row>
    <row r="4112" customFormat="false" ht="15" hidden="false" customHeight="false" outlineLevel="0" collapsed="false">
      <c r="A4112" s="0" t="n">
        <v>4091</v>
      </c>
      <c r="B4112" s="0" t="s">
        <v>85</v>
      </c>
      <c r="C4112" s="17" t="n">
        <v>0.097861911774275</v>
      </c>
      <c r="D4112" s="17" t="n">
        <f aca="false">(C4112-$B$4)/($B$6/SQRT($B$7))</f>
        <v>0.489309558871375</v>
      </c>
      <c r="E4112" s="0" t="str">
        <f aca="false">IF(OR(AND($B$9="superior",D4112&gt;$B$10),AND($B$9="inferior",D4112&lt;-$B$10)),"Rechazar H0","No rechazar H0")</f>
        <v>No rechazar H0</v>
      </c>
      <c r="F4112" s="0" t="str">
        <f aca="false">IF(AND(B4112="H0 verdadera",E4112="Rechazar H0"),"Error tipo I",IF(AND(B4112="Ha verdadera",E4112="No rechazar H0"),"Error tipo II","Decisión correcta"))</f>
        <v>Decisión correcta</v>
      </c>
    </row>
    <row r="4113" customFormat="false" ht="15" hidden="false" customHeight="false" outlineLevel="0" collapsed="false">
      <c r="A4113" s="0" t="n">
        <v>4092</v>
      </c>
      <c r="B4113" s="0" t="s">
        <v>86</v>
      </c>
      <c r="C4113" s="17" t="n">
        <v>-0.186635620800473</v>
      </c>
      <c r="D4113" s="17" t="n">
        <f aca="false">(C4113-$B$4)/($B$6/SQRT($B$7))</f>
        <v>-0.933178104002364</v>
      </c>
      <c r="E4113" s="0" t="str">
        <f aca="false">IF(OR(AND($B$9="superior",D4113&gt;$B$10),AND($B$9="inferior",D4113&lt;-$B$10)),"Rechazar H0","No rechazar H0")</f>
        <v>No rechazar H0</v>
      </c>
      <c r="F4113" s="0" t="str">
        <f aca="false">IF(AND(B4113="H0 verdadera",E4113="Rechazar H0"),"Error tipo I",IF(AND(B4113="Ha verdadera",E4113="No rechazar H0"),"Error tipo II","Decisión correcta"))</f>
        <v>Error tipo II</v>
      </c>
    </row>
    <row r="4114" customFormat="false" ht="15" hidden="false" customHeight="false" outlineLevel="0" collapsed="false">
      <c r="A4114" s="0" t="n">
        <v>4093</v>
      </c>
      <c r="B4114" s="0" t="s">
        <v>85</v>
      </c>
      <c r="C4114" s="17" t="n">
        <v>0.0354195693438323</v>
      </c>
      <c r="D4114" s="17" t="n">
        <f aca="false">(C4114-$B$4)/($B$6/SQRT($B$7))</f>
        <v>0.177097846719162</v>
      </c>
      <c r="E4114" s="0" t="str">
        <f aca="false">IF(OR(AND($B$9="superior",D4114&gt;$B$10),AND($B$9="inferior",D4114&lt;-$B$10)),"Rechazar H0","No rechazar H0")</f>
        <v>No rechazar H0</v>
      </c>
      <c r="F4114" s="0" t="str">
        <f aca="false">IF(AND(B4114="H0 verdadera",E4114="Rechazar H0"),"Error tipo I",IF(AND(B4114="Ha verdadera",E4114="No rechazar H0"),"Error tipo II","Decisión correcta"))</f>
        <v>Decisión correcta</v>
      </c>
    </row>
    <row r="4115" customFormat="false" ht="15" hidden="false" customHeight="false" outlineLevel="0" collapsed="false">
      <c r="A4115" s="0" t="n">
        <v>4094</v>
      </c>
      <c r="B4115" s="0" t="s">
        <v>85</v>
      </c>
      <c r="C4115" s="17" t="n">
        <v>-0.0917909401508365</v>
      </c>
      <c r="D4115" s="17" t="n">
        <f aca="false">(C4115-$B$4)/($B$6/SQRT($B$7))</f>
        <v>-0.458954700754182</v>
      </c>
      <c r="E4115" s="0" t="str">
        <f aca="false">IF(OR(AND($B$9="superior",D4115&gt;$B$10),AND($B$9="inferior",D4115&lt;-$B$10)),"Rechazar H0","No rechazar H0")</f>
        <v>No rechazar H0</v>
      </c>
      <c r="F4115" s="0" t="str">
        <f aca="false">IF(AND(B4115="H0 verdadera",E4115="Rechazar H0"),"Error tipo I",IF(AND(B4115="Ha verdadera",E4115="No rechazar H0"),"Error tipo II","Decisión correcta"))</f>
        <v>Decisión correcta</v>
      </c>
    </row>
    <row r="4116" customFormat="false" ht="15" hidden="false" customHeight="false" outlineLevel="0" collapsed="false">
      <c r="A4116" s="0" t="n">
        <v>4095</v>
      </c>
      <c r="B4116" s="0" t="s">
        <v>85</v>
      </c>
      <c r="C4116" s="17" t="n">
        <v>-0.0117418604054426</v>
      </c>
      <c r="D4116" s="17" t="n">
        <f aca="false">(C4116-$B$4)/($B$6/SQRT($B$7))</f>
        <v>-0.0587093020272132</v>
      </c>
      <c r="E4116" s="0" t="str">
        <f aca="false">IF(OR(AND($B$9="superior",D4116&gt;$B$10),AND($B$9="inferior",D4116&lt;-$B$10)),"Rechazar H0","No rechazar H0")</f>
        <v>No rechazar H0</v>
      </c>
      <c r="F4116" s="0" t="str">
        <f aca="false">IF(AND(B4116="H0 verdadera",E4116="Rechazar H0"),"Error tipo I",IF(AND(B4116="Ha verdadera",E4116="No rechazar H0"),"Error tipo II","Decisión correcta"))</f>
        <v>Decisión correcta</v>
      </c>
    </row>
    <row r="4117" customFormat="false" ht="15" hidden="false" customHeight="false" outlineLevel="0" collapsed="false">
      <c r="A4117" s="0" t="n">
        <v>4096</v>
      </c>
      <c r="B4117" s="0" t="s">
        <v>86</v>
      </c>
      <c r="C4117" s="17" t="n">
        <v>-0.199513973262299</v>
      </c>
      <c r="D4117" s="17" t="n">
        <f aca="false">(C4117-$B$4)/($B$6/SQRT($B$7))</f>
        <v>-0.997569866311493</v>
      </c>
      <c r="E4117" s="0" t="str">
        <f aca="false">IF(OR(AND($B$9="superior",D4117&gt;$B$10),AND($B$9="inferior",D4117&lt;-$B$10)),"Rechazar H0","No rechazar H0")</f>
        <v>No rechazar H0</v>
      </c>
      <c r="F4117" s="0" t="str">
        <f aca="false">IF(AND(B4117="H0 verdadera",E4117="Rechazar H0"),"Error tipo I",IF(AND(B4117="Ha verdadera",E4117="No rechazar H0"),"Error tipo II","Decisión correcta"))</f>
        <v>Error tipo II</v>
      </c>
    </row>
    <row r="4118" customFormat="false" ht="15" hidden="false" customHeight="false" outlineLevel="0" collapsed="false">
      <c r="A4118" s="0" t="n">
        <v>4097</v>
      </c>
      <c r="B4118" s="0" t="s">
        <v>86</v>
      </c>
      <c r="C4118" s="17" t="n">
        <v>-0.362341506708863</v>
      </c>
      <c r="D4118" s="17" t="n">
        <f aca="false">(C4118-$B$4)/($B$6/SQRT($B$7))</f>
        <v>-1.81170753354432</v>
      </c>
      <c r="E4118" s="0" t="str">
        <f aca="false">IF(OR(AND($B$9="superior",D4118&gt;$B$10),AND($B$9="inferior",D4118&lt;-$B$10)),"Rechazar H0","No rechazar H0")</f>
        <v>Rechazar H0</v>
      </c>
      <c r="F4118" s="0" t="str">
        <f aca="false">IF(AND(B4118="H0 verdadera",E4118="Rechazar H0"),"Error tipo I",IF(AND(B4118="Ha verdadera",E4118="No rechazar H0"),"Error tipo II","Decisión correcta"))</f>
        <v>Decisión correcta</v>
      </c>
    </row>
    <row r="4119" customFormat="false" ht="15" hidden="false" customHeight="false" outlineLevel="0" collapsed="false">
      <c r="A4119" s="0" t="n">
        <v>4098</v>
      </c>
      <c r="B4119" s="0" t="s">
        <v>86</v>
      </c>
      <c r="C4119" s="17" t="n">
        <v>-0.574014190331584</v>
      </c>
      <c r="D4119" s="17" t="n">
        <f aca="false">(C4119-$B$4)/($B$6/SQRT($B$7))</f>
        <v>-2.87007095165792</v>
      </c>
      <c r="E4119" s="0" t="str">
        <f aca="false">IF(OR(AND($B$9="superior",D4119&gt;$B$10),AND($B$9="inferior",D4119&lt;-$B$10)),"Rechazar H0","No rechazar H0")</f>
        <v>Rechazar H0</v>
      </c>
      <c r="F4119" s="0" t="str">
        <f aca="false">IF(AND(B4119="H0 verdadera",E4119="Rechazar H0"),"Error tipo I",IF(AND(B4119="Ha verdadera",E4119="No rechazar H0"),"Error tipo II","Decisión correcta"))</f>
        <v>Decisión correcta</v>
      </c>
    </row>
    <row r="4120" customFormat="false" ht="15" hidden="false" customHeight="false" outlineLevel="0" collapsed="false">
      <c r="A4120" s="0" t="n">
        <v>4099</v>
      </c>
      <c r="B4120" s="0" t="s">
        <v>86</v>
      </c>
      <c r="C4120" s="17" t="n">
        <v>-0.614007778175774</v>
      </c>
      <c r="D4120" s="17" t="n">
        <f aca="false">(C4120-$B$4)/($B$6/SQRT($B$7))</f>
        <v>-3.07003889087887</v>
      </c>
      <c r="E4120" s="0" t="str">
        <f aca="false">IF(OR(AND($B$9="superior",D4120&gt;$B$10),AND($B$9="inferior",D4120&lt;-$B$10)),"Rechazar H0","No rechazar H0")</f>
        <v>Rechazar H0</v>
      </c>
      <c r="F4120" s="0" t="str">
        <f aca="false">IF(AND(B4120="H0 verdadera",E4120="Rechazar H0"),"Error tipo I",IF(AND(B4120="Ha verdadera",E4120="No rechazar H0"),"Error tipo II","Decisión correcta"))</f>
        <v>Decisión correcta</v>
      </c>
    </row>
    <row r="4121" customFormat="false" ht="15" hidden="false" customHeight="false" outlineLevel="0" collapsed="false">
      <c r="A4121" s="0" t="n">
        <v>4100</v>
      </c>
      <c r="B4121" s="0" t="s">
        <v>86</v>
      </c>
      <c r="C4121" s="17" t="n">
        <v>-0.237359201683685</v>
      </c>
      <c r="D4121" s="17" t="n">
        <f aca="false">(C4121-$B$4)/($B$6/SQRT($B$7))</f>
        <v>-1.18679600841843</v>
      </c>
      <c r="E4121" s="0" t="str">
        <f aca="false">IF(OR(AND($B$9="superior",D4121&gt;$B$10),AND($B$9="inferior",D4121&lt;-$B$10)),"Rechazar H0","No rechazar H0")</f>
        <v>No rechazar H0</v>
      </c>
      <c r="F4121" s="0" t="str">
        <f aca="false">IF(AND(B4121="H0 verdadera",E4121="Rechazar H0"),"Error tipo I",IF(AND(B4121="Ha verdadera",E4121="No rechazar H0"),"Error tipo II","Decisión correcta"))</f>
        <v>Error tipo II</v>
      </c>
    </row>
    <row r="4122" customFormat="false" ht="15" hidden="false" customHeight="false" outlineLevel="0" collapsed="false">
      <c r="A4122" s="0" t="n">
        <v>4101</v>
      </c>
      <c r="B4122" s="0" t="s">
        <v>85</v>
      </c>
      <c r="C4122" s="17" t="n">
        <v>-0.163353998753714</v>
      </c>
      <c r="D4122" s="17" t="n">
        <f aca="false">(C4122-$B$4)/($B$6/SQRT($B$7))</f>
        <v>-0.816769993768568</v>
      </c>
      <c r="E4122" s="0" t="str">
        <f aca="false">IF(OR(AND($B$9="superior",D4122&gt;$B$10),AND($B$9="inferior",D4122&lt;-$B$10)),"Rechazar H0","No rechazar H0")</f>
        <v>No rechazar H0</v>
      </c>
      <c r="F4122" s="0" t="str">
        <f aca="false">IF(AND(B4122="H0 verdadera",E4122="Rechazar H0"),"Error tipo I",IF(AND(B4122="Ha verdadera",E4122="No rechazar H0"),"Error tipo II","Decisión correcta"))</f>
        <v>Decisión correcta</v>
      </c>
    </row>
    <row r="4123" customFormat="false" ht="15" hidden="false" customHeight="false" outlineLevel="0" collapsed="false">
      <c r="A4123" s="0" t="n">
        <v>4102</v>
      </c>
      <c r="B4123" s="0" t="s">
        <v>86</v>
      </c>
      <c r="C4123" s="17" t="n">
        <v>-0.327290959752849</v>
      </c>
      <c r="D4123" s="17" t="n">
        <f aca="false">(C4123-$B$4)/($B$6/SQRT($B$7))</f>
        <v>-1.63645479876425</v>
      </c>
      <c r="E4123" s="0" t="str">
        <f aca="false">IF(OR(AND($B$9="superior",D4123&gt;$B$10),AND($B$9="inferior",D4123&lt;-$B$10)),"Rechazar H0","No rechazar H0")</f>
        <v>No rechazar H0</v>
      </c>
      <c r="F4123" s="0" t="str">
        <f aca="false">IF(AND(B4123="H0 verdadera",E4123="Rechazar H0"),"Error tipo I",IF(AND(B4123="Ha verdadera",E4123="No rechazar H0"),"Error tipo II","Decisión correcta"))</f>
        <v>Error tipo II</v>
      </c>
    </row>
    <row r="4124" customFormat="false" ht="15" hidden="false" customHeight="false" outlineLevel="0" collapsed="false">
      <c r="A4124" s="0" t="n">
        <v>4103</v>
      </c>
      <c r="B4124" s="0" t="s">
        <v>86</v>
      </c>
      <c r="C4124" s="17" t="n">
        <v>-0.401074435574579</v>
      </c>
      <c r="D4124" s="17" t="n">
        <f aca="false">(C4124-$B$4)/($B$6/SQRT($B$7))</f>
        <v>-2.00537217787289</v>
      </c>
      <c r="E4124" s="0" t="str">
        <f aca="false">IF(OR(AND($B$9="superior",D4124&gt;$B$10),AND($B$9="inferior",D4124&lt;-$B$10)),"Rechazar H0","No rechazar H0")</f>
        <v>Rechazar H0</v>
      </c>
      <c r="F4124" s="0" t="str">
        <f aca="false">IF(AND(B4124="H0 verdadera",E4124="Rechazar H0"),"Error tipo I",IF(AND(B4124="Ha verdadera",E4124="No rechazar H0"),"Error tipo II","Decisión correcta"))</f>
        <v>Decisión correcta</v>
      </c>
    </row>
    <row r="4125" customFormat="false" ht="15" hidden="false" customHeight="false" outlineLevel="0" collapsed="false">
      <c r="A4125" s="0" t="n">
        <v>4104</v>
      </c>
      <c r="B4125" s="0" t="s">
        <v>86</v>
      </c>
      <c r="C4125" s="17" t="n">
        <v>-0.676638183383219</v>
      </c>
      <c r="D4125" s="17" t="n">
        <f aca="false">(C4125-$B$4)/($B$6/SQRT($B$7))</f>
        <v>-3.38319091691609</v>
      </c>
      <c r="E4125" s="0" t="str">
        <f aca="false">IF(OR(AND($B$9="superior",D4125&gt;$B$10),AND($B$9="inferior",D4125&lt;-$B$10)),"Rechazar H0","No rechazar H0")</f>
        <v>Rechazar H0</v>
      </c>
      <c r="F4125" s="0" t="str">
        <f aca="false">IF(AND(B4125="H0 verdadera",E4125="Rechazar H0"),"Error tipo I",IF(AND(B4125="Ha verdadera",E4125="No rechazar H0"),"Error tipo II","Decisión correcta"))</f>
        <v>Decisión correcta</v>
      </c>
    </row>
    <row r="4126" customFormat="false" ht="15" hidden="false" customHeight="false" outlineLevel="0" collapsed="false">
      <c r="A4126" s="0" t="n">
        <v>4105</v>
      </c>
      <c r="B4126" s="0" t="s">
        <v>86</v>
      </c>
      <c r="C4126" s="17" t="n">
        <v>0.0143619108638848</v>
      </c>
      <c r="D4126" s="17" t="n">
        <f aca="false">(C4126-$B$4)/($B$6/SQRT($B$7))</f>
        <v>0.071809554319424</v>
      </c>
      <c r="E4126" s="0" t="str">
        <f aca="false">IF(OR(AND($B$9="superior",D4126&gt;$B$10),AND($B$9="inferior",D4126&lt;-$B$10)),"Rechazar H0","No rechazar H0")</f>
        <v>No rechazar H0</v>
      </c>
      <c r="F4126" s="0" t="str">
        <f aca="false">IF(AND(B4126="H0 verdadera",E4126="Rechazar H0"),"Error tipo I",IF(AND(B4126="Ha verdadera",E4126="No rechazar H0"),"Error tipo II","Decisión correcta"))</f>
        <v>Error tipo II</v>
      </c>
    </row>
    <row r="4127" customFormat="false" ht="15" hidden="false" customHeight="false" outlineLevel="0" collapsed="false">
      <c r="A4127" s="0" t="n">
        <v>4106</v>
      </c>
      <c r="B4127" s="0" t="s">
        <v>85</v>
      </c>
      <c r="C4127" s="17" t="n">
        <v>0.217245913444551</v>
      </c>
      <c r="D4127" s="17" t="n">
        <f aca="false">(C4127-$B$4)/($B$6/SQRT($B$7))</f>
        <v>1.08622956722276</v>
      </c>
      <c r="E4127" s="0" t="str">
        <f aca="false">IF(OR(AND($B$9="superior",D4127&gt;$B$10),AND($B$9="inferior",D4127&lt;-$B$10)),"Rechazar H0","No rechazar H0")</f>
        <v>No rechazar H0</v>
      </c>
      <c r="F4127" s="0" t="str">
        <f aca="false">IF(AND(B4127="H0 verdadera",E4127="Rechazar H0"),"Error tipo I",IF(AND(B4127="Ha verdadera",E4127="No rechazar H0"),"Error tipo II","Decisión correcta"))</f>
        <v>Decisión correcta</v>
      </c>
    </row>
    <row r="4128" customFormat="false" ht="15" hidden="false" customHeight="false" outlineLevel="0" collapsed="false">
      <c r="A4128" s="0" t="n">
        <v>4107</v>
      </c>
      <c r="B4128" s="0" t="s">
        <v>86</v>
      </c>
      <c r="C4128" s="17" t="n">
        <v>-0.377386920165995</v>
      </c>
      <c r="D4128" s="17" t="n">
        <f aca="false">(C4128-$B$4)/($B$6/SQRT($B$7))</f>
        <v>-1.88693460082998</v>
      </c>
      <c r="E4128" s="0" t="str">
        <f aca="false">IF(OR(AND($B$9="superior",D4128&gt;$B$10),AND($B$9="inferior",D4128&lt;-$B$10)),"Rechazar H0","No rechazar H0")</f>
        <v>Rechazar H0</v>
      </c>
      <c r="F4128" s="0" t="str">
        <f aca="false">IF(AND(B4128="H0 verdadera",E4128="Rechazar H0"),"Error tipo I",IF(AND(B4128="Ha verdadera",E4128="No rechazar H0"),"Error tipo II","Decisión correcta"))</f>
        <v>Decisión correcta</v>
      </c>
    </row>
    <row r="4129" customFormat="false" ht="15" hidden="false" customHeight="false" outlineLevel="0" collapsed="false">
      <c r="A4129" s="0" t="n">
        <v>4108</v>
      </c>
      <c r="B4129" s="0" t="s">
        <v>86</v>
      </c>
      <c r="C4129" s="17" t="n">
        <v>-0.394941797428561</v>
      </c>
      <c r="D4129" s="17" t="n">
        <f aca="false">(C4129-$B$4)/($B$6/SQRT($B$7))</f>
        <v>-1.9747089871428</v>
      </c>
      <c r="E4129" s="0" t="str">
        <f aca="false">IF(OR(AND($B$9="superior",D4129&gt;$B$10),AND($B$9="inferior",D4129&lt;-$B$10)),"Rechazar H0","No rechazar H0")</f>
        <v>Rechazar H0</v>
      </c>
      <c r="F4129" s="0" t="str">
        <f aca="false">IF(AND(B4129="H0 verdadera",E4129="Rechazar H0"),"Error tipo I",IF(AND(B4129="Ha verdadera",E4129="No rechazar H0"),"Error tipo II","Decisión correcta"))</f>
        <v>Decisión correcta</v>
      </c>
    </row>
    <row r="4130" customFormat="false" ht="15" hidden="false" customHeight="false" outlineLevel="0" collapsed="false">
      <c r="A4130" s="0" t="n">
        <v>4109</v>
      </c>
      <c r="B4130" s="0" t="s">
        <v>85</v>
      </c>
      <c r="C4130" s="17" t="n">
        <v>-0.129329129004902</v>
      </c>
      <c r="D4130" s="17" t="n">
        <f aca="false">(C4130-$B$4)/($B$6/SQRT($B$7))</f>
        <v>-0.646645645024508</v>
      </c>
      <c r="E4130" s="0" t="str">
        <f aca="false">IF(OR(AND($B$9="superior",D4130&gt;$B$10),AND($B$9="inferior",D4130&lt;-$B$10)),"Rechazar H0","No rechazar H0")</f>
        <v>No rechazar H0</v>
      </c>
      <c r="F4130" s="0" t="str">
        <f aca="false">IF(AND(B4130="H0 verdadera",E4130="Rechazar H0"),"Error tipo I",IF(AND(B4130="Ha verdadera",E4130="No rechazar H0"),"Error tipo II","Decisión correcta"))</f>
        <v>Decisión correcta</v>
      </c>
    </row>
    <row r="4131" customFormat="false" ht="15" hidden="false" customHeight="false" outlineLevel="0" collapsed="false">
      <c r="A4131" s="0" t="n">
        <v>4110</v>
      </c>
      <c r="B4131" s="0" t="s">
        <v>85</v>
      </c>
      <c r="C4131" s="17" t="n">
        <v>0.0659293603772691</v>
      </c>
      <c r="D4131" s="17" t="n">
        <f aca="false">(C4131-$B$4)/($B$6/SQRT($B$7))</f>
        <v>0.329646801886346</v>
      </c>
      <c r="E4131" s="0" t="str">
        <f aca="false">IF(OR(AND($B$9="superior",D4131&gt;$B$10),AND($B$9="inferior",D4131&lt;-$B$10)),"Rechazar H0","No rechazar H0")</f>
        <v>No rechazar H0</v>
      </c>
      <c r="F4131" s="0" t="str">
        <f aca="false">IF(AND(B4131="H0 verdadera",E4131="Rechazar H0"),"Error tipo I",IF(AND(B4131="Ha verdadera",E4131="No rechazar H0"),"Error tipo II","Decisión correcta"))</f>
        <v>Decisión correcta</v>
      </c>
    </row>
    <row r="4132" customFormat="false" ht="15" hidden="false" customHeight="false" outlineLevel="0" collapsed="false">
      <c r="A4132" s="0" t="n">
        <v>4111</v>
      </c>
      <c r="B4132" s="0" t="s">
        <v>85</v>
      </c>
      <c r="C4132" s="17" t="n">
        <v>-0.152568354949596</v>
      </c>
      <c r="D4132" s="17" t="n">
        <f aca="false">(C4132-$B$4)/($B$6/SQRT($B$7))</f>
        <v>-0.762841774747978</v>
      </c>
      <c r="E4132" s="0" t="str">
        <f aca="false">IF(OR(AND($B$9="superior",D4132&gt;$B$10),AND($B$9="inferior",D4132&lt;-$B$10)),"Rechazar H0","No rechazar H0")</f>
        <v>No rechazar H0</v>
      </c>
      <c r="F4132" s="0" t="str">
        <f aca="false">IF(AND(B4132="H0 verdadera",E4132="Rechazar H0"),"Error tipo I",IF(AND(B4132="Ha verdadera",E4132="No rechazar H0"),"Error tipo II","Decisión correcta"))</f>
        <v>Decisión correcta</v>
      </c>
    </row>
    <row r="4133" customFormat="false" ht="15" hidden="false" customHeight="false" outlineLevel="0" collapsed="false">
      <c r="A4133" s="0" t="n">
        <v>4112</v>
      </c>
      <c r="B4133" s="0" t="s">
        <v>86</v>
      </c>
      <c r="C4133" s="17" t="n">
        <v>-0.335994227269202</v>
      </c>
      <c r="D4133" s="17" t="n">
        <f aca="false">(C4133-$B$4)/($B$6/SQRT($B$7))</f>
        <v>-1.67997113634601</v>
      </c>
      <c r="E4133" s="0" t="str">
        <f aca="false">IF(OR(AND($B$9="superior",D4133&gt;$B$10),AND($B$9="inferior",D4133&lt;-$B$10)),"Rechazar H0","No rechazar H0")</f>
        <v>Rechazar H0</v>
      </c>
      <c r="F4133" s="0" t="str">
        <f aca="false">IF(AND(B4133="H0 verdadera",E4133="Rechazar H0"),"Error tipo I",IF(AND(B4133="Ha verdadera",E4133="No rechazar H0"),"Error tipo II","Decisión correcta"))</f>
        <v>Decisión correcta</v>
      </c>
    </row>
    <row r="4134" customFormat="false" ht="15" hidden="false" customHeight="false" outlineLevel="0" collapsed="false">
      <c r="A4134" s="0" t="n">
        <v>4113</v>
      </c>
      <c r="B4134" s="0" t="s">
        <v>85</v>
      </c>
      <c r="C4134" s="17" t="n">
        <v>0.17625832410289</v>
      </c>
      <c r="D4134" s="17" t="n">
        <f aca="false">(C4134-$B$4)/($B$6/SQRT($B$7))</f>
        <v>0.881291620514448</v>
      </c>
      <c r="E4134" s="0" t="str">
        <f aca="false">IF(OR(AND($B$9="superior",D4134&gt;$B$10),AND($B$9="inferior",D4134&lt;-$B$10)),"Rechazar H0","No rechazar H0")</f>
        <v>No rechazar H0</v>
      </c>
      <c r="F4134" s="0" t="str">
        <f aca="false">IF(AND(B4134="H0 verdadera",E4134="Rechazar H0"),"Error tipo I",IF(AND(B4134="Ha verdadera",E4134="No rechazar H0"),"Error tipo II","Decisión correcta"))</f>
        <v>Decisión correcta</v>
      </c>
    </row>
    <row r="4135" customFormat="false" ht="15" hidden="false" customHeight="false" outlineLevel="0" collapsed="false">
      <c r="A4135" s="0" t="n">
        <v>4114</v>
      </c>
      <c r="B4135" s="0" t="s">
        <v>85</v>
      </c>
      <c r="C4135" s="17" t="n">
        <v>0.28865644880505</v>
      </c>
      <c r="D4135" s="17" t="n">
        <f aca="false">(C4135-$B$4)/($B$6/SQRT($B$7))</f>
        <v>1.44328224402525</v>
      </c>
      <c r="E4135" s="0" t="str">
        <f aca="false">IF(OR(AND($B$9="superior",D4135&gt;$B$10),AND($B$9="inferior",D4135&lt;-$B$10)),"Rechazar H0","No rechazar H0")</f>
        <v>No rechazar H0</v>
      </c>
      <c r="F4135" s="0" t="str">
        <f aca="false">IF(AND(B4135="H0 verdadera",E4135="Rechazar H0"),"Error tipo I",IF(AND(B4135="Ha verdadera",E4135="No rechazar H0"),"Error tipo II","Decisión correcta"))</f>
        <v>Decisión correcta</v>
      </c>
    </row>
    <row r="4136" customFormat="false" ht="15" hidden="false" customHeight="false" outlineLevel="0" collapsed="false">
      <c r="A4136" s="0" t="n">
        <v>4115</v>
      </c>
      <c r="B4136" s="0" t="s">
        <v>86</v>
      </c>
      <c r="C4136" s="17" t="n">
        <v>0.0850621236492865</v>
      </c>
      <c r="D4136" s="17" t="n">
        <f aca="false">(C4136-$B$4)/($B$6/SQRT($B$7))</f>
        <v>0.425310618246433</v>
      </c>
      <c r="E4136" s="0" t="str">
        <f aca="false">IF(OR(AND($B$9="superior",D4136&gt;$B$10),AND($B$9="inferior",D4136&lt;-$B$10)),"Rechazar H0","No rechazar H0")</f>
        <v>No rechazar H0</v>
      </c>
      <c r="F4136" s="0" t="str">
        <f aca="false">IF(AND(B4136="H0 verdadera",E4136="Rechazar H0"),"Error tipo I",IF(AND(B4136="Ha verdadera",E4136="No rechazar H0"),"Error tipo II","Decisión correcta"))</f>
        <v>Error tipo II</v>
      </c>
    </row>
    <row r="4137" customFormat="false" ht="15" hidden="false" customHeight="false" outlineLevel="0" collapsed="false">
      <c r="A4137" s="0" t="n">
        <v>4116</v>
      </c>
      <c r="B4137" s="0" t="s">
        <v>86</v>
      </c>
      <c r="C4137" s="17" t="n">
        <v>-0.313710240391512</v>
      </c>
      <c r="D4137" s="17" t="n">
        <f aca="false">(C4137-$B$4)/($B$6/SQRT($B$7))</f>
        <v>-1.56855120195756</v>
      </c>
      <c r="E4137" s="0" t="str">
        <f aca="false">IF(OR(AND($B$9="superior",D4137&gt;$B$10),AND($B$9="inferior",D4137&lt;-$B$10)),"Rechazar H0","No rechazar H0")</f>
        <v>No rechazar H0</v>
      </c>
      <c r="F4137" s="0" t="str">
        <f aca="false">IF(AND(B4137="H0 verdadera",E4137="Rechazar H0"),"Error tipo I",IF(AND(B4137="Ha verdadera",E4137="No rechazar H0"),"Error tipo II","Decisión correcta"))</f>
        <v>Error tipo II</v>
      </c>
    </row>
    <row r="4138" customFormat="false" ht="15" hidden="false" customHeight="false" outlineLevel="0" collapsed="false">
      <c r="A4138" s="0" t="n">
        <v>4117</v>
      </c>
      <c r="B4138" s="0" t="s">
        <v>85</v>
      </c>
      <c r="C4138" s="17" t="n">
        <v>0.473125717313148</v>
      </c>
      <c r="D4138" s="17" t="n">
        <f aca="false">(C4138-$B$4)/($B$6/SQRT($B$7))</f>
        <v>2.36562858656574</v>
      </c>
      <c r="E4138" s="0" t="str">
        <f aca="false">IF(OR(AND($B$9="superior",D4138&gt;$B$10),AND($B$9="inferior",D4138&lt;-$B$10)),"Rechazar H0","No rechazar H0")</f>
        <v>No rechazar H0</v>
      </c>
      <c r="F4138" s="0" t="str">
        <f aca="false">IF(AND(B4138="H0 verdadera",E4138="Rechazar H0"),"Error tipo I",IF(AND(B4138="Ha verdadera",E4138="No rechazar H0"),"Error tipo II","Decisión correcta"))</f>
        <v>Decisión correcta</v>
      </c>
    </row>
    <row r="4139" customFormat="false" ht="15" hidden="false" customHeight="false" outlineLevel="0" collapsed="false">
      <c r="A4139" s="0" t="n">
        <v>4118</v>
      </c>
      <c r="B4139" s="0" t="s">
        <v>85</v>
      </c>
      <c r="C4139" s="17" t="n">
        <v>-0.0471057347203439</v>
      </c>
      <c r="D4139" s="17" t="n">
        <f aca="false">(C4139-$B$4)/($B$6/SQRT($B$7))</f>
        <v>-0.235528673601719</v>
      </c>
      <c r="E4139" s="0" t="str">
        <f aca="false">IF(OR(AND($B$9="superior",D4139&gt;$B$10),AND($B$9="inferior",D4139&lt;-$B$10)),"Rechazar H0","No rechazar H0")</f>
        <v>No rechazar H0</v>
      </c>
      <c r="F4139" s="0" t="str">
        <f aca="false">IF(AND(B4139="H0 verdadera",E4139="Rechazar H0"),"Error tipo I",IF(AND(B4139="Ha verdadera",E4139="No rechazar H0"),"Error tipo II","Decisión correcta"))</f>
        <v>Decisión correcta</v>
      </c>
    </row>
    <row r="4140" customFormat="false" ht="15" hidden="false" customHeight="false" outlineLevel="0" collapsed="false">
      <c r="A4140" s="0" t="n">
        <v>4119</v>
      </c>
      <c r="B4140" s="0" t="s">
        <v>86</v>
      </c>
      <c r="C4140" s="17" t="n">
        <v>-0.655103634171436</v>
      </c>
      <c r="D4140" s="17" t="n">
        <f aca="false">(C4140-$B$4)/($B$6/SQRT($B$7))</f>
        <v>-3.27551817085718</v>
      </c>
      <c r="E4140" s="0" t="str">
        <f aca="false">IF(OR(AND($B$9="superior",D4140&gt;$B$10),AND($B$9="inferior",D4140&lt;-$B$10)),"Rechazar H0","No rechazar H0")</f>
        <v>Rechazar H0</v>
      </c>
      <c r="F4140" s="0" t="str">
        <f aca="false">IF(AND(B4140="H0 verdadera",E4140="Rechazar H0"),"Error tipo I",IF(AND(B4140="Ha verdadera",E4140="No rechazar H0"),"Error tipo II","Decisión correcta"))</f>
        <v>Decisión correcta</v>
      </c>
    </row>
    <row r="4141" customFormat="false" ht="15" hidden="false" customHeight="false" outlineLevel="0" collapsed="false">
      <c r="A4141" s="0" t="n">
        <v>4120</v>
      </c>
      <c r="B4141" s="0" t="s">
        <v>85</v>
      </c>
      <c r="C4141" s="17" t="n">
        <v>0.190485791400873</v>
      </c>
      <c r="D4141" s="17" t="n">
        <f aca="false">(C4141-$B$4)/($B$6/SQRT($B$7))</f>
        <v>0.952428957004364</v>
      </c>
      <c r="E4141" s="0" t="str">
        <f aca="false">IF(OR(AND($B$9="superior",D4141&gt;$B$10),AND($B$9="inferior",D4141&lt;-$B$10)),"Rechazar H0","No rechazar H0")</f>
        <v>No rechazar H0</v>
      </c>
      <c r="F4141" s="0" t="str">
        <f aca="false">IF(AND(B4141="H0 verdadera",E4141="Rechazar H0"),"Error tipo I",IF(AND(B4141="Ha verdadera",E4141="No rechazar H0"),"Error tipo II","Decisión correcta"))</f>
        <v>Decisión correcta</v>
      </c>
    </row>
    <row r="4142" customFormat="false" ht="15" hidden="false" customHeight="false" outlineLevel="0" collapsed="false">
      <c r="A4142" s="0" t="n">
        <v>4121</v>
      </c>
      <c r="B4142" s="0" t="s">
        <v>86</v>
      </c>
      <c r="C4142" s="17" t="n">
        <v>-0.274185141773729</v>
      </c>
      <c r="D4142" s="17" t="n">
        <f aca="false">(C4142-$B$4)/($B$6/SQRT($B$7))</f>
        <v>-1.37092570886865</v>
      </c>
      <c r="E4142" s="0" t="str">
        <f aca="false">IF(OR(AND($B$9="superior",D4142&gt;$B$10),AND($B$9="inferior",D4142&lt;-$B$10)),"Rechazar H0","No rechazar H0")</f>
        <v>No rechazar H0</v>
      </c>
      <c r="F4142" s="0" t="str">
        <f aca="false">IF(AND(B4142="H0 verdadera",E4142="Rechazar H0"),"Error tipo I",IF(AND(B4142="Ha verdadera",E4142="No rechazar H0"),"Error tipo II","Decisión correcta"))</f>
        <v>Error tipo II</v>
      </c>
    </row>
    <row r="4143" customFormat="false" ht="15" hidden="false" customHeight="false" outlineLevel="0" collapsed="false">
      <c r="A4143" s="0" t="n">
        <v>4122</v>
      </c>
      <c r="B4143" s="0" t="s">
        <v>85</v>
      </c>
      <c r="C4143" s="17" t="n">
        <v>-0.11420061892679</v>
      </c>
      <c r="D4143" s="17" t="n">
        <f aca="false">(C4143-$B$4)/($B$6/SQRT($B$7))</f>
        <v>-0.571003094633949</v>
      </c>
      <c r="E4143" s="0" t="str">
        <f aca="false">IF(OR(AND($B$9="superior",D4143&gt;$B$10),AND($B$9="inferior",D4143&lt;-$B$10)),"Rechazar H0","No rechazar H0")</f>
        <v>No rechazar H0</v>
      </c>
      <c r="F4143" s="0" t="str">
        <f aca="false">IF(AND(B4143="H0 verdadera",E4143="Rechazar H0"),"Error tipo I",IF(AND(B4143="Ha verdadera",E4143="No rechazar H0"),"Error tipo II","Decisión correcta"))</f>
        <v>Decisión correcta</v>
      </c>
    </row>
    <row r="4144" customFormat="false" ht="15" hidden="false" customHeight="false" outlineLevel="0" collapsed="false">
      <c r="A4144" s="0" t="n">
        <v>4123</v>
      </c>
      <c r="B4144" s="0" t="s">
        <v>85</v>
      </c>
      <c r="C4144" s="17" t="n">
        <v>-0.119027148442164</v>
      </c>
      <c r="D4144" s="17" t="n">
        <f aca="false">(C4144-$B$4)/($B$6/SQRT($B$7))</f>
        <v>-0.59513574221082</v>
      </c>
      <c r="E4144" s="0" t="str">
        <f aca="false">IF(OR(AND($B$9="superior",D4144&gt;$B$10),AND($B$9="inferior",D4144&lt;-$B$10)),"Rechazar H0","No rechazar H0")</f>
        <v>No rechazar H0</v>
      </c>
      <c r="F4144" s="0" t="str">
        <f aca="false">IF(AND(B4144="H0 verdadera",E4144="Rechazar H0"),"Error tipo I",IF(AND(B4144="Ha verdadera",E4144="No rechazar H0"),"Error tipo II","Decisión correcta"))</f>
        <v>Decisión correcta</v>
      </c>
    </row>
    <row r="4145" customFormat="false" ht="15" hidden="false" customHeight="false" outlineLevel="0" collapsed="false">
      <c r="A4145" s="0" t="n">
        <v>4124</v>
      </c>
      <c r="B4145" s="0" t="s">
        <v>85</v>
      </c>
      <c r="C4145" s="17" t="n">
        <v>-0.197289516216199</v>
      </c>
      <c r="D4145" s="17" t="n">
        <f aca="false">(C4145-$B$4)/($B$6/SQRT($B$7))</f>
        <v>-0.986447581080994</v>
      </c>
      <c r="E4145" s="0" t="str">
        <f aca="false">IF(OR(AND($B$9="superior",D4145&gt;$B$10),AND($B$9="inferior",D4145&lt;-$B$10)),"Rechazar H0","No rechazar H0")</f>
        <v>No rechazar H0</v>
      </c>
      <c r="F4145" s="0" t="str">
        <f aca="false">IF(AND(B4145="H0 verdadera",E4145="Rechazar H0"),"Error tipo I",IF(AND(B4145="Ha verdadera",E4145="No rechazar H0"),"Error tipo II","Decisión correcta"))</f>
        <v>Decisión correcta</v>
      </c>
    </row>
    <row r="4146" customFormat="false" ht="15" hidden="false" customHeight="false" outlineLevel="0" collapsed="false">
      <c r="A4146" s="0" t="n">
        <v>4125</v>
      </c>
      <c r="B4146" s="0" t="s">
        <v>85</v>
      </c>
      <c r="C4146" s="17" t="n">
        <v>0.390614359864711</v>
      </c>
      <c r="D4146" s="17" t="n">
        <f aca="false">(C4146-$B$4)/($B$6/SQRT($B$7))</f>
        <v>1.95307179932355</v>
      </c>
      <c r="E4146" s="0" t="str">
        <f aca="false">IF(OR(AND($B$9="superior",D4146&gt;$B$10),AND($B$9="inferior",D4146&lt;-$B$10)),"Rechazar H0","No rechazar H0")</f>
        <v>No rechazar H0</v>
      </c>
      <c r="F4146" s="0" t="str">
        <f aca="false">IF(AND(B4146="H0 verdadera",E4146="Rechazar H0"),"Error tipo I",IF(AND(B4146="Ha verdadera",E4146="No rechazar H0"),"Error tipo II","Decisión correcta"))</f>
        <v>Decisión correcta</v>
      </c>
    </row>
    <row r="4147" customFormat="false" ht="15" hidden="false" customHeight="false" outlineLevel="0" collapsed="false">
      <c r="A4147" s="0" t="n">
        <v>4126</v>
      </c>
      <c r="B4147" s="0" t="s">
        <v>86</v>
      </c>
      <c r="C4147" s="17" t="n">
        <v>-0.119212374614732</v>
      </c>
      <c r="D4147" s="17" t="n">
        <f aca="false">(C4147-$B$4)/($B$6/SQRT($B$7))</f>
        <v>-0.596061873073661</v>
      </c>
      <c r="E4147" s="0" t="str">
        <f aca="false">IF(OR(AND($B$9="superior",D4147&gt;$B$10),AND($B$9="inferior",D4147&lt;-$B$10)),"Rechazar H0","No rechazar H0")</f>
        <v>No rechazar H0</v>
      </c>
      <c r="F4147" s="0" t="str">
        <f aca="false">IF(AND(B4147="H0 verdadera",E4147="Rechazar H0"),"Error tipo I",IF(AND(B4147="Ha verdadera",E4147="No rechazar H0"),"Error tipo II","Decisión correcta"))</f>
        <v>Error tipo II</v>
      </c>
    </row>
    <row r="4148" customFormat="false" ht="15" hidden="false" customHeight="false" outlineLevel="0" collapsed="false">
      <c r="A4148" s="0" t="n">
        <v>4127</v>
      </c>
      <c r="B4148" s="0" t="s">
        <v>86</v>
      </c>
      <c r="C4148" s="17" t="n">
        <v>-0.174484487924667</v>
      </c>
      <c r="D4148" s="17" t="n">
        <f aca="false">(C4148-$B$4)/($B$6/SQRT($B$7))</f>
        <v>-0.872422439623333</v>
      </c>
      <c r="E4148" s="0" t="str">
        <f aca="false">IF(OR(AND($B$9="superior",D4148&gt;$B$10),AND($B$9="inferior",D4148&lt;-$B$10)),"Rechazar H0","No rechazar H0")</f>
        <v>No rechazar H0</v>
      </c>
      <c r="F4148" s="0" t="str">
        <f aca="false">IF(AND(B4148="H0 verdadera",E4148="Rechazar H0"),"Error tipo I",IF(AND(B4148="Ha verdadera",E4148="No rechazar H0"),"Error tipo II","Decisión correcta"))</f>
        <v>Error tipo II</v>
      </c>
    </row>
    <row r="4149" customFormat="false" ht="15" hidden="false" customHeight="false" outlineLevel="0" collapsed="false">
      <c r="A4149" s="0" t="n">
        <v>4128</v>
      </c>
      <c r="B4149" s="0" t="s">
        <v>85</v>
      </c>
      <c r="C4149" s="17" t="n">
        <v>0.239578579062795</v>
      </c>
      <c r="D4149" s="17" t="n">
        <f aca="false">(C4149-$B$4)/($B$6/SQRT($B$7))</f>
        <v>1.19789289531397</v>
      </c>
      <c r="E4149" s="0" t="str">
        <f aca="false">IF(OR(AND($B$9="superior",D4149&gt;$B$10),AND($B$9="inferior",D4149&lt;-$B$10)),"Rechazar H0","No rechazar H0")</f>
        <v>No rechazar H0</v>
      </c>
      <c r="F4149" s="0" t="str">
        <f aca="false">IF(AND(B4149="H0 verdadera",E4149="Rechazar H0"),"Error tipo I",IF(AND(B4149="Ha verdadera",E4149="No rechazar H0"),"Error tipo II","Decisión correcta"))</f>
        <v>Decisión correcta</v>
      </c>
    </row>
    <row r="4150" customFormat="false" ht="15" hidden="false" customHeight="false" outlineLevel="0" collapsed="false">
      <c r="A4150" s="0" t="n">
        <v>4129</v>
      </c>
      <c r="B4150" s="0" t="s">
        <v>85</v>
      </c>
      <c r="C4150" s="17" t="n">
        <v>0.130011882526164</v>
      </c>
      <c r="D4150" s="17" t="n">
        <f aca="false">(C4150-$B$4)/($B$6/SQRT($B$7))</f>
        <v>0.650059412630818</v>
      </c>
      <c r="E4150" s="0" t="str">
        <f aca="false">IF(OR(AND($B$9="superior",D4150&gt;$B$10),AND($B$9="inferior",D4150&lt;-$B$10)),"Rechazar H0","No rechazar H0")</f>
        <v>No rechazar H0</v>
      </c>
      <c r="F4150" s="0" t="str">
        <f aca="false">IF(AND(B4150="H0 verdadera",E4150="Rechazar H0"),"Error tipo I",IF(AND(B4150="Ha verdadera",E4150="No rechazar H0"),"Error tipo II","Decisión correcta"))</f>
        <v>Decisión correcta</v>
      </c>
    </row>
    <row r="4151" customFormat="false" ht="15" hidden="false" customHeight="false" outlineLevel="0" collapsed="false">
      <c r="A4151" s="0" t="n">
        <v>4130</v>
      </c>
      <c r="B4151" s="0" t="s">
        <v>86</v>
      </c>
      <c r="C4151" s="17" t="n">
        <v>-0.487758394842539</v>
      </c>
      <c r="D4151" s="17" t="n">
        <f aca="false">(C4151-$B$4)/($B$6/SQRT($B$7))</f>
        <v>-2.43879197421269</v>
      </c>
      <c r="E4151" s="0" t="str">
        <f aca="false">IF(OR(AND($B$9="superior",D4151&gt;$B$10),AND($B$9="inferior",D4151&lt;-$B$10)),"Rechazar H0","No rechazar H0")</f>
        <v>Rechazar H0</v>
      </c>
      <c r="F4151" s="0" t="str">
        <f aca="false">IF(AND(B4151="H0 verdadera",E4151="Rechazar H0"),"Error tipo I",IF(AND(B4151="Ha verdadera",E4151="No rechazar H0"),"Error tipo II","Decisión correcta"))</f>
        <v>Decisión correcta</v>
      </c>
    </row>
    <row r="4152" customFormat="false" ht="15" hidden="false" customHeight="false" outlineLevel="0" collapsed="false">
      <c r="A4152" s="0" t="n">
        <v>4131</v>
      </c>
      <c r="B4152" s="0" t="s">
        <v>86</v>
      </c>
      <c r="C4152" s="17" t="n">
        <v>-0.421632673662338</v>
      </c>
      <c r="D4152" s="17" t="n">
        <f aca="false">(C4152-$B$4)/($B$6/SQRT($B$7))</f>
        <v>-2.10816336831169</v>
      </c>
      <c r="E4152" s="0" t="str">
        <f aca="false">IF(OR(AND($B$9="superior",D4152&gt;$B$10),AND($B$9="inferior",D4152&lt;-$B$10)),"Rechazar H0","No rechazar H0")</f>
        <v>Rechazar H0</v>
      </c>
      <c r="F4152" s="0" t="str">
        <f aca="false">IF(AND(B4152="H0 verdadera",E4152="Rechazar H0"),"Error tipo I",IF(AND(B4152="Ha verdadera",E4152="No rechazar H0"),"Error tipo II","Decisión correcta"))</f>
        <v>Decisión correcta</v>
      </c>
    </row>
    <row r="4153" customFormat="false" ht="15" hidden="false" customHeight="false" outlineLevel="0" collapsed="false">
      <c r="A4153" s="0" t="n">
        <v>4132</v>
      </c>
      <c r="B4153" s="0" t="s">
        <v>85</v>
      </c>
      <c r="C4153" s="17" t="n">
        <v>-0.22457421093091</v>
      </c>
      <c r="D4153" s="17" t="n">
        <f aca="false">(C4153-$B$4)/($B$6/SQRT($B$7))</f>
        <v>-1.12287105465455</v>
      </c>
      <c r="E4153" s="0" t="str">
        <f aca="false">IF(OR(AND($B$9="superior",D4153&gt;$B$10),AND($B$9="inferior",D4153&lt;-$B$10)),"Rechazar H0","No rechazar H0")</f>
        <v>No rechazar H0</v>
      </c>
      <c r="F4153" s="0" t="str">
        <f aca="false">IF(AND(B4153="H0 verdadera",E4153="Rechazar H0"),"Error tipo I",IF(AND(B4153="Ha verdadera",E4153="No rechazar H0"),"Error tipo II","Decisión correcta"))</f>
        <v>Decisión correcta</v>
      </c>
    </row>
    <row r="4154" customFormat="false" ht="15" hidden="false" customHeight="false" outlineLevel="0" collapsed="false">
      <c r="A4154" s="0" t="n">
        <v>4133</v>
      </c>
      <c r="B4154" s="0" t="s">
        <v>86</v>
      </c>
      <c r="C4154" s="17" t="n">
        <v>-0.503133783684836</v>
      </c>
      <c r="D4154" s="17" t="n">
        <f aca="false">(C4154-$B$4)/($B$6/SQRT($B$7))</f>
        <v>-2.51566891842418</v>
      </c>
      <c r="E4154" s="0" t="str">
        <f aca="false">IF(OR(AND($B$9="superior",D4154&gt;$B$10),AND($B$9="inferior",D4154&lt;-$B$10)),"Rechazar H0","No rechazar H0")</f>
        <v>Rechazar H0</v>
      </c>
      <c r="F4154" s="0" t="str">
        <f aca="false">IF(AND(B4154="H0 verdadera",E4154="Rechazar H0"),"Error tipo I",IF(AND(B4154="Ha verdadera",E4154="No rechazar H0"),"Error tipo II","Decisión correcta"))</f>
        <v>Decisión correcta</v>
      </c>
    </row>
    <row r="4155" customFormat="false" ht="15" hidden="false" customHeight="false" outlineLevel="0" collapsed="false">
      <c r="A4155" s="0" t="n">
        <v>4134</v>
      </c>
      <c r="B4155" s="0" t="s">
        <v>86</v>
      </c>
      <c r="C4155" s="17" t="n">
        <v>-0.618833372627423</v>
      </c>
      <c r="D4155" s="17" t="n">
        <f aca="false">(C4155-$B$4)/($B$6/SQRT($B$7))</f>
        <v>-3.09416686313712</v>
      </c>
      <c r="E4155" s="0" t="str">
        <f aca="false">IF(OR(AND($B$9="superior",D4155&gt;$B$10),AND($B$9="inferior",D4155&lt;-$B$10)),"Rechazar H0","No rechazar H0")</f>
        <v>Rechazar H0</v>
      </c>
      <c r="F4155" s="0" t="str">
        <f aca="false">IF(AND(B4155="H0 verdadera",E4155="Rechazar H0"),"Error tipo I",IF(AND(B4155="Ha verdadera",E4155="No rechazar H0"),"Error tipo II","Decisión correcta"))</f>
        <v>Decisión correcta</v>
      </c>
    </row>
    <row r="4156" customFormat="false" ht="15" hidden="false" customHeight="false" outlineLevel="0" collapsed="false">
      <c r="A4156" s="0" t="n">
        <v>4135</v>
      </c>
      <c r="B4156" s="0" t="s">
        <v>85</v>
      </c>
      <c r="C4156" s="17" t="n">
        <v>-0.162233641550064</v>
      </c>
      <c r="D4156" s="17" t="n">
        <f aca="false">(C4156-$B$4)/($B$6/SQRT($B$7))</f>
        <v>-0.81116820775032</v>
      </c>
      <c r="E4156" s="0" t="str">
        <f aca="false">IF(OR(AND($B$9="superior",D4156&gt;$B$10),AND($B$9="inferior",D4156&lt;-$B$10)),"Rechazar H0","No rechazar H0")</f>
        <v>No rechazar H0</v>
      </c>
      <c r="F4156" s="0" t="str">
        <f aca="false">IF(AND(B4156="H0 verdadera",E4156="Rechazar H0"),"Error tipo I",IF(AND(B4156="Ha verdadera",E4156="No rechazar H0"),"Error tipo II","Decisión correcta"))</f>
        <v>Decisión correcta</v>
      </c>
    </row>
    <row r="4157" customFormat="false" ht="15" hidden="false" customHeight="false" outlineLevel="0" collapsed="false">
      <c r="A4157" s="0" t="n">
        <v>4136</v>
      </c>
      <c r="B4157" s="0" t="s">
        <v>85</v>
      </c>
      <c r="C4157" s="17" t="n">
        <v>0.0462106666739803</v>
      </c>
      <c r="D4157" s="17" t="n">
        <f aca="false">(C4157-$B$4)/($B$6/SQRT($B$7))</f>
        <v>0.231053333369902</v>
      </c>
      <c r="E4157" s="0" t="str">
        <f aca="false">IF(OR(AND($B$9="superior",D4157&gt;$B$10),AND($B$9="inferior",D4157&lt;-$B$10)),"Rechazar H0","No rechazar H0")</f>
        <v>No rechazar H0</v>
      </c>
      <c r="F4157" s="0" t="str">
        <f aca="false">IF(AND(B4157="H0 verdadera",E4157="Rechazar H0"),"Error tipo I",IF(AND(B4157="Ha verdadera",E4157="No rechazar H0"),"Error tipo II","Decisión correcta"))</f>
        <v>Decisión correcta</v>
      </c>
    </row>
    <row r="4158" customFormat="false" ht="15" hidden="false" customHeight="false" outlineLevel="0" collapsed="false">
      <c r="A4158" s="0" t="n">
        <v>4137</v>
      </c>
      <c r="B4158" s="0" t="s">
        <v>86</v>
      </c>
      <c r="C4158" s="17" t="n">
        <v>-0.498253168553348</v>
      </c>
      <c r="D4158" s="17" t="n">
        <f aca="false">(C4158-$B$4)/($B$6/SQRT($B$7))</f>
        <v>-2.49126584276674</v>
      </c>
      <c r="E4158" s="0" t="str">
        <f aca="false">IF(OR(AND($B$9="superior",D4158&gt;$B$10),AND($B$9="inferior",D4158&lt;-$B$10)),"Rechazar H0","No rechazar H0")</f>
        <v>Rechazar H0</v>
      </c>
      <c r="F4158" s="0" t="str">
        <f aca="false">IF(AND(B4158="H0 verdadera",E4158="Rechazar H0"),"Error tipo I",IF(AND(B4158="Ha verdadera",E4158="No rechazar H0"),"Error tipo II","Decisión correcta"))</f>
        <v>Decisión correcta</v>
      </c>
    </row>
    <row r="4159" customFormat="false" ht="15" hidden="false" customHeight="false" outlineLevel="0" collapsed="false">
      <c r="A4159" s="0" t="n">
        <v>4138</v>
      </c>
      <c r="B4159" s="0" t="s">
        <v>86</v>
      </c>
      <c r="C4159" s="17" t="n">
        <v>-0.346390334465963</v>
      </c>
      <c r="D4159" s="17" t="n">
        <f aca="false">(C4159-$B$4)/($B$6/SQRT($B$7))</f>
        <v>-1.73195167232981</v>
      </c>
      <c r="E4159" s="0" t="str">
        <f aca="false">IF(OR(AND($B$9="superior",D4159&gt;$B$10),AND($B$9="inferior",D4159&lt;-$B$10)),"Rechazar H0","No rechazar H0")</f>
        <v>Rechazar H0</v>
      </c>
      <c r="F4159" s="0" t="str">
        <f aca="false">IF(AND(B4159="H0 verdadera",E4159="Rechazar H0"),"Error tipo I",IF(AND(B4159="Ha verdadera",E4159="No rechazar H0"),"Error tipo II","Decisión correcta"))</f>
        <v>Decisión correcta</v>
      </c>
    </row>
    <row r="4160" customFormat="false" ht="15" hidden="false" customHeight="false" outlineLevel="0" collapsed="false">
      <c r="A4160" s="0" t="n">
        <v>4139</v>
      </c>
      <c r="B4160" s="0" t="s">
        <v>86</v>
      </c>
      <c r="C4160" s="17" t="n">
        <v>-0.246855253140026</v>
      </c>
      <c r="D4160" s="17" t="n">
        <f aca="false">(C4160-$B$4)/($B$6/SQRT($B$7))</f>
        <v>-1.23427626570013</v>
      </c>
      <c r="E4160" s="0" t="str">
        <f aca="false">IF(OR(AND($B$9="superior",D4160&gt;$B$10),AND($B$9="inferior",D4160&lt;-$B$10)),"Rechazar H0","No rechazar H0")</f>
        <v>No rechazar H0</v>
      </c>
      <c r="F4160" s="0" t="str">
        <f aca="false">IF(AND(B4160="H0 verdadera",E4160="Rechazar H0"),"Error tipo I",IF(AND(B4160="Ha verdadera",E4160="No rechazar H0"),"Error tipo II","Decisión correcta"))</f>
        <v>Error tipo II</v>
      </c>
    </row>
    <row r="4161" customFormat="false" ht="15" hidden="false" customHeight="false" outlineLevel="0" collapsed="false">
      <c r="A4161" s="0" t="n">
        <v>4140</v>
      </c>
      <c r="B4161" s="0" t="s">
        <v>86</v>
      </c>
      <c r="C4161" s="17" t="n">
        <v>-0.231399809493553</v>
      </c>
      <c r="D4161" s="17" t="n">
        <f aca="false">(C4161-$B$4)/($B$6/SQRT($B$7))</f>
        <v>-1.15699904746777</v>
      </c>
      <c r="E4161" s="0" t="str">
        <f aca="false">IF(OR(AND($B$9="superior",D4161&gt;$B$10),AND($B$9="inferior",D4161&lt;-$B$10)),"Rechazar H0","No rechazar H0")</f>
        <v>No rechazar H0</v>
      </c>
      <c r="F4161" s="0" t="str">
        <f aca="false">IF(AND(B4161="H0 verdadera",E4161="Rechazar H0"),"Error tipo I",IF(AND(B4161="Ha verdadera",E4161="No rechazar H0"),"Error tipo II","Decisión correcta"))</f>
        <v>Error tipo II</v>
      </c>
    </row>
    <row r="4162" customFormat="false" ht="15" hidden="false" customHeight="false" outlineLevel="0" collapsed="false">
      <c r="A4162" s="0" t="n">
        <v>4141</v>
      </c>
      <c r="B4162" s="0" t="s">
        <v>85</v>
      </c>
      <c r="C4162" s="17" t="n">
        <v>-0.0239978651878364</v>
      </c>
      <c r="D4162" s="17" t="n">
        <f aca="false">(C4162-$B$4)/($B$6/SQRT($B$7))</f>
        <v>-0.119989325939182</v>
      </c>
      <c r="E4162" s="0" t="str">
        <f aca="false">IF(OR(AND($B$9="superior",D4162&gt;$B$10),AND($B$9="inferior",D4162&lt;-$B$10)),"Rechazar H0","No rechazar H0")</f>
        <v>No rechazar H0</v>
      </c>
      <c r="F4162" s="0" t="str">
        <f aca="false">IF(AND(B4162="H0 verdadera",E4162="Rechazar H0"),"Error tipo I",IF(AND(B4162="Ha verdadera",E4162="No rechazar H0"),"Error tipo II","Decisión correcta"))</f>
        <v>Decisión correcta</v>
      </c>
    </row>
    <row r="4163" customFormat="false" ht="15" hidden="false" customHeight="false" outlineLevel="0" collapsed="false">
      <c r="A4163" s="0" t="n">
        <v>4142</v>
      </c>
      <c r="B4163" s="0" t="s">
        <v>85</v>
      </c>
      <c r="C4163" s="17" t="n">
        <v>0.0775770436054675</v>
      </c>
      <c r="D4163" s="17" t="n">
        <f aca="false">(C4163-$B$4)/($B$6/SQRT($B$7))</f>
        <v>0.387885218027337</v>
      </c>
      <c r="E4163" s="0" t="str">
        <f aca="false">IF(OR(AND($B$9="superior",D4163&gt;$B$10),AND($B$9="inferior",D4163&lt;-$B$10)),"Rechazar H0","No rechazar H0")</f>
        <v>No rechazar H0</v>
      </c>
      <c r="F4163" s="0" t="str">
        <f aca="false">IF(AND(B4163="H0 verdadera",E4163="Rechazar H0"),"Error tipo I",IF(AND(B4163="Ha verdadera",E4163="No rechazar H0"),"Error tipo II","Decisión correcta"))</f>
        <v>Decisión correcta</v>
      </c>
    </row>
    <row r="4164" customFormat="false" ht="15" hidden="false" customHeight="false" outlineLevel="0" collapsed="false">
      <c r="A4164" s="0" t="n">
        <v>4143</v>
      </c>
      <c r="B4164" s="0" t="s">
        <v>86</v>
      </c>
      <c r="C4164" s="17" t="n">
        <v>-0.532837196576793</v>
      </c>
      <c r="D4164" s="17" t="n">
        <f aca="false">(C4164-$B$4)/($B$6/SQRT($B$7))</f>
        <v>-2.66418598288397</v>
      </c>
      <c r="E4164" s="0" t="str">
        <f aca="false">IF(OR(AND($B$9="superior",D4164&gt;$B$10),AND($B$9="inferior",D4164&lt;-$B$10)),"Rechazar H0","No rechazar H0")</f>
        <v>Rechazar H0</v>
      </c>
      <c r="F4164" s="0" t="str">
        <f aca="false">IF(AND(B4164="H0 verdadera",E4164="Rechazar H0"),"Error tipo I",IF(AND(B4164="Ha verdadera",E4164="No rechazar H0"),"Error tipo II","Decisión correcta"))</f>
        <v>Decisión correcta</v>
      </c>
    </row>
    <row r="4165" customFormat="false" ht="15" hidden="false" customHeight="false" outlineLevel="0" collapsed="false">
      <c r="A4165" s="0" t="n">
        <v>4144</v>
      </c>
      <c r="B4165" s="0" t="s">
        <v>85</v>
      </c>
      <c r="C4165" s="17" t="n">
        <v>0.127051176292801</v>
      </c>
      <c r="D4165" s="17" t="n">
        <f aca="false">(C4165-$B$4)/($B$6/SQRT($B$7))</f>
        <v>0.635255881464003</v>
      </c>
      <c r="E4165" s="0" t="str">
        <f aca="false">IF(OR(AND($B$9="superior",D4165&gt;$B$10),AND($B$9="inferior",D4165&lt;-$B$10)),"Rechazar H0","No rechazar H0")</f>
        <v>No rechazar H0</v>
      </c>
      <c r="F4165" s="0" t="str">
        <f aca="false">IF(AND(B4165="H0 verdadera",E4165="Rechazar H0"),"Error tipo I",IF(AND(B4165="Ha verdadera",E4165="No rechazar H0"),"Error tipo II","Decisión correcta"))</f>
        <v>Decisión correcta</v>
      </c>
    </row>
    <row r="4166" customFormat="false" ht="15" hidden="false" customHeight="false" outlineLevel="0" collapsed="false">
      <c r="A4166" s="0" t="n">
        <v>4145</v>
      </c>
      <c r="B4166" s="0" t="s">
        <v>85</v>
      </c>
      <c r="C4166" s="17" t="n">
        <v>0.0263714862085662</v>
      </c>
      <c r="D4166" s="17" t="n">
        <f aca="false">(C4166-$B$4)/($B$6/SQRT($B$7))</f>
        <v>0.131857431042831</v>
      </c>
      <c r="E4166" s="0" t="str">
        <f aca="false">IF(OR(AND($B$9="superior",D4166&gt;$B$10),AND($B$9="inferior",D4166&lt;-$B$10)),"Rechazar H0","No rechazar H0")</f>
        <v>No rechazar H0</v>
      </c>
      <c r="F4166" s="0" t="str">
        <f aca="false">IF(AND(B4166="H0 verdadera",E4166="Rechazar H0"),"Error tipo I",IF(AND(B4166="Ha verdadera",E4166="No rechazar H0"),"Error tipo II","Decisión correcta"))</f>
        <v>Decisión correcta</v>
      </c>
    </row>
    <row r="4167" customFormat="false" ht="15" hidden="false" customHeight="false" outlineLevel="0" collapsed="false">
      <c r="A4167" s="0" t="n">
        <v>4146</v>
      </c>
      <c r="B4167" s="0" t="s">
        <v>85</v>
      </c>
      <c r="C4167" s="17" t="n">
        <v>0.0227519820969801</v>
      </c>
      <c r="D4167" s="17" t="n">
        <f aca="false">(C4167-$B$4)/($B$6/SQRT($B$7))</f>
        <v>0.1137599104849</v>
      </c>
      <c r="E4167" s="0" t="str">
        <f aca="false">IF(OR(AND($B$9="superior",D4167&gt;$B$10),AND($B$9="inferior",D4167&lt;-$B$10)),"Rechazar H0","No rechazar H0")</f>
        <v>No rechazar H0</v>
      </c>
      <c r="F4167" s="0" t="str">
        <f aca="false">IF(AND(B4167="H0 verdadera",E4167="Rechazar H0"),"Error tipo I",IF(AND(B4167="Ha verdadera",E4167="No rechazar H0"),"Error tipo II","Decisión correcta"))</f>
        <v>Decisión correcta</v>
      </c>
    </row>
    <row r="4168" customFormat="false" ht="15" hidden="false" customHeight="false" outlineLevel="0" collapsed="false">
      <c r="A4168" s="0" t="n">
        <v>4147</v>
      </c>
      <c r="B4168" s="0" t="s">
        <v>86</v>
      </c>
      <c r="C4168" s="17" t="n">
        <v>-0.256821993872509</v>
      </c>
      <c r="D4168" s="17" t="n">
        <f aca="false">(C4168-$B$4)/($B$6/SQRT($B$7))</f>
        <v>-1.28410996936255</v>
      </c>
      <c r="E4168" s="0" t="str">
        <f aca="false">IF(OR(AND($B$9="superior",D4168&gt;$B$10),AND($B$9="inferior",D4168&lt;-$B$10)),"Rechazar H0","No rechazar H0")</f>
        <v>No rechazar H0</v>
      </c>
      <c r="F4168" s="0" t="str">
        <f aca="false">IF(AND(B4168="H0 verdadera",E4168="Rechazar H0"),"Error tipo I",IF(AND(B4168="Ha verdadera",E4168="No rechazar H0"),"Error tipo II","Decisión correcta"))</f>
        <v>Error tipo II</v>
      </c>
    </row>
    <row r="4169" customFormat="false" ht="15" hidden="false" customHeight="false" outlineLevel="0" collapsed="false">
      <c r="A4169" s="0" t="n">
        <v>4148</v>
      </c>
      <c r="B4169" s="0" t="s">
        <v>85</v>
      </c>
      <c r="C4169" s="17" t="n">
        <v>0.0798018651777127</v>
      </c>
      <c r="D4169" s="17" t="n">
        <f aca="false">(C4169-$B$4)/($B$6/SQRT($B$7))</f>
        <v>0.399009325888563</v>
      </c>
      <c r="E4169" s="0" t="str">
        <f aca="false">IF(OR(AND($B$9="superior",D4169&gt;$B$10),AND($B$9="inferior",D4169&lt;-$B$10)),"Rechazar H0","No rechazar H0")</f>
        <v>No rechazar H0</v>
      </c>
      <c r="F4169" s="0" t="str">
        <f aca="false">IF(AND(B4169="H0 verdadera",E4169="Rechazar H0"),"Error tipo I",IF(AND(B4169="Ha verdadera",E4169="No rechazar H0"),"Error tipo II","Decisión correcta"))</f>
        <v>Decisión correcta</v>
      </c>
    </row>
    <row r="4170" customFormat="false" ht="15" hidden="false" customHeight="false" outlineLevel="0" collapsed="false">
      <c r="A4170" s="0" t="n">
        <v>4149</v>
      </c>
      <c r="B4170" s="0" t="s">
        <v>86</v>
      </c>
      <c r="C4170" s="17" t="n">
        <v>-0.349702014591408</v>
      </c>
      <c r="D4170" s="17" t="n">
        <f aca="false">(C4170-$B$4)/($B$6/SQRT($B$7))</f>
        <v>-1.74851007295704</v>
      </c>
      <c r="E4170" s="0" t="str">
        <f aca="false">IF(OR(AND($B$9="superior",D4170&gt;$B$10),AND($B$9="inferior",D4170&lt;-$B$10)),"Rechazar H0","No rechazar H0")</f>
        <v>Rechazar H0</v>
      </c>
      <c r="F4170" s="0" t="str">
        <f aca="false">IF(AND(B4170="H0 verdadera",E4170="Rechazar H0"),"Error tipo I",IF(AND(B4170="Ha verdadera",E4170="No rechazar H0"),"Error tipo II","Decisión correcta"))</f>
        <v>Decisión correcta</v>
      </c>
    </row>
    <row r="4171" customFormat="false" ht="15" hidden="false" customHeight="false" outlineLevel="0" collapsed="false">
      <c r="A4171" s="0" t="n">
        <v>4150</v>
      </c>
      <c r="B4171" s="0" t="s">
        <v>85</v>
      </c>
      <c r="C4171" s="17" t="n">
        <v>-0.0540266454971622</v>
      </c>
      <c r="D4171" s="17" t="n">
        <f aca="false">(C4171-$B$4)/($B$6/SQRT($B$7))</f>
        <v>-0.270133227485811</v>
      </c>
      <c r="E4171" s="0" t="str">
        <f aca="false">IF(OR(AND($B$9="superior",D4171&gt;$B$10),AND($B$9="inferior",D4171&lt;-$B$10)),"Rechazar H0","No rechazar H0")</f>
        <v>No rechazar H0</v>
      </c>
      <c r="F4171" s="0" t="str">
        <f aca="false">IF(AND(B4171="H0 verdadera",E4171="Rechazar H0"),"Error tipo I",IF(AND(B4171="Ha verdadera",E4171="No rechazar H0"),"Error tipo II","Decisión correcta"))</f>
        <v>Decisión correcta</v>
      </c>
    </row>
    <row r="4172" customFormat="false" ht="15" hidden="false" customHeight="false" outlineLevel="0" collapsed="false">
      <c r="A4172" s="0" t="n">
        <v>4151</v>
      </c>
      <c r="B4172" s="0" t="s">
        <v>85</v>
      </c>
      <c r="C4172" s="17" t="n">
        <v>0.104636543723752</v>
      </c>
      <c r="D4172" s="17" t="n">
        <f aca="false">(C4172-$B$4)/($B$6/SQRT($B$7))</f>
        <v>0.52318271861876</v>
      </c>
      <c r="E4172" s="0" t="str">
        <f aca="false">IF(OR(AND($B$9="superior",D4172&gt;$B$10),AND($B$9="inferior",D4172&lt;-$B$10)),"Rechazar H0","No rechazar H0")</f>
        <v>No rechazar H0</v>
      </c>
      <c r="F4172" s="0" t="str">
        <f aca="false">IF(AND(B4172="H0 verdadera",E4172="Rechazar H0"),"Error tipo I",IF(AND(B4172="Ha verdadera",E4172="No rechazar H0"),"Error tipo II","Decisión correcta"))</f>
        <v>Decisión correcta</v>
      </c>
    </row>
    <row r="4173" customFormat="false" ht="15" hidden="false" customHeight="false" outlineLevel="0" collapsed="false">
      <c r="A4173" s="0" t="n">
        <v>4152</v>
      </c>
      <c r="B4173" s="0" t="s">
        <v>85</v>
      </c>
      <c r="C4173" s="17" t="n">
        <v>0.126946230465914</v>
      </c>
      <c r="D4173" s="17" t="n">
        <f aca="false">(C4173-$B$4)/($B$6/SQRT($B$7))</f>
        <v>0.634731152329572</v>
      </c>
      <c r="E4173" s="0" t="str">
        <f aca="false">IF(OR(AND($B$9="superior",D4173&gt;$B$10),AND($B$9="inferior",D4173&lt;-$B$10)),"Rechazar H0","No rechazar H0")</f>
        <v>No rechazar H0</v>
      </c>
      <c r="F4173" s="0" t="str">
        <f aca="false">IF(AND(B4173="H0 verdadera",E4173="Rechazar H0"),"Error tipo I",IF(AND(B4173="Ha verdadera",E4173="No rechazar H0"),"Error tipo II","Decisión correcta"))</f>
        <v>Decisión correcta</v>
      </c>
    </row>
    <row r="4174" customFormat="false" ht="15" hidden="false" customHeight="false" outlineLevel="0" collapsed="false">
      <c r="A4174" s="0" t="n">
        <v>4153</v>
      </c>
      <c r="B4174" s="0" t="s">
        <v>85</v>
      </c>
      <c r="C4174" s="17" t="n">
        <v>0.217759606096617</v>
      </c>
      <c r="D4174" s="17" t="n">
        <f aca="false">(C4174-$B$4)/($B$6/SQRT($B$7))</f>
        <v>1.08879803048309</v>
      </c>
      <c r="E4174" s="0" t="str">
        <f aca="false">IF(OR(AND($B$9="superior",D4174&gt;$B$10),AND($B$9="inferior",D4174&lt;-$B$10)),"Rechazar H0","No rechazar H0")</f>
        <v>No rechazar H0</v>
      </c>
      <c r="F4174" s="0" t="str">
        <f aca="false">IF(AND(B4174="H0 verdadera",E4174="Rechazar H0"),"Error tipo I",IF(AND(B4174="Ha verdadera",E4174="No rechazar H0"),"Error tipo II","Decisión correcta"))</f>
        <v>Decisión correcta</v>
      </c>
    </row>
    <row r="4175" customFormat="false" ht="15" hidden="false" customHeight="false" outlineLevel="0" collapsed="false">
      <c r="A4175" s="0" t="n">
        <v>4154</v>
      </c>
      <c r="B4175" s="0" t="s">
        <v>85</v>
      </c>
      <c r="C4175" s="17" t="n">
        <v>-0.253914692314231</v>
      </c>
      <c r="D4175" s="17" t="n">
        <f aca="false">(C4175-$B$4)/($B$6/SQRT($B$7))</f>
        <v>-1.26957346157116</v>
      </c>
      <c r="E4175" s="0" t="str">
        <f aca="false">IF(OR(AND($B$9="superior",D4175&gt;$B$10),AND($B$9="inferior",D4175&lt;-$B$10)),"Rechazar H0","No rechazar H0")</f>
        <v>No rechazar H0</v>
      </c>
      <c r="F4175" s="0" t="str">
        <f aca="false">IF(AND(B4175="H0 verdadera",E4175="Rechazar H0"),"Error tipo I",IF(AND(B4175="Ha verdadera",E4175="No rechazar H0"),"Error tipo II","Decisión correcta"))</f>
        <v>Decisión correcta</v>
      </c>
    </row>
    <row r="4176" customFormat="false" ht="15" hidden="false" customHeight="false" outlineLevel="0" collapsed="false">
      <c r="A4176" s="0" t="n">
        <v>4155</v>
      </c>
      <c r="B4176" s="0" t="s">
        <v>85</v>
      </c>
      <c r="C4176" s="17" t="n">
        <v>0.0922510953628614</v>
      </c>
      <c r="D4176" s="17" t="n">
        <f aca="false">(C4176-$B$4)/($B$6/SQRT($B$7))</f>
        <v>0.461255476814307</v>
      </c>
      <c r="E4176" s="0" t="str">
        <f aca="false">IF(OR(AND($B$9="superior",D4176&gt;$B$10),AND($B$9="inferior",D4176&lt;-$B$10)),"Rechazar H0","No rechazar H0")</f>
        <v>No rechazar H0</v>
      </c>
      <c r="F4176" s="0" t="str">
        <f aca="false">IF(AND(B4176="H0 verdadera",E4176="Rechazar H0"),"Error tipo I",IF(AND(B4176="Ha verdadera",E4176="No rechazar H0"),"Error tipo II","Decisión correcta"))</f>
        <v>Decisión correcta</v>
      </c>
    </row>
    <row r="4177" customFormat="false" ht="15" hidden="false" customHeight="false" outlineLevel="0" collapsed="false">
      <c r="A4177" s="0" t="n">
        <v>4156</v>
      </c>
      <c r="B4177" s="0" t="s">
        <v>85</v>
      </c>
      <c r="C4177" s="17" t="n">
        <v>0.0814620474287705</v>
      </c>
      <c r="D4177" s="17" t="n">
        <f aca="false">(C4177-$B$4)/($B$6/SQRT($B$7))</f>
        <v>0.407310237143853</v>
      </c>
      <c r="E4177" s="0" t="str">
        <f aca="false">IF(OR(AND($B$9="superior",D4177&gt;$B$10),AND($B$9="inferior",D4177&lt;-$B$10)),"Rechazar H0","No rechazar H0")</f>
        <v>No rechazar H0</v>
      </c>
      <c r="F4177" s="0" t="str">
        <f aca="false">IF(AND(B4177="H0 verdadera",E4177="Rechazar H0"),"Error tipo I",IF(AND(B4177="Ha verdadera",E4177="No rechazar H0"),"Error tipo II","Decisión correcta"))</f>
        <v>Decisión correcta</v>
      </c>
    </row>
    <row r="4178" customFormat="false" ht="15" hidden="false" customHeight="false" outlineLevel="0" collapsed="false">
      <c r="A4178" s="0" t="n">
        <v>4157</v>
      </c>
      <c r="B4178" s="0" t="s">
        <v>86</v>
      </c>
      <c r="C4178" s="17" t="n">
        <v>-0.62815706844847</v>
      </c>
      <c r="D4178" s="17" t="n">
        <f aca="false">(C4178-$B$4)/($B$6/SQRT($B$7))</f>
        <v>-3.14078534224235</v>
      </c>
      <c r="E4178" s="0" t="str">
        <f aca="false">IF(OR(AND($B$9="superior",D4178&gt;$B$10),AND($B$9="inferior",D4178&lt;-$B$10)),"Rechazar H0","No rechazar H0")</f>
        <v>Rechazar H0</v>
      </c>
      <c r="F4178" s="0" t="str">
        <f aca="false">IF(AND(B4178="H0 verdadera",E4178="Rechazar H0"),"Error tipo I",IF(AND(B4178="Ha verdadera",E4178="No rechazar H0"),"Error tipo II","Decisión correcta"))</f>
        <v>Decisión correcta</v>
      </c>
    </row>
    <row r="4179" customFormat="false" ht="15" hidden="false" customHeight="false" outlineLevel="0" collapsed="false">
      <c r="A4179" s="0" t="n">
        <v>4158</v>
      </c>
      <c r="B4179" s="0" t="s">
        <v>86</v>
      </c>
      <c r="C4179" s="17" t="n">
        <v>-0.606333124505199</v>
      </c>
      <c r="D4179" s="17" t="n">
        <f aca="false">(C4179-$B$4)/($B$6/SQRT($B$7))</f>
        <v>-3.03166562252599</v>
      </c>
      <c r="E4179" s="0" t="str">
        <f aca="false">IF(OR(AND($B$9="superior",D4179&gt;$B$10),AND($B$9="inferior",D4179&lt;-$B$10)),"Rechazar H0","No rechazar H0")</f>
        <v>Rechazar H0</v>
      </c>
      <c r="F4179" s="0" t="str">
        <f aca="false">IF(AND(B4179="H0 verdadera",E4179="Rechazar H0"),"Error tipo I",IF(AND(B4179="Ha verdadera",E4179="No rechazar H0"),"Error tipo II","Decisión correcta"))</f>
        <v>Decisión correcta</v>
      </c>
    </row>
    <row r="4180" customFormat="false" ht="15" hidden="false" customHeight="false" outlineLevel="0" collapsed="false">
      <c r="A4180" s="0" t="n">
        <v>4159</v>
      </c>
      <c r="B4180" s="0" t="s">
        <v>85</v>
      </c>
      <c r="C4180" s="17" t="n">
        <v>-0.0423222159330858</v>
      </c>
      <c r="D4180" s="17" t="n">
        <f aca="false">(C4180-$B$4)/($B$6/SQRT($B$7))</f>
        <v>-0.211611079665429</v>
      </c>
      <c r="E4180" s="0" t="str">
        <f aca="false">IF(OR(AND($B$9="superior",D4180&gt;$B$10),AND($B$9="inferior",D4180&lt;-$B$10)),"Rechazar H0","No rechazar H0")</f>
        <v>No rechazar H0</v>
      </c>
      <c r="F4180" s="0" t="str">
        <f aca="false">IF(AND(B4180="H0 verdadera",E4180="Rechazar H0"),"Error tipo I",IF(AND(B4180="Ha verdadera",E4180="No rechazar H0"),"Error tipo II","Decisión correcta"))</f>
        <v>Decisión correcta</v>
      </c>
    </row>
    <row r="4181" customFormat="false" ht="15" hidden="false" customHeight="false" outlineLevel="0" collapsed="false">
      <c r="A4181" s="0" t="n">
        <v>4160</v>
      </c>
      <c r="B4181" s="0" t="s">
        <v>86</v>
      </c>
      <c r="C4181" s="17" t="n">
        <v>-0.634109565780918</v>
      </c>
      <c r="D4181" s="17" t="n">
        <f aca="false">(C4181-$B$4)/($B$6/SQRT($B$7))</f>
        <v>-3.17054782890459</v>
      </c>
      <c r="E4181" s="0" t="str">
        <f aca="false">IF(OR(AND($B$9="superior",D4181&gt;$B$10),AND($B$9="inferior",D4181&lt;-$B$10)),"Rechazar H0","No rechazar H0")</f>
        <v>Rechazar H0</v>
      </c>
      <c r="F4181" s="0" t="str">
        <f aca="false">IF(AND(B4181="H0 verdadera",E4181="Rechazar H0"),"Error tipo I",IF(AND(B4181="Ha verdadera",E4181="No rechazar H0"),"Error tipo II","Decisión correcta"))</f>
        <v>Decisión correcta</v>
      </c>
    </row>
    <row r="4182" customFormat="false" ht="15" hidden="false" customHeight="false" outlineLevel="0" collapsed="false">
      <c r="A4182" s="0" t="n">
        <v>4161</v>
      </c>
      <c r="B4182" s="0" t="s">
        <v>86</v>
      </c>
      <c r="C4182" s="17" t="n">
        <v>-0.243871762998075</v>
      </c>
      <c r="D4182" s="17" t="n">
        <f aca="false">(C4182-$B$4)/($B$6/SQRT($B$7))</f>
        <v>-1.21935881499038</v>
      </c>
      <c r="E4182" s="0" t="str">
        <f aca="false">IF(OR(AND($B$9="superior",D4182&gt;$B$10),AND($B$9="inferior",D4182&lt;-$B$10)),"Rechazar H0","No rechazar H0")</f>
        <v>No rechazar H0</v>
      </c>
      <c r="F4182" s="0" t="str">
        <f aca="false">IF(AND(B4182="H0 verdadera",E4182="Rechazar H0"),"Error tipo I",IF(AND(B4182="Ha verdadera",E4182="No rechazar H0"),"Error tipo II","Decisión correcta"))</f>
        <v>Error tipo II</v>
      </c>
    </row>
    <row r="4183" customFormat="false" ht="15" hidden="false" customHeight="false" outlineLevel="0" collapsed="false">
      <c r="A4183" s="0" t="n">
        <v>4162</v>
      </c>
      <c r="B4183" s="0" t="s">
        <v>86</v>
      </c>
      <c r="C4183" s="17" t="n">
        <v>-0.808936586289371</v>
      </c>
      <c r="D4183" s="17" t="n">
        <f aca="false">(C4183-$B$4)/($B$6/SQRT($B$7))</f>
        <v>-4.04468293144686</v>
      </c>
      <c r="E4183" s="0" t="str">
        <f aca="false">IF(OR(AND($B$9="superior",D4183&gt;$B$10),AND($B$9="inferior",D4183&lt;-$B$10)),"Rechazar H0","No rechazar H0")</f>
        <v>Rechazar H0</v>
      </c>
      <c r="F4183" s="0" t="str">
        <f aca="false">IF(AND(B4183="H0 verdadera",E4183="Rechazar H0"),"Error tipo I",IF(AND(B4183="Ha verdadera",E4183="No rechazar H0"),"Error tipo II","Decisión correcta"))</f>
        <v>Decisión correcta</v>
      </c>
    </row>
    <row r="4184" customFormat="false" ht="15" hidden="false" customHeight="false" outlineLevel="0" collapsed="false">
      <c r="A4184" s="0" t="n">
        <v>4163</v>
      </c>
      <c r="B4184" s="0" t="s">
        <v>86</v>
      </c>
      <c r="C4184" s="17" t="n">
        <v>-0.657930302153656</v>
      </c>
      <c r="D4184" s="17" t="n">
        <f aca="false">(C4184-$B$4)/($B$6/SQRT($B$7))</f>
        <v>-3.28965151076828</v>
      </c>
      <c r="E4184" s="0" t="str">
        <f aca="false">IF(OR(AND($B$9="superior",D4184&gt;$B$10),AND($B$9="inferior",D4184&lt;-$B$10)),"Rechazar H0","No rechazar H0")</f>
        <v>Rechazar H0</v>
      </c>
      <c r="F4184" s="0" t="str">
        <f aca="false">IF(AND(B4184="H0 verdadera",E4184="Rechazar H0"),"Error tipo I",IF(AND(B4184="Ha verdadera",E4184="No rechazar H0"),"Error tipo II","Decisión correcta"))</f>
        <v>Decisión correcta</v>
      </c>
    </row>
    <row r="4185" customFormat="false" ht="15" hidden="false" customHeight="false" outlineLevel="0" collapsed="false">
      <c r="A4185" s="0" t="n">
        <v>4164</v>
      </c>
      <c r="B4185" s="0" t="s">
        <v>85</v>
      </c>
      <c r="C4185" s="17" t="n">
        <v>0.146961697173994</v>
      </c>
      <c r="D4185" s="17" t="n">
        <f aca="false">(C4185-$B$4)/($B$6/SQRT($B$7))</f>
        <v>0.734808485869969</v>
      </c>
      <c r="E4185" s="0" t="str">
        <f aca="false">IF(OR(AND($B$9="superior",D4185&gt;$B$10),AND($B$9="inferior",D4185&lt;-$B$10)),"Rechazar H0","No rechazar H0")</f>
        <v>No rechazar H0</v>
      </c>
      <c r="F4185" s="0" t="str">
        <f aca="false">IF(AND(B4185="H0 verdadera",E4185="Rechazar H0"),"Error tipo I",IF(AND(B4185="Ha verdadera",E4185="No rechazar H0"),"Error tipo II","Decisión correcta"))</f>
        <v>Decisión correcta</v>
      </c>
    </row>
    <row r="4186" customFormat="false" ht="15" hidden="false" customHeight="false" outlineLevel="0" collapsed="false">
      <c r="A4186" s="0" t="n">
        <v>4165</v>
      </c>
      <c r="B4186" s="0" t="s">
        <v>86</v>
      </c>
      <c r="C4186" s="17" t="n">
        <v>-0.472400488045954</v>
      </c>
      <c r="D4186" s="17" t="n">
        <f aca="false">(C4186-$B$4)/($B$6/SQRT($B$7))</f>
        <v>-2.36200244022977</v>
      </c>
      <c r="E4186" s="0" t="str">
        <f aca="false">IF(OR(AND($B$9="superior",D4186&gt;$B$10),AND($B$9="inferior",D4186&lt;-$B$10)),"Rechazar H0","No rechazar H0")</f>
        <v>Rechazar H0</v>
      </c>
      <c r="F4186" s="0" t="str">
        <f aca="false">IF(AND(B4186="H0 verdadera",E4186="Rechazar H0"),"Error tipo I",IF(AND(B4186="Ha verdadera",E4186="No rechazar H0"),"Error tipo II","Decisión correcta"))</f>
        <v>Decisión correcta</v>
      </c>
    </row>
    <row r="4187" customFormat="false" ht="15" hidden="false" customHeight="false" outlineLevel="0" collapsed="false">
      <c r="A4187" s="0" t="n">
        <v>4166</v>
      </c>
      <c r="B4187" s="0" t="s">
        <v>86</v>
      </c>
      <c r="C4187" s="17" t="n">
        <v>-0.0352355139964723</v>
      </c>
      <c r="D4187" s="17" t="n">
        <f aca="false">(C4187-$B$4)/($B$6/SQRT($B$7))</f>
        <v>-0.176177569982361</v>
      </c>
      <c r="E4187" s="0" t="str">
        <f aca="false">IF(OR(AND($B$9="superior",D4187&gt;$B$10),AND($B$9="inferior",D4187&lt;-$B$10)),"Rechazar H0","No rechazar H0")</f>
        <v>No rechazar H0</v>
      </c>
      <c r="F4187" s="0" t="str">
        <f aca="false">IF(AND(B4187="H0 verdadera",E4187="Rechazar H0"),"Error tipo I",IF(AND(B4187="Ha verdadera",E4187="No rechazar H0"),"Error tipo II","Decisión correcta"))</f>
        <v>Error tipo II</v>
      </c>
    </row>
    <row r="4188" customFormat="false" ht="15" hidden="false" customHeight="false" outlineLevel="0" collapsed="false">
      <c r="A4188" s="0" t="n">
        <v>4167</v>
      </c>
      <c r="B4188" s="0" t="s">
        <v>86</v>
      </c>
      <c r="C4188" s="17" t="n">
        <v>-0.148729693352637</v>
      </c>
      <c r="D4188" s="17" t="n">
        <f aca="false">(C4188-$B$4)/($B$6/SQRT($B$7))</f>
        <v>-0.743648466763187</v>
      </c>
      <c r="E4188" s="0" t="str">
        <f aca="false">IF(OR(AND($B$9="superior",D4188&gt;$B$10),AND($B$9="inferior",D4188&lt;-$B$10)),"Rechazar H0","No rechazar H0")</f>
        <v>No rechazar H0</v>
      </c>
      <c r="F4188" s="0" t="str">
        <f aca="false">IF(AND(B4188="H0 verdadera",E4188="Rechazar H0"),"Error tipo I",IF(AND(B4188="Ha verdadera",E4188="No rechazar H0"),"Error tipo II","Decisión correcta"))</f>
        <v>Error tipo II</v>
      </c>
    </row>
    <row r="4189" customFormat="false" ht="15" hidden="false" customHeight="false" outlineLevel="0" collapsed="false">
      <c r="A4189" s="0" t="n">
        <v>4168</v>
      </c>
      <c r="B4189" s="0" t="s">
        <v>86</v>
      </c>
      <c r="C4189" s="17" t="n">
        <v>-0.149332578098538</v>
      </c>
      <c r="D4189" s="17" t="n">
        <f aca="false">(C4189-$B$4)/($B$6/SQRT($B$7))</f>
        <v>-0.746662890492692</v>
      </c>
      <c r="E4189" s="0" t="str">
        <f aca="false">IF(OR(AND($B$9="superior",D4189&gt;$B$10),AND($B$9="inferior",D4189&lt;-$B$10)),"Rechazar H0","No rechazar H0")</f>
        <v>No rechazar H0</v>
      </c>
      <c r="F4189" s="0" t="str">
        <f aca="false">IF(AND(B4189="H0 verdadera",E4189="Rechazar H0"),"Error tipo I",IF(AND(B4189="Ha verdadera",E4189="No rechazar H0"),"Error tipo II","Decisión correcta"))</f>
        <v>Error tipo II</v>
      </c>
    </row>
    <row r="4190" customFormat="false" ht="15" hidden="false" customHeight="false" outlineLevel="0" collapsed="false">
      <c r="A4190" s="0" t="n">
        <v>4169</v>
      </c>
      <c r="B4190" s="0" t="s">
        <v>86</v>
      </c>
      <c r="C4190" s="17" t="n">
        <v>-0.551545566649097</v>
      </c>
      <c r="D4190" s="17" t="n">
        <f aca="false">(C4190-$B$4)/($B$6/SQRT($B$7))</f>
        <v>-2.75772783324548</v>
      </c>
      <c r="E4190" s="0" t="str">
        <f aca="false">IF(OR(AND($B$9="superior",D4190&gt;$B$10),AND($B$9="inferior",D4190&lt;-$B$10)),"Rechazar H0","No rechazar H0")</f>
        <v>Rechazar H0</v>
      </c>
      <c r="F4190" s="0" t="str">
        <f aca="false">IF(AND(B4190="H0 verdadera",E4190="Rechazar H0"),"Error tipo I",IF(AND(B4190="Ha verdadera",E4190="No rechazar H0"),"Error tipo II","Decisión correcta"))</f>
        <v>Decisión correcta</v>
      </c>
    </row>
    <row r="4191" customFormat="false" ht="15" hidden="false" customHeight="false" outlineLevel="0" collapsed="false">
      <c r="A4191" s="0" t="n">
        <v>4170</v>
      </c>
      <c r="B4191" s="0" t="s">
        <v>86</v>
      </c>
      <c r="C4191" s="17" t="n">
        <v>-0.4641696038505</v>
      </c>
      <c r="D4191" s="17" t="n">
        <f aca="false">(C4191-$B$4)/($B$6/SQRT($B$7))</f>
        <v>-2.3208480192525</v>
      </c>
      <c r="E4191" s="0" t="str">
        <f aca="false">IF(OR(AND($B$9="superior",D4191&gt;$B$10),AND($B$9="inferior",D4191&lt;-$B$10)),"Rechazar H0","No rechazar H0")</f>
        <v>Rechazar H0</v>
      </c>
      <c r="F4191" s="0" t="str">
        <f aca="false">IF(AND(B4191="H0 verdadera",E4191="Rechazar H0"),"Error tipo I",IF(AND(B4191="Ha verdadera",E4191="No rechazar H0"),"Error tipo II","Decisión correcta"))</f>
        <v>Decisión correcta</v>
      </c>
    </row>
    <row r="4192" customFormat="false" ht="15" hidden="false" customHeight="false" outlineLevel="0" collapsed="false">
      <c r="A4192" s="0" t="n">
        <v>4171</v>
      </c>
      <c r="B4192" s="0" t="s">
        <v>86</v>
      </c>
      <c r="C4192" s="17" t="n">
        <v>-0.614983822783747</v>
      </c>
      <c r="D4192" s="17" t="n">
        <f aca="false">(C4192-$B$4)/($B$6/SQRT($B$7))</f>
        <v>-3.07491911391873</v>
      </c>
      <c r="E4192" s="0" t="str">
        <f aca="false">IF(OR(AND($B$9="superior",D4192&gt;$B$10),AND($B$9="inferior",D4192&lt;-$B$10)),"Rechazar H0","No rechazar H0")</f>
        <v>Rechazar H0</v>
      </c>
      <c r="F4192" s="0" t="str">
        <f aca="false">IF(AND(B4192="H0 verdadera",E4192="Rechazar H0"),"Error tipo I",IF(AND(B4192="Ha verdadera",E4192="No rechazar H0"),"Error tipo II","Decisión correcta"))</f>
        <v>Decisión correcta</v>
      </c>
    </row>
    <row r="4193" customFormat="false" ht="15" hidden="false" customHeight="false" outlineLevel="0" collapsed="false">
      <c r="A4193" s="0" t="n">
        <v>4172</v>
      </c>
      <c r="B4193" s="0" t="s">
        <v>85</v>
      </c>
      <c r="C4193" s="17" t="n">
        <v>-0.0935602474717657</v>
      </c>
      <c r="D4193" s="17" t="n">
        <f aca="false">(C4193-$B$4)/($B$6/SQRT($B$7))</f>
        <v>-0.467801237358829</v>
      </c>
      <c r="E4193" s="0" t="str">
        <f aca="false">IF(OR(AND($B$9="superior",D4193&gt;$B$10),AND($B$9="inferior",D4193&lt;-$B$10)),"Rechazar H0","No rechazar H0")</f>
        <v>No rechazar H0</v>
      </c>
      <c r="F4193" s="0" t="str">
        <f aca="false">IF(AND(B4193="H0 verdadera",E4193="Rechazar H0"),"Error tipo I",IF(AND(B4193="Ha verdadera",E4193="No rechazar H0"),"Error tipo II","Decisión correcta"))</f>
        <v>Decisión correcta</v>
      </c>
    </row>
    <row r="4194" customFormat="false" ht="15" hidden="false" customHeight="false" outlineLevel="0" collapsed="false">
      <c r="A4194" s="0" t="n">
        <v>4173</v>
      </c>
      <c r="B4194" s="0" t="s">
        <v>86</v>
      </c>
      <c r="C4194" s="17" t="n">
        <v>-0.432422618244083</v>
      </c>
      <c r="D4194" s="17" t="n">
        <f aca="false">(C4194-$B$4)/($B$6/SQRT($B$7))</f>
        <v>-2.16211309122042</v>
      </c>
      <c r="E4194" s="0" t="str">
        <f aca="false">IF(OR(AND($B$9="superior",D4194&gt;$B$10),AND($B$9="inferior",D4194&lt;-$B$10)),"Rechazar H0","No rechazar H0")</f>
        <v>Rechazar H0</v>
      </c>
      <c r="F4194" s="0" t="str">
        <f aca="false">IF(AND(B4194="H0 verdadera",E4194="Rechazar H0"),"Error tipo I",IF(AND(B4194="Ha verdadera",E4194="No rechazar H0"),"Error tipo II","Decisión correcta"))</f>
        <v>Decisión correcta</v>
      </c>
    </row>
    <row r="4195" customFormat="false" ht="15" hidden="false" customHeight="false" outlineLevel="0" collapsed="false">
      <c r="A4195" s="0" t="n">
        <v>4174</v>
      </c>
      <c r="B4195" s="0" t="s">
        <v>86</v>
      </c>
      <c r="C4195" s="17" t="n">
        <v>-0.264234157822766</v>
      </c>
      <c r="D4195" s="17" t="n">
        <f aca="false">(C4195-$B$4)/($B$6/SQRT($B$7))</f>
        <v>-1.32117078911383</v>
      </c>
      <c r="E4195" s="0" t="str">
        <f aca="false">IF(OR(AND($B$9="superior",D4195&gt;$B$10),AND($B$9="inferior",D4195&lt;-$B$10)),"Rechazar H0","No rechazar H0")</f>
        <v>No rechazar H0</v>
      </c>
      <c r="F4195" s="0" t="str">
        <f aca="false">IF(AND(B4195="H0 verdadera",E4195="Rechazar H0"),"Error tipo I",IF(AND(B4195="Ha verdadera",E4195="No rechazar H0"),"Error tipo II","Decisión correcta"))</f>
        <v>Error tipo II</v>
      </c>
    </row>
    <row r="4196" customFormat="false" ht="15" hidden="false" customHeight="false" outlineLevel="0" collapsed="false">
      <c r="A4196" s="0" t="n">
        <v>4175</v>
      </c>
      <c r="B4196" s="0" t="s">
        <v>85</v>
      </c>
      <c r="C4196" s="17" t="n">
        <v>-0.221186198858541</v>
      </c>
      <c r="D4196" s="17" t="n">
        <f aca="false">(C4196-$B$4)/($B$6/SQRT($B$7))</f>
        <v>-1.1059309942927</v>
      </c>
      <c r="E4196" s="0" t="str">
        <f aca="false">IF(OR(AND($B$9="superior",D4196&gt;$B$10),AND($B$9="inferior",D4196&lt;-$B$10)),"Rechazar H0","No rechazar H0")</f>
        <v>No rechazar H0</v>
      </c>
      <c r="F4196" s="0" t="str">
        <f aca="false">IF(AND(B4196="H0 verdadera",E4196="Rechazar H0"),"Error tipo I",IF(AND(B4196="Ha verdadera",E4196="No rechazar H0"),"Error tipo II","Decisión correcta"))</f>
        <v>Decisión correcta</v>
      </c>
    </row>
    <row r="4197" customFormat="false" ht="15" hidden="false" customHeight="false" outlineLevel="0" collapsed="false">
      <c r="A4197" s="0" t="n">
        <v>4176</v>
      </c>
      <c r="B4197" s="0" t="s">
        <v>85</v>
      </c>
      <c r="C4197" s="17" t="n">
        <v>0.361331489930607</v>
      </c>
      <c r="D4197" s="17" t="n">
        <f aca="false">(C4197-$B$4)/($B$6/SQRT($B$7))</f>
        <v>1.80665744965304</v>
      </c>
      <c r="E4197" s="0" t="str">
        <f aca="false">IF(OR(AND($B$9="superior",D4197&gt;$B$10),AND($B$9="inferior",D4197&lt;-$B$10)),"Rechazar H0","No rechazar H0")</f>
        <v>No rechazar H0</v>
      </c>
      <c r="F4197" s="0" t="str">
        <f aca="false">IF(AND(B4197="H0 verdadera",E4197="Rechazar H0"),"Error tipo I",IF(AND(B4197="Ha verdadera",E4197="No rechazar H0"),"Error tipo II","Decisión correcta"))</f>
        <v>Decisión correcta</v>
      </c>
    </row>
    <row r="4198" customFormat="false" ht="15" hidden="false" customHeight="false" outlineLevel="0" collapsed="false">
      <c r="A4198" s="0" t="n">
        <v>4177</v>
      </c>
      <c r="B4198" s="0" t="s">
        <v>85</v>
      </c>
      <c r="C4198" s="17" t="n">
        <v>-0.236639028548363</v>
      </c>
      <c r="D4198" s="17" t="n">
        <f aca="false">(C4198-$B$4)/($B$6/SQRT($B$7))</f>
        <v>-1.18319514274181</v>
      </c>
      <c r="E4198" s="0" t="str">
        <f aca="false">IF(OR(AND($B$9="superior",D4198&gt;$B$10),AND($B$9="inferior",D4198&lt;-$B$10)),"Rechazar H0","No rechazar H0")</f>
        <v>No rechazar H0</v>
      </c>
      <c r="F4198" s="0" t="str">
        <f aca="false">IF(AND(B4198="H0 verdadera",E4198="Rechazar H0"),"Error tipo I",IF(AND(B4198="Ha verdadera",E4198="No rechazar H0"),"Error tipo II","Decisión correcta"))</f>
        <v>Decisión correcta</v>
      </c>
    </row>
    <row r="4199" customFormat="false" ht="15" hidden="false" customHeight="false" outlineLevel="0" collapsed="false">
      <c r="A4199" s="0" t="n">
        <v>4178</v>
      </c>
      <c r="B4199" s="0" t="s">
        <v>85</v>
      </c>
      <c r="C4199" s="17" t="n">
        <v>-0.00102062936520714</v>
      </c>
      <c r="D4199" s="17" t="n">
        <f aca="false">(C4199-$B$4)/($B$6/SQRT($B$7))</f>
        <v>-0.00510314682603572</v>
      </c>
      <c r="E4199" s="0" t="str">
        <f aca="false">IF(OR(AND($B$9="superior",D4199&gt;$B$10),AND($B$9="inferior",D4199&lt;-$B$10)),"Rechazar H0","No rechazar H0")</f>
        <v>No rechazar H0</v>
      </c>
      <c r="F4199" s="0" t="str">
        <f aca="false">IF(AND(B4199="H0 verdadera",E4199="Rechazar H0"),"Error tipo I",IF(AND(B4199="Ha verdadera",E4199="No rechazar H0"),"Error tipo II","Decisión correcta"))</f>
        <v>Decisión correcta</v>
      </c>
    </row>
    <row r="4200" customFormat="false" ht="15" hidden="false" customHeight="false" outlineLevel="0" collapsed="false">
      <c r="A4200" s="0" t="n">
        <v>4179</v>
      </c>
      <c r="B4200" s="0" t="s">
        <v>85</v>
      </c>
      <c r="C4200" s="17" t="n">
        <v>0.0844842552968431</v>
      </c>
      <c r="D4200" s="17" t="n">
        <f aca="false">(C4200-$B$4)/($B$6/SQRT($B$7))</f>
        <v>0.422421276484216</v>
      </c>
      <c r="E4200" s="0" t="str">
        <f aca="false">IF(OR(AND($B$9="superior",D4200&gt;$B$10),AND($B$9="inferior",D4200&lt;-$B$10)),"Rechazar H0","No rechazar H0")</f>
        <v>No rechazar H0</v>
      </c>
      <c r="F4200" s="0" t="str">
        <f aca="false">IF(AND(B4200="H0 verdadera",E4200="Rechazar H0"),"Error tipo I",IF(AND(B4200="Ha verdadera",E4200="No rechazar H0"),"Error tipo II","Decisión correcta"))</f>
        <v>Decisión correcta</v>
      </c>
    </row>
    <row r="4201" customFormat="false" ht="15" hidden="false" customHeight="false" outlineLevel="0" collapsed="false">
      <c r="A4201" s="0" t="n">
        <v>4180</v>
      </c>
      <c r="B4201" s="0" t="s">
        <v>85</v>
      </c>
      <c r="C4201" s="17" t="n">
        <v>-0.0480048039760516</v>
      </c>
      <c r="D4201" s="17" t="n">
        <f aca="false">(C4201-$B$4)/($B$6/SQRT($B$7))</f>
        <v>-0.240024019880258</v>
      </c>
      <c r="E4201" s="0" t="str">
        <f aca="false">IF(OR(AND($B$9="superior",D4201&gt;$B$10),AND($B$9="inferior",D4201&lt;-$B$10)),"Rechazar H0","No rechazar H0")</f>
        <v>No rechazar H0</v>
      </c>
      <c r="F4201" s="0" t="str">
        <f aca="false">IF(AND(B4201="H0 verdadera",E4201="Rechazar H0"),"Error tipo I",IF(AND(B4201="Ha verdadera",E4201="No rechazar H0"),"Error tipo II","Decisión correcta"))</f>
        <v>Decisión correcta</v>
      </c>
    </row>
    <row r="4202" customFormat="false" ht="15" hidden="false" customHeight="false" outlineLevel="0" collapsed="false">
      <c r="A4202" s="0" t="n">
        <v>4181</v>
      </c>
      <c r="B4202" s="0" t="s">
        <v>85</v>
      </c>
      <c r="C4202" s="17" t="n">
        <v>-0.0628697286003152</v>
      </c>
      <c r="D4202" s="17" t="n">
        <f aca="false">(C4202-$B$4)/($B$6/SQRT($B$7))</f>
        <v>-0.314348643001576</v>
      </c>
      <c r="E4202" s="0" t="str">
        <f aca="false">IF(OR(AND($B$9="superior",D4202&gt;$B$10),AND($B$9="inferior",D4202&lt;-$B$10)),"Rechazar H0","No rechazar H0")</f>
        <v>No rechazar H0</v>
      </c>
      <c r="F4202" s="0" t="str">
        <f aca="false">IF(AND(B4202="H0 verdadera",E4202="Rechazar H0"),"Error tipo I",IF(AND(B4202="Ha verdadera",E4202="No rechazar H0"),"Error tipo II","Decisión correcta"))</f>
        <v>Decisión correcta</v>
      </c>
    </row>
    <row r="4203" customFormat="false" ht="15" hidden="false" customHeight="false" outlineLevel="0" collapsed="false">
      <c r="A4203" s="0" t="n">
        <v>4182</v>
      </c>
      <c r="B4203" s="0" t="s">
        <v>86</v>
      </c>
      <c r="C4203" s="17" t="n">
        <v>-0.515201924903842</v>
      </c>
      <c r="D4203" s="17" t="n">
        <f aca="false">(C4203-$B$4)/($B$6/SQRT($B$7))</f>
        <v>-2.57600962451921</v>
      </c>
      <c r="E4203" s="0" t="str">
        <f aca="false">IF(OR(AND($B$9="superior",D4203&gt;$B$10),AND($B$9="inferior",D4203&lt;-$B$10)),"Rechazar H0","No rechazar H0")</f>
        <v>Rechazar H0</v>
      </c>
      <c r="F4203" s="0" t="str">
        <f aca="false">IF(AND(B4203="H0 verdadera",E4203="Rechazar H0"),"Error tipo I",IF(AND(B4203="Ha verdadera",E4203="No rechazar H0"),"Error tipo II","Decisión correcta"))</f>
        <v>Decisión correcta</v>
      </c>
    </row>
    <row r="4204" customFormat="false" ht="15" hidden="false" customHeight="false" outlineLevel="0" collapsed="false">
      <c r="A4204" s="0" t="n">
        <v>4183</v>
      </c>
      <c r="B4204" s="0" t="s">
        <v>85</v>
      </c>
      <c r="C4204" s="17" t="n">
        <v>0.0557016346047346</v>
      </c>
      <c r="D4204" s="17" t="n">
        <f aca="false">(C4204-$B$4)/($B$6/SQRT($B$7))</f>
        <v>0.278508173023673</v>
      </c>
      <c r="E4204" s="0" t="str">
        <f aca="false">IF(OR(AND($B$9="superior",D4204&gt;$B$10),AND($B$9="inferior",D4204&lt;-$B$10)),"Rechazar H0","No rechazar H0")</f>
        <v>No rechazar H0</v>
      </c>
      <c r="F4204" s="0" t="str">
        <f aca="false">IF(AND(B4204="H0 verdadera",E4204="Rechazar H0"),"Error tipo I",IF(AND(B4204="Ha verdadera",E4204="No rechazar H0"),"Error tipo II","Decisión correcta"))</f>
        <v>Decisión correcta</v>
      </c>
    </row>
    <row r="4205" customFormat="false" ht="15" hidden="false" customHeight="false" outlineLevel="0" collapsed="false">
      <c r="A4205" s="0" t="n">
        <v>4184</v>
      </c>
      <c r="B4205" s="0" t="s">
        <v>86</v>
      </c>
      <c r="C4205" s="17" t="n">
        <v>-0.383304702586617</v>
      </c>
      <c r="D4205" s="17" t="n">
        <f aca="false">(C4205-$B$4)/($B$6/SQRT($B$7))</f>
        <v>-1.91652351293308</v>
      </c>
      <c r="E4205" s="0" t="str">
        <f aca="false">IF(OR(AND($B$9="superior",D4205&gt;$B$10),AND($B$9="inferior",D4205&lt;-$B$10)),"Rechazar H0","No rechazar H0")</f>
        <v>Rechazar H0</v>
      </c>
      <c r="F4205" s="0" t="str">
        <f aca="false">IF(AND(B4205="H0 verdadera",E4205="Rechazar H0"),"Error tipo I",IF(AND(B4205="Ha verdadera",E4205="No rechazar H0"),"Error tipo II","Decisión correcta"))</f>
        <v>Decisión correcta</v>
      </c>
    </row>
    <row r="4206" customFormat="false" ht="15" hidden="false" customHeight="false" outlineLevel="0" collapsed="false">
      <c r="A4206" s="0" t="n">
        <v>4185</v>
      </c>
      <c r="B4206" s="0" t="s">
        <v>86</v>
      </c>
      <c r="C4206" s="17" t="n">
        <v>-0.239722058809105</v>
      </c>
      <c r="D4206" s="17" t="n">
        <f aca="false">(C4206-$B$4)/($B$6/SQRT($B$7))</f>
        <v>-1.19861029404552</v>
      </c>
      <c r="E4206" s="0" t="str">
        <f aca="false">IF(OR(AND($B$9="superior",D4206&gt;$B$10),AND($B$9="inferior",D4206&lt;-$B$10)),"Rechazar H0","No rechazar H0")</f>
        <v>No rechazar H0</v>
      </c>
      <c r="F4206" s="0" t="str">
        <f aca="false">IF(AND(B4206="H0 verdadera",E4206="Rechazar H0"),"Error tipo I",IF(AND(B4206="Ha verdadera",E4206="No rechazar H0"),"Error tipo II","Decisión correcta"))</f>
        <v>Error tipo II</v>
      </c>
    </row>
    <row r="4207" customFormat="false" ht="15" hidden="false" customHeight="false" outlineLevel="0" collapsed="false">
      <c r="A4207" s="0" t="n">
        <v>4186</v>
      </c>
      <c r="B4207" s="0" t="s">
        <v>85</v>
      </c>
      <c r="C4207" s="17" t="n">
        <v>-0.121045234248043</v>
      </c>
      <c r="D4207" s="17" t="n">
        <f aca="false">(C4207-$B$4)/($B$6/SQRT($B$7))</f>
        <v>-0.605226171240213</v>
      </c>
      <c r="E4207" s="0" t="str">
        <f aca="false">IF(OR(AND($B$9="superior",D4207&gt;$B$10),AND($B$9="inferior",D4207&lt;-$B$10)),"Rechazar H0","No rechazar H0")</f>
        <v>No rechazar H0</v>
      </c>
      <c r="F4207" s="0" t="str">
        <f aca="false">IF(AND(B4207="H0 verdadera",E4207="Rechazar H0"),"Error tipo I",IF(AND(B4207="Ha verdadera",E4207="No rechazar H0"),"Error tipo II","Decisión correcta"))</f>
        <v>Decisión correcta</v>
      </c>
    </row>
    <row r="4208" customFormat="false" ht="15" hidden="false" customHeight="false" outlineLevel="0" collapsed="false">
      <c r="A4208" s="0" t="n">
        <v>4187</v>
      </c>
      <c r="B4208" s="0" t="s">
        <v>85</v>
      </c>
      <c r="C4208" s="17" t="n">
        <v>0.259867932704162</v>
      </c>
      <c r="D4208" s="17" t="n">
        <f aca="false">(C4208-$B$4)/($B$6/SQRT($B$7))</f>
        <v>1.29933966352081</v>
      </c>
      <c r="E4208" s="0" t="str">
        <f aca="false">IF(OR(AND($B$9="superior",D4208&gt;$B$10),AND($B$9="inferior",D4208&lt;-$B$10)),"Rechazar H0","No rechazar H0")</f>
        <v>No rechazar H0</v>
      </c>
      <c r="F4208" s="0" t="str">
        <f aca="false">IF(AND(B4208="H0 verdadera",E4208="Rechazar H0"),"Error tipo I",IF(AND(B4208="Ha verdadera",E4208="No rechazar H0"),"Error tipo II","Decisión correcta"))</f>
        <v>Decisión correcta</v>
      </c>
    </row>
    <row r="4209" customFormat="false" ht="15" hidden="false" customHeight="false" outlineLevel="0" collapsed="false">
      <c r="A4209" s="0" t="n">
        <v>4188</v>
      </c>
      <c r="B4209" s="0" t="s">
        <v>86</v>
      </c>
      <c r="C4209" s="17" t="n">
        <v>-0.288885041194</v>
      </c>
      <c r="D4209" s="17" t="n">
        <f aca="false">(C4209-$B$4)/($B$6/SQRT($B$7))</f>
        <v>-1.44442520597</v>
      </c>
      <c r="E4209" s="0" t="str">
        <f aca="false">IF(OR(AND($B$9="superior",D4209&gt;$B$10),AND($B$9="inferior",D4209&lt;-$B$10)),"Rechazar H0","No rechazar H0")</f>
        <v>No rechazar H0</v>
      </c>
      <c r="F4209" s="0" t="str">
        <f aca="false">IF(AND(B4209="H0 verdadera",E4209="Rechazar H0"),"Error tipo I",IF(AND(B4209="Ha verdadera",E4209="No rechazar H0"),"Error tipo II","Decisión correcta"))</f>
        <v>Error tipo II</v>
      </c>
    </row>
    <row r="4210" customFormat="false" ht="15" hidden="false" customHeight="false" outlineLevel="0" collapsed="false">
      <c r="A4210" s="0" t="n">
        <v>4189</v>
      </c>
      <c r="B4210" s="0" t="s">
        <v>85</v>
      </c>
      <c r="C4210" s="17" t="n">
        <v>-0.465123376095392</v>
      </c>
      <c r="D4210" s="17" t="n">
        <f aca="false">(C4210-$B$4)/($B$6/SQRT($B$7))</f>
        <v>-2.32561688047696</v>
      </c>
      <c r="E4210" s="0" t="str">
        <f aca="false">IF(OR(AND($B$9="superior",D4210&gt;$B$10),AND($B$9="inferior",D4210&lt;-$B$10)),"Rechazar H0","No rechazar H0")</f>
        <v>Rechazar H0</v>
      </c>
      <c r="F4210" s="0" t="str">
        <f aca="false">IF(AND(B4210="H0 verdadera",E4210="Rechazar H0"),"Error tipo I",IF(AND(B4210="Ha verdadera",E4210="No rechazar H0"),"Error tipo II","Decisión correcta"))</f>
        <v>Error tipo I</v>
      </c>
    </row>
    <row r="4211" customFormat="false" ht="15" hidden="false" customHeight="false" outlineLevel="0" collapsed="false">
      <c r="A4211" s="0" t="n">
        <v>4190</v>
      </c>
      <c r="B4211" s="0" t="s">
        <v>86</v>
      </c>
      <c r="C4211" s="17" t="n">
        <v>-0.293698865969115</v>
      </c>
      <c r="D4211" s="17" t="n">
        <f aca="false">(C4211-$B$4)/($B$6/SQRT($B$7))</f>
        <v>-1.46849432984557</v>
      </c>
      <c r="E4211" s="0" t="str">
        <f aca="false">IF(OR(AND($B$9="superior",D4211&gt;$B$10),AND($B$9="inferior",D4211&lt;-$B$10)),"Rechazar H0","No rechazar H0")</f>
        <v>No rechazar H0</v>
      </c>
      <c r="F4211" s="0" t="str">
        <f aca="false">IF(AND(B4211="H0 verdadera",E4211="Rechazar H0"),"Error tipo I",IF(AND(B4211="Ha verdadera",E4211="No rechazar H0"),"Error tipo II","Decisión correcta"))</f>
        <v>Error tipo II</v>
      </c>
    </row>
    <row r="4212" customFormat="false" ht="15" hidden="false" customHeight="false" outlineLevel="0" collapsed="false">
      <c r="A4212" s="0" t="n">
        <v>4191</v>
      </c>
      <c r="B4212" s="0" t="s">
        <v>86</v>
      </c>
      <c r="C4212" s="17" t="n">
        <v>-0.256416773264652</v>
      </c>
      <c r="D4212" s="17" t="n">
        <f aca="false">(C4212-$B$4)/($B$6/SQRT($B$7))</f>
        <v>-1.28208386632326</v>
      </c>
      <c r="E4212" s="0" t="str">
        <f aca="false">IF(OR(AND($B$9="superior",D4212&gt;$B$10),AND($B$9="inferior",D4212&lt;-$B$10)),"Rechazar H0","No rechazar H0")</f>
        <v>No rechazar H0</v>
      </c>
      <c r="F4212" s="0" t="str">
        <f aca="false">IF(AND(B4212="H0 verdadera",E4212="Rechazar H0"),"Error tipo I",IF(AND(B4212="Ha verdadera",E4212="No rechazar H0"),"Error tipo II","Decisión correcta"))</f>
        <v>Error tipo II</v>
      </c>
    </row>
    <row r="4213" customFormat="false" ht="15" hidden="false" customHeight="false" outlineLevel="0" collapsed="false">
      <c r="A4213" s="0" t="n">
        <v>4192</v>
      </c>
      <c r="B4213" s="0" t="s">
        <v>85</v>
      </c>
      <c r="C4213" s="17" t="n">
        <v>0.00289801028182198</v>
      </c>
      <c r="D4213" s="17" t="n">
        <f aca="false">(C4213-$B$4)/($B$6/SQRT($B$7))</f>
        <v>0.0144900514091099</v>
      </c>
      <c r="E4213" s="0" t="str">
        <f aca="false">IF(OR(AND($B$9="superior",D4213&gt;$B$10),AND($B$9="inferior",D4213&lt;-$B$10)),"Rechazar H0","No rechazar H0")</f>
        <v>No rechazar H0</v>
      </c>
      <c r="F4213" s="0" t="str">
        <f aca="false">IF(AND(B4213="H0 verdadera",E4213="Rechazar H0"),"Error tipo I",IF(AND(B4213="Ha verdadera",E4213="No rechazar H0"),"Error tipo II","Decisión correcta"))</f>
        <v>Decisión correcta</v>
      </c>
    </row>
    <row r="4214" customFormat="false" ht="15" hidden="false" customHeight="false" outlineLevel="0" collapsed="false">
      <c r="A4214" s="0" t="n">
        <v>4193</v>
      </c>
      <c r="B4214" s="0" t="s">
        <v>86</v>
      </c>
      <c r="C4214" s="17" t="n">
        <v>0.0632207783717821</v>
      </c>
      <c r="D4214" s="17" t="n">
        <f aca="false">(C4214-$B$4)/($B$6/SQRT($B$7))</f>
        <v>0.316103891858911</v>
      </c>
      <c r="E4214" s="0" t="str">
        <f aca="false">IF(OR(AND($B$9="superior",D4214&gt;$B$10),AND($B$9="inferior",D4214&lt;-$B$10)),"Rechazar H0","No rechazar H0")</f>
        <v>No rechazar H0</v>
      </c>
      <c r="F4214" s="0" t="str">
        <f aca="false">IF(AND(B4214="H0 verdadera",E4214="Rechazar H0"),"Error tipo I",IF(AND(B4214="Ha verdadera",E4214="No rechazar H0"),"Error tipo II","Decisión correcta"))</f>
        <v>Error tipo II</v>
      </c>
    </row>
    <row r="4215" customFormat="false" ht="15" hidden="false" customHeight="false" outlineLevel="0" collapsed="false">
      <c r="A4215" s="0" t="n">
        <v>4194</v>
      </c>
      <c r="B4215" s="0" t="s">
        <v>86</v>
      </c>
      <c r="C4215" s="17" t="n">
        <v>-0.345383622193843</v>
      </c>
      <c r="D4215" s="17" t="n">
        <f aca="false">(C4215-$B$4)/($B$6/SQRT($B$7))</f>
        <v>-1.72691811096921</v>
      </c>
      <c r="E4215" s="0" t="str">
        <f aca="false">IF(OR(AND($B$9="superior",D4215&gt;$B$10),AND($B$9="inferior",D4215&lt;-$B$10)),"Rechazar H0","No rechazar H0")</f>
        <v>Rechazar H0</v>
      </c>
      <c r="F4215" s="0" t="str">
        <f aca="false">IF(AND(B4215="H0 verdadera",E4215="Rechazar H0"),"Error tipo I",IF(AND(B4215="Ha verdadera",E4215="No rechazar H0"),"Error tipo II","Decisión correcta"))</f>
        <v>Decisión correcta</v>
      </c>
    </row>
    <row r="4216" customFormat="false" ht="15" hidden="false" customHeight="false" outlineLevel="0" collapsed="false">
      <c r="A4216" s="0" t="n">
        <v>4195</v>
      </c>
      <c r="B4216" s="0" t="s">
        <v>86</v>
      </c>
      <c r="C4216" s="17" t="n">
        <v>-0.0761668039550709</v>
      </c>
      <c r="D4216" s="17" t="n">
        <f aca="false">(C4216-$B$4)/($B$6/SQRT($B$7))</f>
        <v>-0.380834019775354</v>
      </c>
      <c r="E4216" s="0" t="str">
        <f aca="false">IF(OR(AND($B$9="superior",D4216&gt;$B$10),AND($B$9="inferior",D4216&lt;-$B$10)),"Rechazar H0","No rechazar H0")</f>
        <v>No rechazar H0</v>
      </c>
      <c r="F4216" s="0" t="str">
        <f aca="false">IF(AND(B4216="H0 verdadera",E4216="Rechazar H0"),"Error tipo I",IF(AND(B4216="Ha verdadera",E4216="No rechazar H0"),"Error tipo II","Decisión correcta"))</f>
        <v>Error tipo II</v>
      </c>
    </row>
    <row r="4217" customFormat="false" ht="15" hidden="false" customHeight="false" outlineLevel="0" collapsed="false">
      <c r="A4217" s="0" t="n">
        <v>4196</v>
      </c>
      <c r="B4217" s="0" t="s">
        <v>86</v>
      </c>
      <c r="C4217" s="17" t="n">
        <v>-0.204070337823384</v>
      </c>
      <c r="D4217" s="17" t="n">
        <f aca="false">(C4217-$B$4)/($B$6/SQRT($B$7))</f>
        <v>-1.02035168911692</v>
      </c>
      <c r="E4217" s="0" t="str">
        <f aca="false">IF(OR(AND($B$9="superior",D4217&gt;$B$10),AND($B$9="inferior",D4217&lt;-$B$10)),"Rechazar H0","No rechazar H0")</f>
        <v>No rechazar H0</v>
      </c>
      <c r="F4217" s="0" t="str">
        <f aca="false">IF(AND(B4217="H0 verdadera",E4217="Rechazar H0"),"Error tipo I",IF(AND(B4217="Ha verdadera",E4217="No rechazar H0"),"Error tipo II","Decisión correcta"))</f>
        <v>Error tipo II</v>
      </c>
    </row>
    <row r="4218" customFormat="false" ht="15" hidden="false" customHeight="false" outlineLevel="0" collapsed="false">
      <c r="A4218" s="0" t="n">
        <v>4197</v>
      </c>
      <c r="B4218" s="0" t="s">
        <v>85</v>
      </c>
      <c r="C4218" s="17" t="n">
        <v>0.141079404099975</v>
      </c>
      <c r="D4218" s="17" t="n">
        <f aca="false">(C4218-$B$4)/($B$6/SQRT($B$7))</f>
        <v>0.705397020499875</v>
      </c>
      <c r="E4218" s="0" t="str">
        <f aca="false">IF(OR(AND($B$9="superior",D4218&gt;$B$10),AND($B$9="inferior",D4218&lt;-$B$10)),"Rechazar H0","No rechazar H0")</f>
        <v>No rechazar H0</v>
      </c>
      <c r="F4218" s="0" t="str">
        <f aca="false">IF(AND(B4218="H0 verdadera",E4218="Rechazar H0"),"Error tipo I",IF(AND(B4218="Ha verdadera",E4218="No rechazar H0"),"Error tipo II","Decisión correcta"))</f>
        <v>Decisión correcta</v>
      </c>
    </row>
    <row r="4219" customFormat="false" ht="15" hidden="false" customHeight="false" outlineLevel="0" collapsed="false">
      <c r="A4219" s="0" t="n">
        <v>4198</v>
      </c>
      <c r="B4219" s="0" t="s">
        <v>86</v>
      </c>
      <c r="C4219" s="17" t="n">
        <v>-0.456808273035713</v>
      </c>
      <c r="D4219" s="17" t="n">
        <f aca="false">(C4219-$B$4)/($B$6/SQRT($B$7))</f>
        <v>-2.28404136517856</v>
      </c>
      <c r="E4219" s="0" t="str">
        <f aca="false">IF(OR(AND($B$9="superior",D4219&gt;$B$10),AND($B$9="inferior",D4219&lt;-$B$10)),"Rechazar H0","No rechazar H0")</f>
        <v>Rechazar H0</v>
      </c>
      <c r="F4219" s="0" t="str">
        <f aca="false">IF(AND(B4219="H0 verdadera",E4219="Rechazar H0"),"Error tipo I",IF(AND(B4219="Ha verdadera",E4219="No rechazar H0"),"Error tipo II","Decisión correcta"))</f>
        <v>Decisión correcta</v>
      </c>
    </row>
    <row r="4220" customFormat="false" ht="15" hidden="false" customHeight="false" outlineLevel="0" collapsed="false">
      <c r="A4220" s="0" t="n">
        <v>4199</v>
      </c>
      <c r="B4220" s="0" t="s">
        <v>86</v>
      </c>
      <c r="C4220" s="17" t="n">
        <v>-0.278932142142661</v>
      </c>
      <c r="D4220" s="17" t="n">
        <f aca="false">(C4220-$B$4)/($B$6/SQRT($B$7))</f>
        <v>-1.3946607107133</v>
      </c>
      <c r="E4220" s="0" t="str">
        <f aca="false">IF(OR(AND($B$9="superior",D4220&gt;$B$10),AND($B$9="inferior",D4220&lt;-$B$10)),"Rechazar H0","No rechazar H0")</f>
        <v>No rechazar H0</v>
      </c>
      <c r="F4220" s="0" t="str">
        <f aca="false">IF(AND(B4220="H0 verdadera",E4220="Rechazar H0"),"Error tipo I",IF(AND(B4220="Ha verdadera",E4220="No rechazar H0"),"Error tipo II","Decisión correcta"))</f>
        <v>Error tipo II</v>
      </c>
    </row>
    <row r="4221" customFormat="false" ht="15" hidden="false" customHeight="false" outlineLevel="0" collapsed="false">
      <c r="A4221" s="0" t="n">
        <v>4200</v>
      </c>
      <c r="B4221" s="0" t="s">
        <v>85</v>
      </c>
      <c r="C4221" s="17" t="n">
        <v>-0.0775741626881951</v>
      </c>
      <c r="D4221" s="17" t="n">
        <f aca="false">(C4221-$B$4)/($B$6/SQRT($B$7))</f>
        <v>-0.387870813440976</v>
      </c>
      <c r="E4221" s="0" t="str">
        <f aca="false">IF(OR(AND($B$9="superior",D4221&gt;$B$10),AND($B$9="inferior",D4221&lt;-$B$10)),"Rechazar H0","No rechazar H0")</f>
        <v>No rechazar H0</v>
      </c>
      <c r="F4221" s="0" t="str">
        <f aca="false">IF(AND(B4221="H0 verdadera",E4221="Rechazar H0"),"Error tipo I",IF(AND(B4221="Ha verdadera",E4221="No rechazar H0"),"Error tipo II","Decisión correcta"))</f>
        <v>Decisión correcta</v>
      </c>
    </row>
    <row r="4222" customFormat="false" ht="15" hidden="false" customHeight="false" outlineLevel="0" collapsed="false">
      <c r="A4222" s="0" t="n">
        <v>4201</v>
      </c>
      <c r="B4222" s="0" t="s">
        <v>86</v>
      </c>
      <c r="C4222" s="17" t="n">
        <v>-0.48825388488275</v>
      </c>
      <c r="D4222" s="17" t="n">
        <f aca="false">(C4222-$B$4)/($B$6/SQRT($B$7))</f>
        <v>-2.44126942441375</v>
      </c>
      <c r="E4222" s="0" t="str">
        <f aca="false">IF(OR(AND($B$9="superior",D4222&gt;$B$10),AND($B$9="inferior",D4222&lt;-$B$10)),"Rechazar H0","No rechazar H0")</f>
        <v>Rechazar H0</v>
      </c>
      <c r="F4222" s="0" t="str">
        <f aca="false">IF(AND(B4222="H0 verdadera",E4222="Rechazar H0"),"Error tipo I",IF(AND(B4222="Ha verdadera",E4222="No rechazar H0"),"Error tipo II","Decisión correcta"))</f>
        <v>Decisión correcta</v>
      </c>
    </row>
    <row r="4223" customFormat="false" ht="15" hidden="false" customHeight="false" outlineLevel="0" collapsed="false">
      <c r="A4223" s="0" t="n">
        <v>4202</v>
      </c>
      <c r="B4223" s="0" t="s">
        <v>86</v>
      </c>
      <c r="C4223" s="17" t="n">
        <v>-0.42576057961455</v>
      </c>
      <c r="D4223" s="17" t="n">
        <f aca="false">(C4223-$B$4)/($B$6/SQRT($B$7))</f>
        <v>-2.12880289807275</v>
      </c>
      <c r="E4223" s="0" t="str">
        <f aca="false">IF(OR(AND($B$9="superior",D4223&gt;$B$10),AND($B$9="inferior",D4223&lt;-$B$10)),"Rechazar H0","No rechazar H0")</f>
        <v>Rechazar H0</v>
      </c>
      <c r="F4223" s="0" t="str">
        <f aca="false">IF(AND(B4223="H0 verdadera",E4223="Rechazar H0"),"Error tipo I",IF(AND(B4223="Ha verdadera",E4223="No rechazar H0"),"Error tipo II","Decisión correcta"))</f>
        <v>Decisión correcta</v>
      </c>
    </row>
    <row r="4224" customFormat="false" ht="15" hidden="false" customHeight="false" outlineLevel="0" collapsed="false">
      <c r="A4224" s="0" t="n">
        <v>4203</v>
      </c>
      <c r="B4224" s="0" t="s">
        <v>85</v>
      </c>
      <c r="C4224" s="17" t="n">
        <v>-0.0207476766627127</v>
      </c>
      <c r="D4224" s="17" t="n">
        <f aca="false">(C4224-$B$4)/($B$6/SQRT($B$7))</f>
        <v>-0.103738383313563</v>
      </c>
      <c r="E4224" s="0" t="str">
        <f aca="false">IF(OR(AND($B$9="superior",D4224&gt;$B$10),AND($B$9="inferior",D4224&lt;-$B$10)),"Rechazar H0","No rechazar H0")</f>
        <v>No rechazar H0</v>
      </c>
      <c r="F4224" s="0" t="str">
        <f aca="false">IF(AND(B4224="H0 verdadera",E4224="Rechazar H0"),"Error tipo I",IF(AND(B4224="Ha verdadera",E4224="No rechazar H0"),"Error tipo II","Decisión correcta"))</f>
        <v>Decisión correcta</v>
      </c>
    </row>
    <row r="4225" customFormat="false" ht="15" hidden="false" customHeight="false" outlineLevel="0" collapsed="false">
      <c r="A4225" s="0" t="n">
        <v>4204</v>
      </c>
      <c r="B4225" s="0" t="s">
        <v>86</v>
      </c>
      <c r="C4225" s="17" t="n">
        <v>-0.202054629476557</v>
      </c>
      <c r="D4225" s="17" t="n">
        <f aca="false">(C4225-$B$4)/($B$6/SQRT($B$7))</f>
        <v>-1.01027314738278</v>
      </c>
      <c r="E4225" s="0" t="str">
        <f aca="false">IF(OR(AND($B$9="superior",D4225&gt;$B$10),AND($B$9="inferior",D4225&lt;-$B$10)),"Rechazar H0","No rechazar H0")</f>
        <v>No rechazar H0</v>
      </c>
      <c r="F4225" s="0" t="str">
        <f aca="false">IF(AND(B4225="H0 verdadera",E4225="Rechazar H0"),"Error tipo I",IF(AND(B4225="Ha verdadera",E4225="No rechazar H0"),"Error tipo II","Decisión correcta"))</f>
        <v>Error tipo II</v>
      </c>
    </row>
    <row r="4226" customFormat="false" ht="15" hidden="false" customHeight="false" outlineLevel="0" collapsed="false">
      <c r="A4226" s="0" t="n">
        <v>4205</v>
      </c>
      <c r="B4226" s="0" t="s">
        <v>86</v>
      </c>
      <c r="C4226" s="17" t="n">
        <v>-0.363373035367683</v>
      </c>
      <c r="D4226" s="17" t="n">
        <f aca="false">(C4226-$B$4)/($B$6/SQRT($B$7))</f>
        <v>-1.81686517683841</v>
      </c>
      <c r="E4226" s="0" t="str">
        <f aca="false">IF(OR(AND($B$9="superior",D4226&gt;$B$10),AND($B$9="inferior",D4226&lt;-$B$10)),"Rechazar H0","No rechazar H0")</f>
        <v>Rechazar H0</v>
      </c>
      <c r="F4226" s="0" t="str">
        <f aca="false">IF(AND(B4226="H0 verdadera",E4226="Rechazar H0"),"Error tipo I",IF(AND(B4226="Ha verdadera",E4226="No rechazar H0"),"Error tipo II","Decisión correcta"))</f>
        <v>Decisión correcta</v>
      </c>
    </row>
    <row r="4227" customFormat="false" ht="15" hidden="false" customHeight="false" outlineLevel="0" collapsed="false">
      <c r="A4227" s="0" t="n">
        <v>4206</v>
      </c>
      <c r="B4227" s="0" t="s">
        <v>85</v>
      </c>
      <c r="C4227" s="17" t="n">
        <v>-0.0868499150113328</v>
      </c>
      <c r="D4227" s="17" t="n">
        <f aca="false">(C4227-$B$4)/($B$6/SQRT($B$7))</f>
        <v>-0.434249575056664</v>
      </c>
      <c r="E4227" s="0" t="str">
        <f aca="false">IF(OR(AND($B$9="superior",D4227&gt;$B$10),AND($B$9="inferior",D4227&lt;-$B$10)),"Rechazar H0","No rechazar H0")</f>
        <v>No rechazar H0</v>
      </c>
      <c r="F4227" s="0" t="str">
        <f aca="false">IF(AND(B4227="H0 verdadera",E4227="Rechazar H0"),"Error tipo I",IF(AND(B4227="Ha verdadera",E4227="No rechazar H0"),"Error tipo II","Decisión correcta"))</f>
        <v>Decisión correcta</v>
      </c>
    </row>
    <row r="4228" customFormat="false" ht="15" hidden="false" customHeight="false" outlineLevel="0" collapsed="false">
      <c r="A4228" s="0" t="n">
        <v>4207</v>
      </c>
      <c r="B4228" s="0" t="s">
        <v>86</v>
      </c>
      <c r="C4228" s="17" t="n">
        <v>-0.0810349646361288</v>
      </c>
      <c r="D4228" s="17" t="n">
        <f aca="false">(C4228-$B$4)/($B$6/SQRT($B$7))</f>
        <v>-0.405174823180644</v>
      </c>
      <c r="E4228" s="0" t="str">
        <f aca="false">IF(OR(AND($B$9="superior",D4228&gt;$B$10),AND($B$9="inferior",D4228&lt;-$B$10)),"Rechazar H0","No rechazar H0")</f>
        <v>No rechazar H0</v>
      </c>
      <c r="F4228" s="0" t="str">
        <f aca="false">IF(AND(B4228="H0 verdadera",E4228="Rechazar H0"),"Error tipo I",IF(AND(B4228="Ha verdadera",E4228="No rechazar H0"),"Error tipo II","Decisión correcta"))</f>
        <v>Error tipo II</v>
      </c>
    </row>
    <row r="4229" customFormat="false" ht="15" hidden="false" customHeight="false" outlineLevel="0" collapsed="false">
      <c r="A4229" s="0" t="n">
        <v>4208</v>
      </c>
      <c r="B4229" s="0" t="s">
        <v>86</v>
      </c>
      <c r="C4229" s="17" t="n">
        <v>-0.0367933105925008</v>
      </c>
      <c r="D4229" s="17" t="n">
        <f aca="false">(C4229-$B$4)/($B$6/SQRT($B$7))</f>
        <v>-0.183966552962504</v>
      </c>
      <c r="E4229" s="0" t="str">
        <f aca="false">IF(OR(AND($B$9="superior",D4229&gt;$B$10),AND($B$9="inferior",D4229&lt;-$B$10)),"Rechazar H0","No rechazar H0")</f>
        <v>No rechazar H0</v>
      </c>
      <c r="F4229" s="0" t="str">
        <f aca="false">IF(AND(B4229="H0 verdadera",E4229="Rechazar H0"),"Error tipo I",IF(AND(B4229="Ha verdadera",E4229="No rechazar H0"),"Error tipo II","Decisión correcta"))</f>
        <v>Error tipo II</v>
      </c>
    </row>
    <row r="4230" customFormat="false" ht="15" hidden="false" customHeight="false" outlineLevel="0" collapsed="false">
      <c r="A4230" s="0" t="n">
        <v>4209</v>
      </c>
      <c r="B4230" s="0" t="s">
        <v>86</v>
      </c>
      <c r="C4230" s="17" t="n">
        <v>-0.0833597547709359</v>
      </c>
      <c r="D4230" s="17" t="n">
        <f aca="false">(C4230-$B$4)/($B$6/SQRT($B$7))</f>
        <v>-0.416798773854679</v>
      </c>
      <c r="E4230" s="0" t="str">
        <f aca="false">IF(OR(AND($B$9="superior",D4230&gt;$B$10),AND($B$9="inferior",D4230&lt;-$B$10)),"Rechazar H0","No rechazar H0")</f>
        <v>No rechazar H0</v>
      </c>
      <c r="F4230" s="0" t="str">
        <f aca="false">IF(AND(B4230="H0 verdadera",E4230="Rechazar H0"),"Error tipo I",IF(AND(B4230="Ha verdadera",E4230="No rechazar H0"),"Error tipo II","Decisión correcta"))</f>
        <v>Error tipo II</v>
      </c>
    </row>
    <row r="4231" customFormat="false" ht="15" hidden="false" customHeight="false" outlineLevel="0" collapsed="false">
      <c r="A4231" s="0" t="n">
        <v>4210</v>
      </c>
      <c r="B4231" s="0" t="s">
        <v>86</v>
      </c>
      <c r="C4231" s="17" t="n">
        <v>-0.229459063577462</v>
      </c>
      <c r="D4231" s="17" t="n">
        <f aca="false">(C4231-$B$4)/($B$6/SQRT($B$7))</f>
        <v>-1.14729531788731</v>
      </c>
      <c r="E4231" s="0" t="str">
        <f aca="false">IF(OR(AND($B$9="superior",D4231&gt;$B$10),AND($B$9="inferior",D4231&lt;-$B$10)),"Rechazar H0","No rechazar H0")</f>
        <v>No rechazar H0</v>
      </c>
      <c r="F4231" s="0" t="str">
        <f aca="false">IF(AND(B4231="H0 verdadera",E4231="Rechazar H0"),"Error tipo I",IF(AND(B4231="Ha verdadera",E4231="No rechazar H0"),"Error tipo II","Decisión correcta"))</f>
        <v>Error tipo II</v>
      </c>
    </row>
    <row r="4232" customFormat="false" ht="15" hidden="false" customHeight="false" outlineLevel="0" collapsed="false">
      <c r="A4232" s="0" t="n">
        <v>4211</v>
      </c>
      <c r="B4232" s="0" t="s">
        <v>86</v>
      </c>
      <c r="C4232" s="17" t="n">
        <v>-0.385899892252348</v>
      </c>
      <c r="D4232" s="17" t="n">
        <f aca="false">(C4232-$B$4)/($B$6/SQRT($B$7))</f>
        <v>-1.92949946126174</v>
      </c>
      <c r="E4232" s="0" t="str">
        <f aca="false">IF(OR(AND($B$9="superior",D4232&gt;$B$10),AND($B$9="inferior",D4232&lt;-$B$10)),"Rechazar H0","No rechazar H0")</f>
        <v>Rechazar H0</v>
      </c>
      <c r="F4232" s="0" t="str">
        <f aca="false">IF(AND(B4232="H0 verdadera",E4232="Rechazar H0"),"Error tipo I",IF(AND(B4232="Ha verdadera",E4232="No rechazar H0"),"Error tipo II","Decisión correcta"))</f>
        <v>Decisión correcta</v>
      </c>
    </row>
    <row r="4233" customFormat="false" ht="15" hidden="false" customHeight="false" outlineLevel="0" collapsed="false">
      <c r="A4233" s="0" t="n">
        <v>4212</v>
      </c>
      <c r="B4233" s="0" t="s">
        <v>85</v>
      </c>
      <c r="C4233" s="17" t="n">
        <v>-0.159900324195637</v>
      </c>
      <c r="D4233" s="17" t="n">
        <f aca="false">(C4233-$B$4)/($B$6/SQRT($B$7))</f>
        <v>-0.799501620978183</v>
      </c>
      <c r="E4233" s="0" t="str">
        <f aca="false">IF(OR(AND($B$9="superior",D4233&gt;$B$10),AND($B$9="inferior",D4233&lt;-$B$10)),"Rechazar H0","No rechazar H0")</f>
        <v>No rechazar H0</v>
      </c>
      <c r="F4233" s="0" t="str">
        <f aca="false">IF(AND(B4233="H0 verdadera",E4233="Rechazar H0"),"Error tipo I",IF(AND(B4233="Ha verdadera",E4233="No rechazar H0"),"Error tipo II","Decisión correcta"))</f>
        <v>Decisión correcta</v>
      </c>
    </row>
    <row r="4234" customFormat="false" ht="15" hidden="false" customHeight="false" outlineLevel="0" collapsed="false">
      <c r="A4234" s="0" t="n">
        <v>4213</v>
      </c>
      <c r="B4234" s="0" t="s">
        <v>86</v>
      </c>
      <c r="C4234" s="17" t="n">
        <v>-0.144773329826425</v>
      </c>
      <c r="D4234" s="17" t="n">
        <f aca="false">(C4234-$B$4)/($B$6/SQRT($B$7))</f>
        <v>-0.723866649132126</v>
      </c>
      <c r="E4234" s="0" t="str">
        <f aca="false">IF(OR(AND($B$9="superior",D4234&gt;$B$10),AND($B$9="inferior",D4234&lt;-$B$10)),"Rechazar H0","No rechazar H0")</f>
        <v>No rechazar H0</v>
      </c>
      <c r="F4234" s="0" t="str">
        <f aca="false">IF(AND(B4234="H0 verdadera",E4234="Rechazar H0"),"Error tipo I",IF(AND(B4234="Ha verdadera",E4234="No rechazar H0"),"Error tipo II","Decisión correcta"))</f>
        <v>Error tipo II</v>
      </c>
    </row>
    <row r="4235" customFormat="false" ht="15" hidden="false" customHeight="false" outlineLevel="0" collapsed="false">
      <c r="A4235" s="0" t="n">
        <v>4214</v>
      </c>
      <c r="B4235" s="0" t="s">
        <v>85</v>
      </c>
      <c r="C4235" s="17" t="n">
        <v>-0.0370739676326423</v>
      </c>
      <c r="D4235" s="17" t="n">
        <f aca="false">(C4235-$B$4)/($B$6/SQRT($B$7))</f>
        <v>-0.185369838163212</v>
      </c>
      <c r="E4235" s="0" t="str">
        <f aca="false">IF(OR(AND($B$9="superior",D4235&gt;$B$10),AND($B$9="inferior",D4235&lt;-$B$10)),"Rechazar H0","No rechazar H0")</f>
        <v>No rechazar H0</v>
      </c>
      <c r="F4235" s="0" t="str">
        <f aca="false">IF(AND(B4235="H0 verdadera",E4235="Rechazar H0"),"Error tipo I",IF(AND(B4235="Ha verdadera",E4235="No rechazar H0"),"Error tipo II","Decisión correcta"))</f>
        <v>Decisión correcta</v>
      </c>
    </row>
    <row r="4236" customFormat="false" ht="15" hidden="false" customHeight="false" outlineLevel="0" collapsed="false">
      <c r="A4236" s="0" t="n">
        <v>4215</v>
      </c>
      <c r="B4236" s="0" t="s">
        <v>85</v>
      </c>
      <c r="C4236" s="17" t="n">
        <v>0.100055924945498</v>
      </c>
      <c r="D4236" s="17" t="n">
        <f aca="false">(C4236-$B$4)/($B$6/SQRT($B$7))</f>
        <v>0.500279624727489</v>
      </c>
      <c r="E4236" s="0" t="str">
        <f aca="false">IF(OR(AND($B$9="superior",D4236&gt;$B$10),AND($B$9="inferior",D4236&lt;-$B$10)),"Rechazar H0","No rechazar H0")</f>
        <v>No rechazar H0</v>
      </c>
      <c r="F4236" s="0" t="str">
        <f aca="false">IF(AND(B4236="H0 verdadera",E4236="Rechazar H0"),"Error tipo I",IF(AND(B4236="Ha verdadera",E4236="No rechazar H0"),"Error tipo II","Decisión correcta"))</f>
        <v>Decisión correcta</v>
      </c>
    </row>
    <row r="4237" customFormat="false" ht="15" hidden="false" customHeight="false" outlineLevel="0" collapsed="false">
      <c r="A4237" s="0" t="n">
        <v>4216</v>
      </c>
      <c r="B4237" s="0" t="s">
        <v>85</v>
      </c>
      <c r="C4237" s="17" t="n">
        <v>-0.225825369901488</v>
      </c>
      <c r="D4237" s="17" t="n">
        <f aca="false">(C4237-$B$4)/($B$6/SQRT($B$7))</f>
        <v>-1.12912684950744</v>
      </c>
      <c r="E4237" s="0" t="str">
        <f aca="false">IF(OR(AND($B$9="superior",D4237&gt;$B$10),AND($B$9="inferior",D4237&lt;-$B$10)),"Rechazar H0","No rechazar H0")</f>
        <v>No rechazar H0</v>
      </c>
      <c r="F4237" s="0" t="str">
        <f aca="false">IF(AND(B4237="H0 verdadera",E4237="Rechazar H0"),"Error tipo I",IF(AND(B4237="Ha verdadera",E4237="No rechazar H0"),"Error tipo II","Decisión correcta"))</f>
        <v>Decisión correcta</v>
      </c>
    </row>
    <row r="4238" customFormat="false" ht="15" hidden="false" customHeight="false" outlineLevel="0" collapsed="false">
      <c r="A4238" s="0" t="n">
        <v>4217</v>
      </c>
      <c r="B4238" s="0" t="s">
        <v>85</v>
      </c>
      <c r="C4238" s="17" t="n">
        <v>0.0218716482759905</v>
      </c>
      <c r="D4238" s="17" t="n">
        <f aca="false">(C4238-$B$4)/($B$6/SQRT($B$7))</f>
        <v>0.109358241379953</v>
      </c>
      <c r="E4238" s="0" t="str">
        <f aca="false">IF(OR(AND($B$9="superior",D4238&gt;$B$10),AND($B$9="inferior",D4238&lt;-$B$10)),"Rechazar H0","No rechazar H0")</f>
        <v>No rechazar H0</v>
      </c>
      <c r="F4238" s="0" t="str">
        <f aca="false">IF(AND(B4238="H0 verdadera",E4238="Rechazar H0"),"Error tipo I",IF(AND(B4238="Ha verdadera",E4238="No rechazar H0"),"Error tipo II","Decisión correcta"))</f>
        <v>Decisión correcta</v>
      </c>
    </row>
    <row r="4239" customFormat="false" ht="15" hidden="false" customHeight="false" outlineLevel="0" collapsed="false">
      <c r="A4239" s="0" t="n">
        <v>4218</v>
      </c>
      <c r="B4239" s="0" t="s">
        <v>86</v>
      </c>
      <c r="C4239" s="17" t="n">
        <v>-0.661188548643361</v>
      </c>
      <c r="D4239" s="17" t="n">
        <f aca="false">(C4239-$B$4)/($B$6/SQRT($B$7))</f>
        <v>-3.30594274321681</v>
      </c>
      <c r="E4239" s="0" t="str">
        <f aca="false">IF(OR(AND($B$9="superior",D4239&gt;$B$10),AND($B$9="inferior",D4239&lt;-$B$10)),"Rechazar H0","No rechazar H0")</f>
        <v>Rechazar H0</v>
      </c>
      <c r="F4239" s="0" t="str">
        <f aca="false">IF(AND(B4239="H0 verdadera",E4239="Rechazar H0"),"Error tipo I",IF(AND(B4239="Ha verdadera",E4239="No rechazar H0"),"Error tipo II","Decisión correcta"))</f>
        <v>Decisión correcta</v>
      </c>
    </row>
    <row r="4240" customFormat="false" ht="15" hidden="false" customHeight="false" outlineLevel="0" collapsed="false">
      <c r="A4240" s="0" t="n">
        <v>4219</v>
      </c>
      <c r="B4240" s="0" t="s">
        <v>86</v>
      </c>
      <c r="C4240" s="17" t="n">
        <v>-0.477266766325773</v>
      </c>
      <c r="D4240" s="17" t="n">
        <f aca="false">(C4240-$B$4)/($B$6/SQRT($B$7))</f>
        <v>-2.38633383162886</v>
      </c>
      <c r="E4240" s="0" t="str">
        <f aca="false">IF(OR(AND($B$9="superior",D4240&gt;$B$10),AND($B$9="inferior",D4240&lt;-$B$10)),"Rechazar H0","No rechazar H0")</f>
        <v>Rechazar H0</v>
      </c>
      <c r="F4240" s="0" t="str">
        <f aca="false">IF(AND(B4240="H0 verdadera",E4240="Rechazar H0"),"Error tipo I",IF(AND(B4240="Ha verdadera",E4240="No rechazar H0"),"Error tipo II","Decisión correcta"))</f>
        <v>Decisión correcta</v>
      </c>
    </row>
    <row r="4241" customFormat="false" ht="15" hidden="false" customHeight="false" outlineLevel="0" collapsed="false">
      <c r="A4241" s="0" t="n">
        <v>4220</v>
      </c>
      <c r="B4241" s="0" t="s">
        <v>85</v>
      </c>
      <c r="C4241" s="17" t="n">
        <v>0.148070483995086</v>
      </c>
      <c r="D4241" s="17" t="n">
        <f aca="false">(C4241-$B$4)/($B$6/SQRT($B$7))</f>
        <v>0.740352419975429</v>
      </c>
      <c r="E4241" s="0" t="str">
        <f aca="false">IF(OR(AND($B$9="superior",D4241&gt;$B$10),AND($B$9="inferior",D4241&lt;-$B$10)),"Rechazar H0","No rechazar H0")</f>
        <v>No rechazar H0</v>
      </c>
      <c r="F4241" s="0" t="str">
        <f aca="false">IF(AND(B4241="H0 verdadera",E4241="Rechazar H0"),"Error tipo I",IF(AND(B4241="Ha verdadera",E4241="No rechazar H0"),"Error tipo II","Decisión correcta"))</f>
        <v>Decisión correcta</v>
      </c>
    </row>
    <row r="4242" customFormat="false" ht="15" hidden="false" customHeight="false" outlineLevel="0" collapsed="false">
      <c r="A4242" s="0" t="n">
        <v>4221</v>
      </c>
      <c r="B4242" s="0" t="s">
        <v>86</v>
      </c>
      <c r="C4242" s="17" t="n">
        <v>-0.674131310664819</v>
      </c>
      <c r="D4242" s="17" t="n">
        <f aca="false">(C4242-$B$4)/($B$6/SQRT($B$7))</f>
        <v>-3.37065655332409</v>
      </c>
      <c r="E4242" s="0" t="str">
        <f aca="false">IF(OR(AND($B$9="superior",D4242&gt;$B$10),AND($B$9="inferior",D4242&lt;-$B$10)),"Rechazar H0","No rechazar H0")</f>
        <v>Rechazar H0</v>
      </c>
      <c r="F4242" s="0" t="str">
        <f aca="false">IF(AND(B4242="H0 verdadera",E4242="Rechazar H0"),"Error tipo I",IF(AND(B4242="Ha verdadera",E4242="No rechazar H0"),"Error tipo II","Decisión correcta"))</f>
        <v>Decisión correcta</v>
      </c>
    </row>
    <row r="4243" customFormat="false" ht="15" hidden="false" customHeight="false" outlineLevel="0" collapsed="false">
      <c r="A4243" s="0" t="n">
        <v>4222</v>
      </c>
      <c r="B4243" s="0" t="s">
        <v>86</v>
      </c>
      <c r="C4243" s="17" t="n">
        <v>-0.468542268333314</v>
      </c>
      <c r="D4243" s="17" t="n">
        <f aca="false">(C4243-$B$4)/($B$6/SQRT($B$7))</f>
        <v>-2.34271134166657</v>
      </c>
      <c r="E4243" s="0" t="str">
        <f aca="false">IF(OR(AND($B$9="superior",D4243&gt;$B$10),AND($B$9="inferior",D4243&lt;-$B$10)),"Rechazar H0","No rechazar H0")</f>
        <v>Rechazar H0</v>
      </c>
      <c r="F4243" s="0" t="str">
        <f aca="false">IF(AND(B4243="H0 verdadera",E4243="Rechazar H0"),"Error tipo I",IF(AND(B4243="Ha verdadera",E4243="No rechazar H0"),"Error tipo II","Decisión correcta"))</f>
        <v>Decisión correcta</v>
      </c>
    </row>
    <row r="4244" customFormat="false" ht="15" hidden="false" customHeight="false" outlineLevel="0" collapsed="false">
      <c r="A4244" s="0" t="n">
        <v>4223</v>
      </c>
      <c r="B4244" s="0" t="s">
        <v>86</v>
      </c>
      <c r="C4244" s="17" t="n">
        <v>-0.379236116096352</v>
      </c>
      <c r="D4244" s="17" t="n">
        <f aca="false">(C4244-$B$4)/($B$6/SQRT($B$7))</f>
        <v>-1.89618058048176</v>
      </c>
      <c r="E4244" s="0" t="str">
        <f aca="false">IF(OR(AND($B$9="superior",D4244&gt;$B$10),AND($B$9="inferior",D4244&lt;-$B$10)),"Rechazar H0","No rechazar H0")</f>
        <v>Rechazar H0</v>
      </c>
      <c r="F4244" s="0" t="str">
        <f aca="false">IF(AND(B4244="H0 verdadera",E4244="Rechazar H0"),"Error tipo I",IF(AND(B4244="Ha verdadera",E4244="No rechazar H0"),"Error tipo II","Decisión correcta"))</f>
        <v>Decisión correcta</v>
      </c>
    </row>
    <row r="4245" customFormat="false" ht="15" hidden="false" customHeight="false" outlineLevel="0" collapsed="false">
      <c r="A4245" s="0" t="n">
        <v>4224</v>
      </c>
      <c r="B4245" s="0" t="s">
        <v>85</v>
      </c>
      <c r="C4245" s="17" t="n">
        <v>-0.248751756273116</v>
      </c>
      <c r="D4245" s="17" t="n">
        <f aca="false">(C4245-$B$4)/($B$6/SQRT($B$7))</f>
        <v>-1.24375878136558</v>
      </c>
      <c r="E4245" s="0" t="str">
        <f aca="false">IF(OR(AND($B$9="superior",D4245&gt;$B$10),AND($B$9="inferior",D4245&lt;-$B$10)),"Rechazar H0","No rechazar H0")</f>
        <v>No rechazar H0</v>
      </c>
      <c r="F4245" s="0" t="str">
        <f aca="false">IF(AND(B4245="H0 verdadera",E4245="Rechazar H0"),"Error tipo I",IF(AND(B4245="Ha verdadera",E4245="No rechazar H0"),"Error tipo II","Decisión correcta"))</f>
        <v>Decisión correcta</v>
      </c>
    </row>
    <row r="4246" customFormat="false" ht="15" hidden="false" customHeight="false" outlineLevel="0" collapsed="false">
      <c r="A4246" s="0" t="n">
        <v>4225</v>
      </c>
      <c r="B4246" s="0" t="s">
        <v>85</v>
      </c>
      <c r="C4246" s="17" t="n">
        <v>0.166624863951547</v>
      </c>
      <c r="D4246" s="17" t="n">
        <f aca="false">(C4246-$B$4)/($B$6/SQRT($B$7))</f>
        <v>0.833124319757737</v>
      </c>
      <c r="E4246" s="0" t="str">
        <f aca="false">IF(OR(AND($B$9="superior",D4246&gt;$B$10),AND($B$9="inferior",D4246&lt;-$B$10)),"Rechazar H0","No rechazar H0")</f>
        <v>No rechazar H0</v>
      </c>
      <c r="F4246" s="0" t="str">
        <f aca="false">IF(AND(B4246="H0 verdadera",E4246="Rechazar H0"),"Error tipo I",IF(AND(B4246="Ha verdadera",E4246="No rechazar H0"),"Error tipo II","Decisión correcta"))</f>
        <v>Decisión correcta</v>
      </c>
    </row>
    <row r="4247" customFormat="false" ht="15" hidden="false" customHeight="false" outlineLevel="0" collapsed="false">
      <c r="A4247" s="0" t="n">
        <v>4226</v>
      </c>
      <c r="B4247" s="0" t="s">
        <v>85</v>
      </c>
      <c r="C4247" s="17" t="n">
        <v>0.374966677244511</v>
      </c>
      <c r="D4247" s="17" t="n">
        <f aca="false">(C4247-$B$4)/($B$6/SQRT($B$7))</f>
        <v>1.87483338622255</v>
      </c>
      <c r="E4247" s="0" t="str">
        <f aca="false">IF(OR(AND($B$9="superior",D4247&gt;$B$10),AND($B$9="inferior",D4247&lt;-$B$10)),"Rechazar H0","No rechazar H0")</f>
        <v>No rechazar H0</v>
      </c>
      <c r="F4247" s="0" t="str">
        <f aca="false">IF(AND(B4247="H0 verdadera",E4247="Rechazar H0"),"Error tipo I",IF(AND(B4247="Ha verdadera",E4247="No rechazar H0"),"Error tipo II","Decisión correcta"))</f>
        <v>Decisión correcta</v>
      </c>
    </row>
    <row r="4248" customFormat="false" ht="15" hidden="false" customHeight="false" outlineLevel="0" collapsed="false">
      <c r="A4248" s="0" t="n">
        <v>4227</v>
      </c>
      <c r="B4248" s="0" t="s">
        <v>85</v>
      </c>
      <c r="C4248" s="17" t="n">
        <v>0.208439724411843</v>
      </c>
      <c r="D4248" s="17" t="n">
        <f aca="false">(C4248-$B$4)/($B$6/SQRT($B$7))</f>
        <v>1.04219862205921</v>
      </c>
      <c r="E4248" s="0" t="str">
        <f aca="false">IF(OR(AND($B$9="superior",D4248&gt;$B$10),AND($B$9="inferior",D4248&lt;-$B$10)),"Rechazar H0","No rechazar H0")</f>
        <v>No rechazar H0</v>
      </c>
      <c r="F4248" s="0" t="str">
        <f aca="false">IF(AND(B4248="H0 verdadera",E4248="Rechazar H0"),"Error tipo I",IF(AND(B4248="Ha verdadera",E4248="No rechazar H0"),"Error tipo II","Decisión correcta"))</f>
        <v>Decisión correcta</v>
      </c>
    </row>
    <row r="4249" customFormat="false" ht="15" hidden="false" customHeight="false" outlineLevel="0" collapsed="false">
      <c r="A4249" s="0" t="n">
        <v>4228</v>
      </c>
      <c r="B4249" s="0" t="s">
        <v>85</v>
      </c>
      <c r="C4249" s="17" t="n">
        <v>-0.0790628067535348</v>
      </c>
      <c r="D4249" s="17" t="n">
        <f aca="false">(C4249-$B$4)/($B$6/SQRT($B$7))</f>
        <v>-0.395314033767674</v>
      </c>
      <c r="E4249" s="0" t="str">
        <f aca="false">IF(OR(AND($B$9="superior",D4249&gt;$B$10),AND($B$9="inferior",D4249&lt;-$B$10)),"Rechazar H0","No rechazar H0")</f>
        <v>No rechazar H0</v>
      </c>
      <c r="F4249" s="0" t="str">
        <f aca="false">IF(AND(B4249="H0 verdadera",E4249="Rechazar H0"),"Error tipo I",IF(AND(B4249="Ha verdadera",E4249="No rechazar H0"),"Error tipo II","Decisión correcta"))</f>
        <v>Decisión correcta</v>
      </c>
    </row>
    <row r="4250" customFormat="false" ht="15" hidden="false" customHeight="false" outlineLevel="0" collapsed="false">
      <c r="A4250" s="0" t="n">
        <v>4229</v>
      </c>
      <c r="B4250" s="0" t="s">
        <v>85</v>
      </c>
      <c r="C4250" s="17" t="n">
        <v>0.159917995235309</v>
      </c>
      <c r="D4250" s="17" t="n">
        <f aca="false">(C4250-$B$4)/($B$6/SQRT($B$7))</f>
        <v>0.799589976176547</v>
      </c>
      <c r="E4250" s="0" t="str">
        <f aca="false">IF(OR(AND($B$9="superior",D4250&gt;$B$10),AND($B$9="inferior",D4250&lt;-$B$10)),"Rechazar H0","No rechazar H0")</f>
        <v>No rechazar H0</v>
      </c>
      <c r="F4250" s="0" t="str">
        <f aca="false">IF(AND(B4250="H0 verdadera",E4250="Rechazar H0"),"Error tipo I",IF(AND(B4250="Ha verdadera",E4250="No rechazar H0"),"Error tipo II","Decisión correcta"))</f>
        <v>Decisión correcta</v>
      </c>
    </row>
    <row r="4251" customFormat="false" ht="15" hidden="false" customHeight="false" outlineLevel="0" collapsed="false">
      <c r="A4251" s="0" t="n">
        <v>4230</v>
      </c>
      <c r="B4251" s="0" t="s">
        <v>85</v>
      </c>
      <c r="C4251" s="17" t="n">
        <v>0.00139015123275198</v>
      </c>
      <c r="D4251" s="17" t="n">
        <f aca="false">(C4251-$B$4)/($B$6/SQRT($B$7))</f>
        <v>0.00695075616375991</v>
      </c>
      <c r="E4251" s="0" t="str">
        <f aca="false">IF(OR(AND($B$9="superior",D4251&gt;$B$10),AND($B$9="inferior",D4251&lt;-$B$10)),"Rechazar H0","No rechazar H0")</f>
        <v>No rechazar H0</v>
      </c>
      <c r="F4251" s="0" t="str">
        <f aca="false">IF(AND(B4251="H0 verdadera",E4251="Rechazar H0"),"Error tipo I",IF(AND(B4251="Ha verdadera",E4251="No rechazar H0"),"Error tipo II","Decisión correcta"))</f>
        <v>Decisión correcta</v>
      </c>
    </row>
    <row r="4252" customFormat="false" ht="15" hidden="false" customHeight="false" outlineLevel="0" collapsed="false">
      <c r="A4252" s="0" t="n">
        <v>4231</v>
      </c>
      <c r="B4252" s="0" t="s">
        <v>85</v>
      </c>
      <c r="C4252" s="17" t="n">
        <v>-0.159311329007276</v>
      </c>
      <c r="D4252" s="17" t="n">
        <f aca="false">(C4252-$B$4)/($B$6/SQRT($B$7))</f>
        <v>-0.796556645036377</v>
      </c>
      <c r="E4252" s="0" t="str">
        <f aca="false">IF(OR(AND($B$9="superior",D4252&gt;$B$10),AND($B$9="inferior",D4252&lt;-$B$10)),"Rechazar H0","No rechazar H0")</f>
        <v>No rechazar H0</v>
      </c>
      <c r="F4252" s="0" t="str">
        <f aca="false">IF(AND(B4252="H0 verdadera",E4252="Rechazar H0"),"Error tipo I",IF(AND(B4252="Ha verdadera",E4252="No rechazar H0"),"Error tipo II","Decisión correcta"))</f>
        <v>Decisión correcta</v>
      </c>
    </row>
    <row r="4253" customFormat="false" ht="15" hidden="false" customHeight="false" outlineLevel="0" collapsed="false">
      <c r="A4253" s="0" t="n">
        <v>4232</v>
      </c>
      <c r="B4253" s="0" t="s">
        <v>85</v>
      </c>
      <c r="C4253" s="17" t="n">
        <v>0.0997822316382865</v>
      </c>
      <c r="D4253" s="17" t="n">
        <f aca="false">(C4253-$B$4)/($B$6/SQRT($B$7))</f>
        <v>0.498911158191432</v>
      </c>
      <c r="E4253" s="0" t="str">
        <f aca="false">IF(OR(AND($B$9="superior",D4253&gt;$B$10),AND($B$9="inferior",D4253&lt;-$B$10)),"Rechazar H0","No rechazar H0")</f>
        <v>No rechazar H0</v>
      </c>
      <c r="F4253" s="0" t="str">
        <f aca="false">IF(AND(B4253="H0 verdadera",E4253="Rechazar H0"),"Error tipo I",IF(AND(B4253="Ha verdadera",E4253="No rechazar H0"),"Error tipo II","Decisión correcta"))</f>
        <v>Decisión correcta</v>
      </c>
    </row>
    <row r="4254" customFormat="false" ht="15" hidden="false" customHeight="false" outlineLevel="0" collapsed="false">
      <c r="A4254" s="0" t="n">
        <v>4233</v>
      </c>
      <c r="B4254" s="0" t="s">
        <v>86</v>
      </c>
      <c r="C4254" s="17" t="n">
        <v>-0.279521000101643</v>
      </c>
      <c r="D4254" s="17" t="n">
        <f aca="false">(C4254-$B$4)/($B$6/SQRT($B$7))</f>
        <v>-1.39760500050821</v>
      </c>
      <c r="E4254" s="0" t="str">
        <f aca="false">IF(OR(AND($B$9="superior",D4254&gt;$B$10),AND($B$9="inferior",D4254&lt;-$B$10)),"Rechazar H0","No rechazar H0")</f>
        <v>No rechazar H0</v>
      </c>
      <c r="F4254" s="0" t="str">
        <f aca="false">IF(AND(B4254="H0 verdadera",E4254="Rechazar H0"),"Error tipo I",IF(AND(B4254="Ha verdadera",E4254="No rechazar H0"),"Error tipo II","Decisión correcta"))</f>
        <v>Error tipo II</v>
      </c>
    </row>
    <row r="4255" customFormat="false" ht="15" hidden="false" customHeight="false" outlineLevel="0" collapsed="false">
      <c r="A4255" s="0" t="n">
        <v>4234</v>
      </c>
      <c r="B4255" s="0" t="s">
        <v>86</v>
      </c>
      <c r="C4255" s="17" t="n">
        <v>-0.18103553795581</v>
      </c>
      <c r="D4255" s="17" t="n">
        <f aca="false">(C4255-$B$4)/($B$6/SQRT($B$7))</f>
        <v>-0.905177689779049</v>
      </c>
      <c r="E4255" s="0" t="str">
        <f aca="false">IF(OR(AND($B$9="superior",D4255&gt;$B$10),AND($B$9="inferior",D4255&lt;-$B$10)),"Rechazar H0","No rechazar H0")</f>
        <v>No rechazar H0</v>
      </c>
      <c r="F4255" s="0" t="str">
        <f aca="false">IF(AND(B4255="H0 verdadera",E4255="Rechazar H0"),"Error tipo I",IF(AND(B4255="Ha verdadera",E4255="No rechazar H0"),"Error tipo II","Decisión correcta"))</f>
        <v>Error tipo II</v>
      </c>
    </row>
    <row r="4256" customFormat="false" ht="15" hidden="false" customHeight="false" outlineLevel="0" collapsed="false">
      <c r="A4256" s="0" t="n">
        <v>4235</v>
      </c>
      <c r="B4256" s="0" t="s">
        <v>85</v>
      </c>
      <c r="C4256" s="17" t="n">
        <v>0.292306389407741</v>
      </c>
      <c r="D4256" s="17" t="n">
        <f aca="false">(C4256-$B$4)/($B$6/SQRT($B$7))</f>
        <v>1.4615319470387</v>
      </c>
      <c r="E4256" s="0" t="str">
        <f aca="false">IF(OR(AND($B$9="superior",D4256&gt;$B$10),AND($B$9="inferior",D4256&lt;-$B$10)),"Rechazar H0","No rechazar H0")</f>
        <v>No rechazar H0</v>
      </c>
      <c r="F4256" s="0" t="str">
        <f aca="false">IF(AND(B4256="H0 verdadera",E4256="Rechazar H0"),"Error tipo I",IF(AND(B4256="Ha verdadera",E4256="No rechazar H0"),"Error tipo II","Decisión correcta"))</f>
        <v>Decisión correcta</v>
      </c>
    </row>
    <row r="4257" customFormat="false" ht="15" hidden="false" customHeight="false" outlineLevel="0" collapsed="false">
      <c r="A4257" s="0" t="n">
        <v>4236</v>
      </c>
      <c r="B4257" s="0" t="s">
        <v>85</v>
      </c>
      <c r="C4257" s="17" t="n">
        <v>0.078435286818823</v>
      </c>
      <c r="D4257" s="17" t="n">
        <f aca="false">(C4257-$B$4)/($B$6/SQRT($B$7))</f>
        <v>0.392176434094115</v>
      </c>
      <c r="E4257" s="0" t="str">
        <f aca="false">IF(OR(AND($B$9="superior",D4257&gt;$B$10),AND($B$9="inferior",D4257&lt;-$B$10)),"Rechazar H0","No rechazar H0")</f>
        <v>No rechazar H0</v>
      </c>
      <c r="F4257" s="0" t="str">
        <f aca="false">IF(AND(B4257="H0 verdadera",E4257="Rechazar H0"),"Error tipo I",IF(AND(B4257="Ha verdadera",E4257="No rechazar H0"),"Error tipo II","Decisión correcta"))</f>
        <v>Decisión correcta</v>
      </c>
    </row>
    <row r="4258" customFormat="false" ht="15" hidden="false" customHeight="false" outlineLevel="0" collapsed="false">
      <c r="A4258" s="0" t="n">
        <v>4237</v>
      </c>
      <c r="B4258" s="0" t="s">
        <v>86</v>
      </c>
      <c r="C4258" s="17" t="n">
        <v>-0.24626986095355</v>
      </c>
      <c r="D4258" s="17" t="n">
        <f aca="false">(C4258-$B$4)/($B$6/SQRT($B$7))</f>
        <v>-1.23134930476775</v>
      </c>
      <c r="E4258" s="0" t="str">
        <f aca="false">IF(OR(AND($B$9="superior",D4258&gt;$B$10),AND($B$9="inferior",D4258&lt;-$B$10)),"Rechazar H0","No rechazar H0")</f>
        <v>No rechazar H0</v>
      </c>
      <c r="F4258" s="0" t="str">
        <f aca="false">IF(AND(B4258="H0 verdadera",E4258="Rechazar H0"),"Error tipo I",IF(AND(B4258="Ha verdadera",E4258="No rechazar H0"),"Error tipo II","Decisión correcta"))</f>
        <v>Error tipo II</v>
      </c>
    </row>
    <row r="4259" customFormat="false" ht="15" hidden="false" customHeight="false" outlineLevel="0" collapsed="false">
      <c r="A4259" s="0" t="n">
        <v>4238</v>
      </c>
      <c r="B4259" s="0" t="s">
        <v>86</v>
      </c>
      <c r="C4259" s="17" t="n">
        <v>-0.357323392682152</v>
      </c>
      <c r="D4259" s="17" t="n">
        <f aca="false">(C4259-$B$4)/($B$6/SQRT($B$7))</f>
        <v>-1.78661696341076</v>
      </c>
      <c r="E4259" s="0" t="str">
        <f aca="false">IF(OR(AND($B$9="superior",D4259&gt;$B$10),AND($B$9="inferior",D4259&lt;-$B$10)),"Rechazar H0","No rechazar H0")</f>
        <v>Rechazar H0</v>
      </c>
      <c r="F4259" s="0" t="str">
        <f aca="false">IF(AND(B4259="H0 verdadera",E4259="Rechazar H0"),"Error tipo I",IF(AND(B4259="Ha verdadera",E4259="No rechazar H0"),"Error tipo II","Decisión correcta"))</f>
        <v>Decisión correcta</v>
      </c>
    </row>
    <row r="4260" customFormat="false" ht="15" hidden="false" customHeight="false" outlineLevel="0" collapsed="false">
      <c r="A4260" s="0" t="n">
        <v>4239</v>
      </c>
      <c r="B4260" s="0" t="s">
        <v>85</v>
      </c>
      <c r="C4260" s="17" t="n">
        <v>-0.233747778167597</v>
      </c>
      <c r="D4260" s="17" t="n">
        <f aca="false">(C4260-$B$4)/($B$6/SQRT($B$7))</f>
        <v>-1.16873889083798</v>
      </c>
      <c r="E4260" s="0" t="str">
        <f aca="false">IF(OR(AND($B$9="superior",D4260&gt;$B$10),AND($B$9="inferior",D4260&lt;-$B$10)),"Rechazar H0","No rechazar H0")</f>
        <v>No rechazar H0</v>
      </c>
      <c r="F4260" s="0" t="str">
        <f aca="false">IF(AND(B4260="H0 verdadera",E4260="Rechazar H0"),"Error tipo I",IF(AND(B4260="Ha verdadera",E4260="No rechazar H0"),"Error tipo II","Decisión correcta"))</f>
        <v>Decisión correcta</v>
      </c>
    </row>
    <row r="4261" customFormat="false" ht="15" hidden="false" customHeight="false" outlineLevel="0" collapsed="false">
      <c r="A4261" s="0" t="n">
        <v>4240</v>
      </c>
      <c r="B4261" s="0" t="s">
        <v>86</v>
      </c>
      <c r="C4261" s="17" t="n">
        <v>-0.231860235312642</v>
      </c>
      <c r="D4261" s="17" t="n">
        <f aca="false">(C4261-$B$4)/($B$6/SQRT($B$7))</f>
        <v>-1.15930117656321</v>
      </c>
      <c r="E4261" s="0" t="str">
        <f aca="false">IF(OR(AND($B$9="superior",D4261&gt;$B$10),AND($B$9="inferior",D4261&lt;-$B$10)),"Rechazar H0","No rechazar H0")</f>
        <v>No rechazar H0</v>
      </c>
      <c r="F4261" s="0" t="str">
        <f aca="false">IF(AND(B4261="H0 verdadera",E4261="Rechazar H0"),"Error tipo I",IF(AND(B4261="Ha verdadera",E4261="No rechazar H0"),"Error tipo II","Decisión correcta"))</f>
        <v>Error tipo II</v>
      </c>
    </row>
    <row r="4262" customFormat="false" ht="15" hidden="false" customHeight="false" outlineLevel="0" collapsed="false">
      <c r="A4262" s="0" t="n">
        <v>4241</v>
      </c>
      <c r="B4262" s="0" t="s">
        <v>86</v>
      </c>
      <c r="C4262" s="17" t="n">
        <v>-0.468049257472624</v>
      </c>
      <c r="D4262" s="17" t="n">
        <f aca="false">(C4262-$B$4)/($B$6/SQRT($B$7))</f>
        <v>-2.34024628736312</v>
      </c>
      <c r="E4262" s="0" t="str">
        <f aca="false">IF(OR(AND($B$9="superior",D4262&gt;$B$10),AND($B$9="inferior",D4262&lt;-$B$10)),"Rechazar H0","No rechazar H0")</f>
        <v>Rechazar H0</v>
      </c>
      <c r="F4262" s="0" t="str">
        <f aca="false">IF(AND(B4262="H0 verdadera",E4262="Rechazar H0"),"Error tipo I",IF(AND(B4262="Ha verdadera",E4262="No rechazar H0"),"Error tipo II","Decisión correcta"))</f>
        <v>Decisión correcta</v>
      </c>
    </row>
    <row r="4263" customFormat="false" ht="15" hidden="false" customHeight="false" outlineLevel="0" collapsed="false">
      <c r="A4263" s="0" t="n">
        <v>4242</v>
      </c>
      <c r="B4263" s="0" t="s">
        <v>86</v>
      </c>
      <c r="C4263" s="17" t="n">
        <v>-0.368847754622196</v>
      </c>
      <c r="D4263" s="17" t="n">
        <f aca="false">(C4263-$B$4)/($B$6/SQRT($B$7))</f>
        <v>-1.84423877311098</v>
      </c>
      <c r="E4263" s="0" t="str">
        <f aca="false">IF(OR(AND($B$9="superior",D4263&gt;$B$10),AND($B$9="inferior",D4263&lt;-$B$10)),"Rechazar H0","No rechazar H0")</f>
        <v>Rechazar H0</v>
      </c>
      <c r="F4263" s="0" t="str">
        <f aca="false">IF(AND(B4263="H0 verdadera",E4263="Rechazar H0"),"Error tipo I",IF(AND(B4263="Ha verdadera",E4263="No rechazar H0"),"Error tipo II","Decisión correcta"))</f>
        <v>Decisión correcta</v>
      </c>
    </row>
    <row r="4264" customFormat="false" ht="15" hidden="false" customHeight="false" outlineLevel="0" collapsed="false">
      <c r="A4264" s="0" t="n">
        <v>4243</v>
      </c>
      <c r="B4264" s="0" t="s">
        <v>86</v>
      </c>
      <c r="C4264" s="17" t="n">
        <v>-0.0486698303440931</v>
      </c>
      <c r="D4264" s="17" t="n">
        <f aca="false">(C4264-$B$4)/($B$6/SQRT($B$7))</f>
        <v>-0.243349151720465</v>
      </c>
      <c r="E4264" s="0" t="str">
        <f aca="false">IF(OR(AND($B$9="superior",D4264&gt;$B$10),AND($B$9="inferior",D4264&lt;-$B$10)),"Rechazar H0","No rechazar H0")</f>
        <v>No rechazar H0</v>
      </c>
      <c r="F4264" s="0" t="str">
        <f aca="false">IF(AND(B4264="H0 verdadera",E4264="Rechazar H0"),"Error tipo I",IF(AND(B4264="Ha verdadera",E4264="No rechazar H0"),"Error tipo II","Decisión correcta"))</f>
        <v>Error tipo II</v>
      </c>
    </row>
    <row r="4265" customFormat="false" ht="15" hidden="false" customHeight="false" outlineLevel="0" collapsed="false">
      <c r="A4265" s="0" t="n">
        <v>4244</v>
      </c>
      <c r="B4265" s="0" t="s">
        <v>86</v>
      </c>
      <c r="C4265" s="17" t="n">
        <v>-0.249901837299182</v>
      </c>
      <c r="D4265" s="17" t="n">
        <f aca="false">(C4265-$B$4)/($B$6/SQRT($B$7))</f>
        <v>-1.24950918649591</v>
      </c>
      <c r="E4265" s="0" t="str">
        <f aca="false">IF(OR(AND($B$9="superior",D4265&gt;$B$10),AND($B$9="inferior",D4265&lt;-$B$10)),"Rechazar H0","No rechazar H0")</f>
        <v>No rechazar H0</v>
      </c>
      <c r="F4265" s="0" t="str">
        <f aca="false">IF(AND(B4265="H0 verdadera",E4265="Rechazar H0"),"Error tipo I",IF(AND(B4265="Ha verdadera",E4265="No rechazar H0"),"Error tipo II","Decisión correcta"))</f>
        <v>Error tipo II</v>
      </c>
    </row>
    <row r="4266" customFormat="false" ht="15" hidden="false" customHeight="false" outlineLevel="0" collapsed="false">
      <c r="A4266" s="0" t="n">
        <v>4245</v>
      </c>
      <c r="B4266" s="0" t="s">
        <v>85</v>
      </c>
      <c r="C4266" s="17" t="n">
        <v>-0.0140384906916405</v>
      </c>
      <c r="D4266" s="17" t="n">
        <f aca="false">(C4266-$B$4)/($B$6/SQRT($B$7))</f>
        <v>-0.0701924534582026</v>
      </c>
      <c r="E4266" s="0" t="str">
        <f aca="false">IF(OR(AND($B$9="superior",D4266&gt;$B$10),AND($B$9="inferior",D4266&lt;-$B$10)),"Rechazar H0","No rechazar H0")</f>
        <v>No rechazar H0</v>
      </c>
      <c r="F4266" s="0" t="str">
        <f aca="false">IF(AND(B4266="H0 verdadera",E4266="Rechazar H0"),"Error tipo I",IF(AND(B4266="Ha verdadera",E4266="No rechazar H0"),"Error tipo II","Decisión correcta"))</f>
        <v>Decisión correcta</v>
      </c>
    </row>
    <row r="4267" customFormat="false" ht="15" hidden="false" customHeight="false" outlineLevel="0" collapsed="false">
      <c r="A4267" s="0" t="n">
        <v>4246</v>
      </c>
      <c r="B4267" s="0" t="s">
        <v>86</v>
      </c>
      <c r="C4267" s="17" t="n">
        <v>-0.343450587878141</v>
      </c>
      <c r="D4267" s="17" t="n">
        <f aca="false">(C4267-$B$4)/($B$6/SQRT($B$7))</f>
        <v>-1.7172529393907</v>
      </c>
      <c r="E4267" s="0" t="str">
        <f aca="false">IF(OR(AND($B$9="superior",D4267&gt;$B$10),AND($B$9="inferior",D4267&lt;-$B$10)),"Rechazar H0","No rechazar H0")</f>
        <v>Rechazar H0</v>
      </c>
      <c r="F4267" s="0" t="str">
        <f aca="false">IF(AND(B4267="H0 verdadera",E4267="Rechazar H0"),"Error tipo I",IF(AND(B4267="Ha verdadera",E4267="No rechazar H0"),"Error tipo II","Decisión correcta"))</f>
        <v>Decisión correcta</v>
      </c>
    </row>
    <row r="4268" customFormat="false" ht="15" hidden="false" customHeight="false" outlineLevel="0" collapsed="false">
      <c r="A4268" s="0" t="n">
        <v>4247</v>
      </c>
      <c r="B4268" s="0" t="s">
        <v>85</v>
      </c>
      <c r="C4268" s="17" t="n">
        <v>-0.191582098480271</v>
      </c>
      <c r="D4268" s="17" t="n">
        <f aca="false">(C4268-$B$4)/($B$6/SQRT($B$7))</f>
        <v>-0.957910492401355</v>
      </c>
      <c r="E4268" s="0" t="str">
        <f aca="false">IF(OR(AND($B$9="superior",D4268&gt;$B$10),AND($B$9="inferior",D4268&lt;-$B$10)),"Rechazar H0","No rechazar H0")</f>
        <v>No rechazar H0</v>
      </c>
      <c r="F4268" s="0" t="str">
        <f aca="false">IF(AND(B4268="H0 verdadera",E4268="Rechazar H0"),"Error tipo I",IF(AND(B4268="Ha verdadera",E4268="No rechazar H0"),"Error tipo II","Decisión correcta"))</f>
        <v>Decisión correcta</v>
      </c>
    </row>
    <row r="4269" customFormat="false" ht="15" hidden="false" customHeight="false" outlineLevel="0" collapsed="false">
      <c r="A4269" s="0" t="n">
        <v>4248</v>
      </c>
      <c r="B4269" s="0" t="s">
        <v>86</v>
      </c>
      <c r="C4269" s="17" t="n">
        <v>-0.431327108419028</v>
      </c>
      <c r="D4269" s="17" t="n">
        <f aca="false">(C4269-$B$4)/($B$6/SQRT($B$7))</f>
        <v>-2.15663554209514</v>
      </c>
      <c r="E4269" s="0" t="str">
        <f aca="false">IF(OR(AND($B$9="superior",D4269&gt;$B$10),AND($B$9="inferior",D4269&lt;-$B$10)),"Rechazar H0","No rechazar H0")</f>
        <v>Rechazar H0</v>
      </c>
      <c r="F4269" s="0" t="str">
        <f aca="false">IF(AND(B4269="H0 verdadera",E4269="Rechazar H0"),"Error tipo I",IF(AND(B4269="Ha verdadera",E4269="No rechazar H0"),"Error tipo II","Decisión correcta"))</f>
        <v>Decisión correcta</v>
      </c>
    </row>
    <row r="4270" customFormat="false" ht="15" hidden="false" customHeight="false" outlineLevel="0" collapsed="false">
      <c r="A4270" s="0" t="n">
        <v>4249</v>
      </c>
      <c r="B4270" s="0" t="s">
        <v>85</v>
      </c>
      <c r="C4270" s="17" t="n">
        <v>0.0737393036260774</v>
      </c>
      <c r="D4270" s="17" t="n">
        <f aca="false">(C4270-$B$4)/($B$6/SQRT($B$7))</f>
        <v>0.368696518130387</v>
      </c>
      <c r="E4270" s="0" t="str">
        <f aca="false">IF(OR(AND($B$9="superior",D4270&gt;$B$10),AND($B$9="inferior",D4270&lt;-$B$10)),"Rechazar H0","No rechazar H0")</f>
        <v>No rechazar H0</v>
      </c>
      <c r="F4270" s="0" t="str">
        <f aca="false">IF(AND(B4270="H0 verdadera",E4270="Rechazar H0"),"Error tipo I",IF(AND(B4270="Ha verdadera",E4270="No rechazar H0"),"Error tipo II","Decisión correcta"))</f>
        <v>Decisión correcta</v>
      </c>
    </row>
    <row r="4271" customFormat="false" ht="15" hidden="false" customHeight="false" outlineLevel="0" collapsed="false">
      <c r="A4271" s="0" t="n">
        <v>4250</v>
      </c>
      <c r="B4271" s="0" t="s">
        <v>85</v>
      </c>
      <c r="C4271" s="17" t="n">
        <v>-0.0886124046761368</v>
      </c>
      <c r="D4271" s="17" t="n">
        <f aca="false">(C4271-$B$4)/($B$6/SQRT($B$7))</f>
        <v>-0.443062023380684</v>
      </c>
      <c r="E4271" s="0" t="str">
        <f aca="false">IF(OR(AND($B$9="superior",D4271&gt;$B$10),AND($B$9="inferior",D4271&lt;-$B$10)),"Rechazar H0","No rechazar H0")</f>
        <v>No rechazar H0</v>
      </c>
      <c r="F4271" s="0" t="str">
        <f aca="false">IF(AND(B4271="H0 verdadera",E4271="Rechazar H0"),"Error tipo I",IF(AND(B4271="Ha verdadera",E4271="No rechazar H0"),"Error tipo II","Decisión correcta"))</f>
        <v>Decisión correcta</v>
      </c>
    </row>
    <row r="4272" customFormat="false" ht="15" hidden="false" customHeight="false" outlineLevel="0" collapsed="false">
      <c r="A4272" s="0" t="n">
        <v>4251</v>
      </c>
      <c r="B4272" s="0" t="s">
        <v>85</v>
      </c>
      <c r="C4272" s="17" t="n">
        <v>-0.229115730069678</v>
      </c>
      <c r="D4272" s="17" t="n">
        <f aca="false">(C4272-$B$4)/($B$6/SQRT($B$7))</f>
        <v>-1.14557865034839</v>
      </c>
      <c r="E4272" s="0" t="str">
        <f aca="false">IF(OR(AND($B$9="superior",D4272&gt;$B$10),AND($B$9="inferior",D4272&lt;-$B$10)),"Rechazar H0","No rechazar H0")</f>
        <v>No rechazar H0</v>
      </c>
      <c r="F4272" s="0" t="str">
        <f aca="false">IF(AND(B4272="H0 verdadera",E4272="Rechazar H0"),"Error tipo I",IF(AND(B4272="Ha verdadera",E4272="No rechazar H0"),"Error tipo II","Decisión correcta"))</f>
        <v>Decisión correcta</v>
      </c>
    </row>
    <row r="4273" customFormat="false" ht="15" hidden="false" customHeight="false" outlineLevel="0" collapsed="false">
      <c r="A4273" s="0" t="n">
        <v>4252</v>
      </c>
      <c r="B4273" s="0" t="s">
        <v>86</v>
      </c>
      <c r="C4273" s="17" t="n">
        <v>-0.285067964092256</v>
      </c>
      <c r="D4273" s="17" t="n">
        <f aca="false">(C4273-$B$4)/($B$6/SQRT($B$7))</f>
        <v>-1.42533982046128</v>
      </c>
      <c r="E4273" s="0" t="str">
        <f aca="false">IF(OR(AND($B$9="superior",D4273&gt;$B$10),AND($B$9="inferior",D4273&lt;-$B$10)),"Rechazar H0","No rechazar H0")</f>
        <v>No rechazar H0</v>
      </c>
      <c r="F4273" s="0" t="str">
        <f aca="false">IF(AND(B4273="H0 verdadera",E4273="Rechazar H0"),"Error tipo I",IF(AND(B4273="Ha verdadera",E4273="No rechazar H0"),"Error tipo II","Decisión correcta"))</f>
        <v>Error tipo II</v>
      </c>
    </row>
    <row r="4274" customFormat="false" ht="15" hidden="false" customHeight="false" outlineLevel="0" collapsed="false">
      <c r="A4274" s="0" t="n">
        <v>4253</v>
      </c>
      <c r="B4274" s="0" t="s">
        <v>85</v>
      </c>
      <c r="C4274" s="17" t="n">
        <v>-0.069428792628263</v>
      </c>
      <c r="D4274" s="17" t="n">
        <f aca="false">(C4274-$B$4)/($B$6/SQRT($B$7))</f>
        <v>-0.347143963141315</v>
      </c>
      <c r="E4274" s="0" t="str">
        <f aca="false">IF(OR(AND($B$9="superior",D4274&gt;$B$10),AND($B$9="inferior",D4274&lt;-$B$10)),"Rechazar H0","No rechazar H0")</f>
        <v>No rechazar H0</v>
      </c>
      <c r="F4274" s="0" t="str">
        <f aca="false">IF(AND(B4274="H0 verdadera",E4274="Rechazar H0"),"Error tipo I",IF(AND(B4274="Ha verdadera",E4274="No rechazar H0"),"Error tipo II","Decisión correcta"))</f>
        <v>Decisión correcta</v>
      </c>
    </row>
    <row r="4275" customFormat="false" ht="15" hidden="false" customHeight="false" outlineLevel="0" collapsed="false">
      <c r="A4275" s="0" t="n">
        <v>4254</v>
      </c>
      <c r="B4275" s="0" t="s">
        <v>85</v>
      </c>
      <c r="C4275" s="17" t="n">
        <v>0.178642434054245</v>
      </c>
      <c r="D4275" s="17" t="n">
        <f aca="false">(C4275-$B$4)/($B$6/SQRT($B$7))</f>
        <v>0.893212170271226</v>
      </c>
      <c r="E4275" s="0" t="str">
        <f aca="false">IF(OR(AND($B$9="superior",D4275&gt;$B$10),AND($B$9="inferior",D4275&lt;-$B$10)),"Rechazar H0","No rechazar H0")</f>
        <v>No rechazar H0</v>
      </c>
      <c r="F4275" s="0" t="str">
        <f aca="false">IF(AND(B4275="H0 verdadera",E4275="Rechazar H0"),"Error tipo I",IF(AND(B4275="Ha verdadera",E4275="No rechazar H0"),"Error tipo II","Decisión correcta"))</f>
        <v>Decisión correcta</v>
      </c>
    </row>
    <row r="4276" customFormat="false" ht="15" hidden="false" customHeight="false" outlineLevel="0" collapsed="false">
      <c r="A4276" s="0" t="n">
        <v>4255</v>
      </c>
      <c r="B4276" s="0" t="s">
        <v>86</v>
      </c>
      <c r="C4276" s="17" t="n">
        <v>-0.434385202846906</v>
      </c>
      <c r="D4276" s="17" t="n">
        <f aca="false">(C4276-$B$4)/($B$6/SQRT($B$7))</f>
        <v>-2.17192601423453</v>
      </c>
      <c r="E4276" s="0" t="str">
        <f aca="false">IF(OR(AND($B$9="superior",D4276&gt;$B$10),AND($B$9="inferior",D4276&lt;-$B$10)),"Rechazar H0","No rechazar H0")</f>
        <v>Rechazar H0</v>
      </c>
      <c r="F4276" s="0" t="str">
        <f aca="false">IF(AND(B4276="H0 verdadera",E4276="Rechazar H0"),"Error tipo I",IF(AND(B4276="Ha verdadera",E4276="No rechazar H0"),"Error tipo II","Decisión correcta"))</f>
        <v>Decisión correcta</v>
      </c>
    </row>
    <row r="4277" customFormat="false" ht="15" hidden="false" customHeight="false" outlineLevel="0" collapsed="false">
      <c r="A4277" s="0" t="n">
        <v>4256</v>
      </c>
      <c r="B4277" s="0" t="s">
        <v>86</v>
      </c>
      <c r="C4277" s="17" t="n">
        <v>-0.0156009636824286</v>
      </c>
      <c r="D4277" s="17" t="n">
        <f aca="false">(C4277-$B$4)/($B$6/SQRT($B$7))</f>
        <v>-0.078004818412143</v>
      </c>
      <c r="E4277" s="0" t="str">
        <f aca="false">IF(OR(AND($B$9="superior",D4277&gt;$B$10),AND($B$9="inferior",D4277&lt;-$B$10)),"Rechazar H0","No rechazar H0")</f>
        <v>No rechazar H0</v>
      </c>
      <c r="F4277" s="0" t="str">
        <f aca="false">IF(AND(B4277="H0 verdadera",E4277="Rechazar H0"),"Error tipo I",IF(AND(B4277="Ha verdadera",E4277="No rechazar H0"),"Error tipo II","Decisión correcta"))</f>
        <v>Error tipo II</v>
      </c>
    </row>
    <row r="4278" customFormat="false" ht="15" hidden="false" customHeight="false" outlineLevel="0" collapsed="false">
      <c r="A4278" s="0" t="n">
        <v>4257</v>
      </c>
      <c r="B4278" s="0" t="s">
        <v>85</v>
      </c>
      <c r="C4278" s="17" t="n">
        <v>0.165974931002226</v>
      </c>
      <c r="D4278" s="17" t="n">
        <f aca="false">(C4278-$B$4)/($B$6/SQRT($B$7))</f>
        <v>0.82987465501113</v>
      </c>
      <c r="E4278" s="0" t="str">
        <f aca="false">IF(OR(AND($B$9="superior",D4278&gt;$B$10),AND($B$9="inferior",D4278&lt;-$B$10)),"Rechazar H0","No rechazar H0")</f>
        <v>No rechazar H0</v>
      </c>
      <c r="F4278" s="0" t="str">
        <f aca="false">IF(AND(B4278="H0 verdadera",E4278="Rechazar H0"),"Error tipo I",IF(AND(B4278="Ha verdadera",E4278="No rechazar H0"),"Error tipo II","Decisión correcta"))</f>
        <v>Decisión correcta</v>
      </c>
    </row>
    <row r="4279" customFormat="false" ht="15" hidden="false" customHeight="false" outlineLevel="0" collapsed="false">
      <c r="A4279" s="0" t="n">
        <v>4258</v>
      </c>
      <c r="B4279" s="0" t="s">
        <v>86</v>
      </c>
      <c r="C4279" s="17" t="n">
        <v>-0.464476416597217</v>
      </c>
      <c r="D4279" s="17" t="n">
        <f aca="false">(C4279-$B$4)/($B$6/SQRT($B$7))</f>
        <v>-2.32238208298608</v>
      </c>
      <c r="E4279" s="0" t="str">
        <f aca="false">IF(OR(AND($B$9="superior",D4279&gt;$B$10),AND($B$9="inferior",D4279&lt;-$B$10)),"Rechazar H0","No rechazar H0")</f>
        <v>Rechazar H0</v>
      </c>
      <c r="F4279" s="0" t="str">
        <f aca="false">IF(AND(B4279="H0 verdadera",E4279="Rechazar H0"),"Error tipo I",IF(AND(B4279="Ha verdadera",E4279="No rechazar H0"),"Error tipo II","Decisión correcta"))</f>
        <v>Decisión correcta</v>
      </c>
    </row>
    <row r="4280" customFormat="false" ht="15" hidden="false" customHeight="false" outlineLevel="0" collapsed="false">
      <c r="A4280" s="0" t="n">
        <v>4259</v>
      </c>
      <c r="B4280" s="0" t="s">
        <v>86</v>
      </c>
      <c r="C4280" s="17" t="n">
        <v>-0.431362696689849</v>
      </c>
      <c r="D4280" s="17" t="n">
        <f aca="false">(C4280-$B$4)/($B$6/SQRT($B$7))</f>
        <v>-2.15681348344924</v>
      </c>
      <c r="E4280" s="0" t="str">
        <f aca="false">IF(OR(AND($B$9="superior",D4280&gt;$B$10),AND($B$9="inferior",D4280&lt;-$B$10)),"Rechazar H0","No rechazar H0")</f>
        <v>Rechazar H0</v>
      </c>
      <c r="F4280" s="0" t="str">
        <f aca="false">IF(AND(B4280="H0 verdadera",E4280="Rechazar H0"),"Error tipo I",IF(AND(B4280="Ha verdadera",E4280="No rechazar H0"),"Error tipo II","Decisión correcta"))</f>
        <v>Decisión correcta</v>
      </c>
    </row>
    <row r="4281" customFormat="false" ht="15" hidden="false" customHeight="false" outlineLevel="0" collapsed="false">
      <c r="A4281" s="0" t="n">
        <v>4260</v>
      </c>
      <c r="B4281" s="0" t="s">
        <v>86</v>
      </c>
      <c r="C4281" s="17" t="n">
        <v>-0.52642875751792</v>
      </c>
      <c r="D4281" s="17" t="n">
        <f aca="false">(C4281-$B$4)/($B$6/SQRT($B$7))</f>
        <v>-2.6321437875896</v>
      </c>
      <c r="E4281" s="0" t="str">
        <f aca="false">IF(OR(AND($B$9="superior",D4281&gt;$B$10),AND($B$9="inferior",D4281&lt;-$B$10)),"Rechazar H0","No rechazar H0")</f>
        <v>Rechazar H0</v>
      </c>
      <c r="F4281" s="0" t="str">
        <f aca="false">IF(AND(B4281="H0 verdadera",E4281="Rechazar H0"),"Error tipo I",IF(AND(B4281="Ha verdadera",E4281="No rechazar H0"),"Error tipo II","Decisión correcta"))</f>
        <v>Decisión correcta</v>
      </c>
    </row>
    <row r="4282" customFormat="false" ht="15" hidden="false" customHeight="false" outlineLevel="0" collapsed="false">
      <c r="A4282" s="0" t="n">
        <v>4261</v>
      </c>
      <c r="B4282" s="0" t="s">
        <v>85</v>
      </c>
      <c r="C4282" s="17" t="n">
        <v>-0.0874460970503501</v>
      </c>
      <c r="D4282" s="17" t="n">
        <f aca="false">(C4282-$B$4)/($B$6/SQRT($B$7))</f>
        <v>-0.437230485251751</v>
      </c>
      <c r="E4282" s="0" t="str">
        <f aca="false">IF(OR(AND($B$9="superior",D4282&gt;$B$10),AND($B$9="inferior",D4282&lt;-$B$10)),"Rechazar H0","No rechazar H0")</f>
        <v>No rechazar H0</v>
      </c>
      <c r="F4282" s="0" t="str">
        <f aca="false">IF(AND(B4282="H0 verdadera",E4282="Rechazar H0"),"Error tipo I",IF(AND(B4282="Ha verdadera",E4282="No rechazar H0"),"Error tipo II","Decisión correcta"))</f>
        <v>Decisión correcta</v>
      </c>
    </row>
    <row r="4283" customFormat="false" ht="15" hidden="false" customHeight="false" outlineLevel="0" collapsed="false">
      <c r="A4283" s="0" t="n">
        <v>4262</v>
      </c>
      <c r="B4283" s="0" t="s">
        <v>86</v>
      </c>
      <c r="C4283" s="17" t="n">
        <v>-0.281263206003777</v>
      </c>
      <c r="D4283" s="17" t="n">
        <f aca="false">(C4283-$B$4)/($B$6/SQRT($B$7))</f>
        <v>-1.40631603001889</v>
      </c>
      <c r="E4283" s="0" t="str">
        <f aca="false">IF(OR(AND($B$9="superior",D4283&gt;$B$10),AND($B$9="inferior",D4283&lt;-$B$10)),"Rechazar H0","No rechazar H0")</f>
        <v>No rechazar H0</v>
      </c>
      <c r="F4283" s="0" t="str">
        <f aca="false">IF(AND(B4283="H0 verdadera",E4283="Rechazar H0"),"Error tipo I",IF(AND(B4283="Ha verdadera",E4283="No rechazar H0"),"Error tipo II","Decisión correcta"))</f>
        <v>Error tipo II</v>
      </c>
    </row>
    <row r="4284" customFormat="false" ht="15" hidden="false" customHeight="false" outlineLevel="0" collapsed="false">
      <c r="A4284" s="0" t="n">
        <v>4263</v>
      </c>
      <c r="B4284" s="0" t="s">
        <v>85</v>
      </c>
      <c r="C4284" s="17" t="n">
        <v>-0.0102162055944379</v>
      </c>
      <c r="D4284" s="17" t="n">
        <f aca="false">(C4284-$B$4)/($B$6/SQRT($B$7))</f>
        <v>-0.0510810279721897</v>
      </c>
      <c r="E4284" s="0" t="str">
        <f aca="false">IF(OR(AND($B$9="superior",D4284&gt;$B$10),AND($B$9="inferior",D4284&lt;-$B$10)),"Rechazar H0","No rechazar H0")</f>
        <v>No rechazar H0</v>
      </c>
      <c r="F4284" s="0" t="str">
        <f aca="false">IF(AND(B4284="H0 verdadera",E4284="Rechazar H0"),"Error tipo I",IF(AND(B4284="Ha verdadera",E4284="No rechazar H0"),"Error tipo II","Decisión correcta"))</f>
        <v>Decisión correcta</v>
      </c>
    </row>
    <row r="4285" customFormat="false" ht="15" hidden="false" customHeight="false" outlineLevel="0" collapsed="false">
      <c r="A4285" s="0" t="n">
        <v>4264</v>
      </c>
      <c r="B4285" s="0" t="s">
        <v>86</v>
      </c>
      <c r="C4285" s="17" t="n">
        <v>-0.0969592558330326</v>
      </c>
      <c r="D4285" s="17" t="n">
        <f aca="false">(C4285-$B$4)/($B$6/SQRT($B$7))</f>
        <v>-0.484796279165163</v>
      </c>
      <c r="E4285" s="0" t="str">
        <f aca="false">IF(OR(AND($B$9="superior",D4285&gt;$B$10),AND($B$9="inferior",D4285&lt;-$B$10)),"Rechazar H0","No rechazar H0")</f>
        <v>No rechazar H0</v>
      </c>
      <c r="F4285" s="0" t="str">
        <f aca="false">IF(AND(B4285="H0 verdadera",E4285="Rechazar H0"),"Error tipo I",IF(AND(B4285="Ha verdadera",E4285="No rechazar H0"),"Error tipo II","Decisión correcta"))</f>
        <v>Error tipo II</v>
      </c>
    </row>
    <row r="4286" customFormat="false" ht="15" hidden="false" customHeight="false" outlineLevel="0" collapsed="false">
      <c r="A4286" s="0" t="n">
        <v>4265</v>
      </c>
      <c r="B4286" s="0" t="s">
        <v>86</v>
      </c>
      <c r="C4286" s="17" t="n">
        <v>-0.311428982038595</v>
      </c>
      <c r="D4286" s="17" t="n">
        <f aca="false">(C4286-$B$4)/($B$6/SQRT($B$7))</f>
        <v>-1.55714491019297</v>
      </c>
      <c r="E4286" s="0" t="str">
        <f aca="false">IF(OR(AND($B$9="superior",D4286&gt;$B$10),AND($B$9="inferior",D4286&lt;-$B$10)),"Rechazar H0","No rechazar H0")</f>
        <v>No rechazar H0</v>
      </c>
      <c r="F4286" s="0" t="str">
        <f aca="false">IF(AND(B4286="H0 verdadera",E4286="Rechazar H0"),"Error tipo I",IF(AND(B4286="Ha verdadera",E4286="No rechazar H0"),"Error tipo II","Decisión correcta"))</f>
        <v>Error tipo II</v>
      </c>
    </row>
    <row r="4287" customFormat="false" ht="15" hidden="false" customHeight="false" outlineLevel="0" collapsed="false">
      <c r="A4287" s="0" t="n">
        <v>4266</v>
      </c>
      <c r="B4287" s="0" t="s">
        <v>85</v>
      </c>
      <c r="C4287" s="17" t="n">
        <v>-0.115995719813312</v>
      </c>
      <c r="D4287" s="17" t="n">
        <f aca="false">(C4287-$B$4)/($B$6/SQRT($B$7))</f>
        <v>-0.579978599066562</v>
      </c>
      <c r="E4287" s="0" t="str">
        <f aca="false">IF(OR(AND($B$9="superior",D4287&gt;$B$10),AND($B$9="inferior",D4287&lt;-$B$10)),"Rechazar H0","No rechazar H0")</f>
        <v>No rechazar H0</v>
      </c>
      <c r="F4287" s="0" t="str">
        <f aca="false">IF(AND(B4287="H0 verdadera",E4287="Rechazar H0"),"Error tipo I",IF(AND(B4287="Ha verdadera",E4287="No rechazar H0"),"Error tipo II","Decisión correcta"))</f>
        <v>Decisión correcta</v>
      </c>
    </row>
    <row r="4288" customFormat="false" ht="15" hidden="false" customHeight="false" outlineLevel="0" collapsed="false">
      <c r="A4288" s="0" t="n">
        <v>4267</v>
      </c>
      <c r="B4288" s="0" t="s">
        <v>86</v>
      </c>
      <c r="C4288" s="17" t="n">
        <v>-0.710559725912276</v>
      </c>
      <c r="D4288" s="17" t="n">
        <f aca="false">(C4288-$B$4)/($B$6/SQRT($B$7))</f>
        <v>-3.55279862956138</v>
      </c>
      <c r="E4288" s="0" t="str">
        <f aca="false">IF(OR(AND($B$9="superior",D4288&gt;$B$10),AND($B$9="inferior",D4288&lt;-$B$10)),"Rechazar H0","No rechazar H0")</f>
        <v>Rechazar H0</v>
      </c>
      <c r="F4288" s="0" t="str">
        <f aca="false">IF(AND(B4288="H0 verdadera",E4288="Rechazar H0"),"Error tipo I",IF(AND(B4288="Ha verdadera",E4288="No rechazar H0"),"Error tipo II","Decisión correcta"))</f>
        <v>Decisión correcta</v>
      </c>
    </row>
    <row r="4289" customFormat="false" ht="15" hidden="false" customHeight="false" outlineLevel="0" collapsed="false">
      <c r="A4289" s="0" t="n">
        <v>4268</v>
      </c>
      <c r="B4289" s="0" t="s">
        <v>86</v>
      </c>
      <c r="C4289" s="17" t="n">
        <v>-0.39004554894912</v>
      </c>
      <c r="D4289" s="17" t="n">
        <f aca="false">(C4289-$B$4)/($B$6/SQRT($B$7))</f>
        <v>-1.9502277447456</v>
      </c>
      <c r="E4289" s="0" t="str">
        <f aca="false">IF(OR(AND($B$9="superior",D4289&gt;$B$10),AND($B$9="inferior",D4289&lt;-$B$10)),"Rechazar H0","No rechazar H0")</f>
        <v>Rechazar H0</v>
      </c>
      <c r="F4289" s="0" t="str">
        <f aca="false">IF(AND(B4289="H0 verdadera",E4289="Rechazar H0"),"Error tipo I",IF(AND(B4289="Ha verdadera",E4289="No rechazar H0"),"Error tipo II","Decisión correcta"))</f>
        <v>Decisión correcta</v>
      </c>
    </row>
    <row r="4290" customFormat="false" ht="15" hidden="false" customHeight="false" outlineLevel="0" collapsed="false">
      <c r="A4290" s="0" t="n">
        <v>4269</v>
      </c>
      <c r="B4290" s="0" t="s">
        <v>85</v>
      </c>
      <c r="C4290" s="17" t="n">
        <v>-0.214551521670924</v>
      </c>
      <c r="D4290" s="17" t="n">
        <f aca="false">(C4290-$B$4)/($B$6/SQRT($B$7))</f>
        <v>-1.07275760835462</v>
      </c>
      <c r="E4290" s="0" t="str">
        <f aca="false">IF(OR(AND($B$9="superior",D4290&gt;$B$10),AND($B$9="inferior",D4290&lt;-$B$10)),"Rechazar H0","No rechazar H0")</f>
        <v>No rechazar H0</v>
      </c>
      <c r="F4290" s="0" t="str">
        <f aca="false">IF(AND(B4290="H0 verdadera",E4290="Rechazar H0"),"Error tipo I",IF(AND(B4290="Ha verdadera",E4290="No rechazar H0"),"Error tipo II","Decisión correcta"))</f>
        <v>Decisión correcta</v>
      </c>
    </row>
    <row r="4291" customFormat="false" ht="15" hidden="false" customHeight="false" outlineLevel="0" collapsed="false">
      <c r="A4291" s="0" t="n">
        <v>4270</v>
      </c>
      <c r="B4291" s="0" t="s">
        <v>85</v>
      </c>
      <c r="C4291" s="17" t="n">
        <v>-0.372492781754839</v>
      </c>
      <c r="D4291" s="17" t="n">
        <f aca="false">(C4291-$B$4)/($B$6/SQRT($B$7))</f>
        <v>-1.86246390877419</v>
      </c>
      <c r="E4291" s="0" t="str">
        <f aca="false">IF(OR(AND($B$9="superior",D4291&gt;$B$10),AND($B$9="inferior",D4291&lt;-$B$10)),"Rechazar H0","No rechazar H0")</f>
        <v>Rechazar H0</v>
      </c>
      <c r="F4291" s="0" t="str">
        <f aca="false">IF(AND(B4291="H0 verdadera",E4291="Rechazar H0"),"Error tipo I",IF(AND(B4291="Ha verdadera",E4291="No rechazar H0"),"Error tipo II","Decisión correcta"))</f>
        <v>Error tipo I</v>
      </c>
    </row>
    <row r="4292" customFormat="false" ht="15" hidden="false" customHeight="false" outlineLevel="0" collapsed="false">
      <c r="A4292" s="0" t="n">
        <v>4271</v>
      </c>
      <c r="B4292" s="0" t="s">
        <v>85</v>
      </c>
      <c r="C4292" s="17" t="n">
        <v>0.46394225051601</v>
      </c>
      <c r="D4292" s="17" t="n">
        <f aca="false">(C4292-$B$4)/($B$6/SQRT($B$7))</f>
        <v>2.31971125258005</v>
      </c>
      <c r="E4292" s="0" t="str">
        <f aca="false">IF(OR(AND($B$9="superior",D4292&gt;$B$10),AND($B$9="inferior",D4292&lt;-$B$10)),"Rechazar H0","No rechazar H0")</f>
        <v>No rechazar H0</v>
      </c>
      <c r="F4292" s="0" t="str">
        <f aca="false">IF(AND(B4292="H0 verdadera",E4292="Rechazar H0"),"Error tipo I",IF(AND(B4292="Ha verdadera",E4292="No rechazar H0"),"Error tipo II","Decisión correcta"))</f>
        <v>Decisión correcta</v>
      </c>
    </row>
    <row r="4293" customFormat="false" ht="15" hidden="false" customHeight="false" outlineLevel="0" collapsed="false">
      <c r="A4293" s="0" t="n">
        <v>4272</v>
      </c>
      <c r="B4293" s="0" t="s">
        <v>85</v>
      </c>
      <c r="C4293" s="17" t="n">
        <v>-0.0433915218679729</v>
      </c>
      <c r="D4293" s="17" t="n">
        <f aca="false">(C4293-$B$4)/($B$6/SQRT($B$7))</f>
        <v>-0.216957609339864</v>
      </c>
      <c r="E4293" s="0" t="str">
        <f aca="false">IF(OR(AND($B$9="superior",D4293&gt;$B$10),AND($B$9="inferior",D4293&lt;-$B$10)),"Rechazar H0","No rechazar H0")</f>
        <v>No rechazar H0</v>
      </c>
      <c r="F4293" s="0" t="str">
        <f aca="false">IF(AND(B4293="H0 verdadera",E4293="Rechazar H0"),"Error tipo I",IF(AND(B4293="Ha verdadera",E4293="No rechazar H0"),"Error tipo II","Decisión correcta"))</f>
        <v>Decisión correcta</v>
      </c>
    </row>
    <row r="4294" customFormat="false" ht="15" hidden="false" customHeight="false" outlineLevel="0" collapsed="false">
      <c r="A4294" s="0" t="n">
        <v>4273</v>
      </c>
      <c r="B4294" s="0" t="s">
        <v>85</v>
      </c>
      <c r="C4294" s="17" t="n">
        <v>-0.103423169782839</v>
      </c>
      <c r="D4294" s="17" t="n">
        <f aca="false">(C4294-$B$4)/($B$6/SQRT($B$7))</f>
        <v>-0.517115848914197</v>
      </c>
      <c r="E4294" s="0" t="str">
        <f aca="false">IF(OR(AND($B$9="superior",D4294&gt;$B$10),AND($B$9="inferior",D4294&lt;-$B$10)),"Rechazar H0","No rechazar H0")</f>
        <v>No rechazar H0</v>
      </c>
      <c r="F4294" s="0" t="str">
        <f aca="false">IF(AND(B4294="H0 verdadera",E4294="Rechazar H0"),"Error tipo I",IF(AND(B4294="Ha verdadera",E4294="No rechazar H0"),"Error tipo II","Decisión correcta"))</f>
        <v>Decisión correcta</v>
      </c>
    </row>
    <row r="4295" customFormat="false" ht="15" hidden="false" customHeight="false" outlineLevel="0" collapsed="false">
      <c r="A4295" s="0" t="n">
        <v>4274</v>
      </c>
      <c r="B4295" s="0" t="s">
        <v>86</v>
      </c>
      <c r="C4295" s="17" t="n">
        <v>-0.536862039427768</v>
      </c>
      <c r="D4295" s="17" t="n">
        <f aca="false">(C4295-$B$4)/($B$6/SQRT($B$7))</f>
        <v>-2.68431019713884</v>
      </c>
      <c r="E4295" s="0" t="str">
        <f aca="false">IF(OR(AND($B$9="superior",D4295&gt;$B$10),AND($B$9="inferior",D4295&lt;-$B$10)),"Rechazar H0","No rechazar H0")</f>
        <v>Rechazar H0</v>
      </c>
      <c r="F4295" s="0" t="str">
        <f aca="false">IF(AND(B4295="H0 verdadera",E4295="Rechazar H0"),"Error tipo I",IF(AND(B4295="Ha verdadera",E4295="No rechazar H0"),"Error tipo II","Decisión correcta"))</f>
        <v>Decisión correcta</v>
      </c>
    </row>
    <row r="4296" customFormat="false" ht="15" hidden="false" customHeight="false" outlineLevel="0" collapsed="false">
      <c r="A4296" s="0" t="n">
        <v>4275</v>
      </c>
      <c r="B4296" s="0" t="s">
        <v>85</v>
      </c>
      <c r="C4296" s="17" t="n">
        <v>0.00352519713629081</v>
      </c>
      <c r="D4296" s="17" t="n">
        <f aca="false">(C4296-$B$4)/($B$6/SQRT($B$7))</f>
        <v>0.017625985681454</v>
      </c>
      <c r="E4296" s="0" t="str">
        <f aca="false">IF(OR(AND($B$9="superior",D4296&gt;$B$10),AND($B$9="inferior",D4296&lt;-$B$10)),"Rechazar H0","No rechazar H0")</f>
        <v>No rechazar H0</v>
      </c>
      <c r="F4296" s="0" t="str">
        <f aca="false">IF(AND(B4296="H0 verdadera",E4296="Rechazar H0"),"Error tipo I",IF(AND(B4296="Ha verdadera",E4296="No rechazar H0"),"Error tipo II","Decisión correcta"))</f>
        <v>Decisión correcta</v>
      </c>
    </row>
    <row r="4297" customFormat="false" ht="15" hidden="false" customHeight="false" outlineLevel="0" collapsed="false">
      <c r="A4297" s="0" t="n">
        <v>4276</v>
      </c>
      <c r="B4297" s="0" t="s">
        <v>86</v>
      </c>
      <c r="C4297" s="17" t="n">
        <v>-0.279902527591237</v>
      </c>
      <c r="D4297" s="17" t="n">
        <f aca="false">(C4297-$B$4)/($B$6/SQRT($B$7))</f>
        <v>-1.39951263795618</v>
      </c>
      <c r="E4297" s="0" t="str">
        <f aca="false">IF(OR(AND($B$9="superior",D4297&gt;$B$10),AND($B$9="inferior",D4297&lt;-$B$10)),"Rechazar H0","No rechazar H0")</f>
        <v>No rechazar H0</v>
      </c>
      <c r="F4297" s="0" t="str">
        <f aca="false">IF(AND(B4297="H0 verdadera",E4297="Rechazar H0"),"Error tipo I",IF(AND(B4297="Ha verdadera",E4297="No rechazar H0"),"Error tipo II","Decisión correcta"))</f>
        <v>Error tipo II</v>
      </c>
    </row>
    <row r="4298" customFormat="false" ht="15" hidden="false" customHeight="false" outlineLevel="0" collapsed="false">
      <c r="A4298" s="0" t="n">
        <v>4277</v>
      </c>
      <c r="B4298" s="0" t="s">
        <v>86</v>
      </c>
      <c r="C4298" s="17" t="n">
        <v>-0.203046289963102</v>
      </c>
      <c r="D4298" s="17" t="n">
        <f aca="false">(C4298-$B$4)/($B$6/SQRT($B$7))</f>
        <v>-1.01523144981551</v>
      </c>
      <c r="E4298" s="0" t="str">
        <f aca="false">IF(OR(AND($B$9="superior",D4298&gt;$B$10),AND($B$9="inferior",D4298&lt;-$B$10)),"Rechazar H0","No rechazar H0")</f>
        <v>No rechazar H0</v>
      </c>
      <c r="F4298" s="0" t="str">
        <f aca="false">IF(AND(B4298="H0 verdadera",E4298="Rechazar H0"),"Error tipo I",IF(AND(B4298="Ha verdadera",E4298="No rechazar H0"),"Error tipo II","Decisión correcta"))</f>
        <v>Error tipo II</v>
      </c>
    </row>
    <row r="4299" customFormat="false" ht="15" hidden="false" customHeight="false" outlineLevel="0" collapsed="false">
      <c r="A4299" s="0" t="n">
        <v>4278</v>
      </c>
      <c r="B4299" s="0" t="s">
        <v>86</v>
      </c>
      <c r="C4299" s="17" t="n">
        <v>-0.336019648312249</v>
      </c>
      <c r="D4299" s="17" t="n">
        <f aca="false">(C4299-$B$4)/($B$6/SQRT($B$7))</f>
        <v>-1.68009824156125</v>
      </c>
      <c r="E4299" s="0" t="str">
        <f aca="false">IF(OR(AND($B$9="superior",D4299&gt;$B$10),AND($B$9="inferior",D4299&lt;-$B$10)),"Rechazar H0","No rechazar H0")</f>
        <v>Rechazar H0</v>
      </c>
      <c r="F4299" s="0" t="str">
        <f aca="false">IF(AND(B4299="H0 verdadera",E4299="Rechazar H0"),"Error tipo I",IF(AND(B4299="Ha verdadera",E4299="No rechazar H0"),"Error tipo II","Decisión correcta"))</f>
        <v>Decisión correcta</v>
      </c>
    </row>
    <row r="4300" customFormat="false" ht="15" hidden="false" customHeight="false" outlineLevel="0" collapsed="false">
      <c r="A4300" s="0" t="n">
        <v>4279</v>
      </c>
      <c r="B4300" s="0" t="s">
        <v>86</v>
      </c>
      <c r="C4300" s="17" t="n">
        <v>-0.618682143323465</v>
      </c>
      <c r="D4300" s="17" t="n">
        <f aca="false">(C4300-$B$4)/($B$6/SQRT($B$7))</f>
        <v>-3.09341071661733</v>
      </c>
      <c r="E4300" s="0" t="str">
        <f aca="false">IF(OR(AND($B$9="superior",D4300&gt;$B$10),AND($B$9="inferior",D4300&lt;-$B$10)),"Rechazar H0","No rechazar H0")</f>
        <v>Rechazar H0</v>
      </c>
      <c r="F4300" s="0" t="str">
        <f aca="false">IF(AND(B4300="H0 verdadera",E4300="Rechazar H0"),"Error tipo I",IF(AND(B4300="Ha verdadera",E4300="No rechazar H0"),"Error tipo II","Decisión correcta"))</f>
        <v>Decisión correcta</v>
      </c>
    </row>
    <row r="4301" customFormat="false" ht="15" hidden="false" customHeight="false" outlineLevel="0" collapsed="false">
      <c r="A4301" s="0" t="n">
        <v>4280</v>
      </c>
      <c r="B4301" s="0" t="s">
        <v>86</v>
      </c>
      <c r="C4301" s="17" t="n">
        <v>-0.672646295059015</v>
      </c>
      <c r="D4301" s="17" t="n">
        <f aca="false">(C4301-$B$4)/($B$6/SQRT($B$7))</f>
        <v>-3.36323147529508</v>
      </c>
      <c r="E4301" s="0" t="str">
        <f aca="false">IF(OR(AND($B$9="superior",D4301&gt;$B$10),AND($B$9="inferior",D4301&lt;-$B$10)),"Rechazar H0","No rechazar H0")</f>
        <v>Rechazar H0</v>
      </c>
      <c r="F4301" s="0" t="str">
        <f aca="false">IF(AND(B4301="H0 verdadera",E4301="Rechazar H0"),"Error tipo I",IF(AND(B4301="Ha verdadera",E4301="No rechazar H0"),"Error tipo II","Decisión correcta"))</f>
        <v>Decisión correcta</v>
      </c>
    </row>
    <row r="4302" customFormat="false" ht="15" hidden="false" customHeight="false" outlineLevel="0" collapsed="false">
      <c r="A4302" s="0" t="n">
        <v>4281</v>
      </c>
      <c r="B4302" s="0" t="s">
        <v>85</v>
      </c>
      <c r="C4302" s="17" t="n">
        <v>-0.106549576732194</v>
      </c>
      <c r="D4302" s="17" t="n">
        <f aca="false">(C4302-$B$4)/($B$6/SQRT($B$7))</f>
        <v>-0.532747883660972</v>
      </c>
      <c r="E4302" s="0" t="str">
        <f aca="false">IF(OR(AND($B$9="superior",D4302&gt;$B$10),AND($B$9="inferior",D4302&lt;-$B$10)),"Rechazar H0","No rechazar H0")</f>
        <v>No rechazar H0</v>
      </c>
      <c r="F4302" s="0" t="str">
        <f aca="false">IF(AND(B4302="H0 verdadera",E4302="Rechazar H0"),"Error tipo I",IF(AND(B4302="Ha verdadera",E4302="No rechazar H0"),"Error tipo II","Decisión correcta"))</f>
        <v>Decisión correcta</v>
      </c>
    </row>
    <row r="4303" customFormat="false" ht="15" hidden="false" customHeight="false" outlineLevel="0" collapsed="false">
      <c r="A4303" s="0" t="n">
        <v>4282</v>
      </c>
      <c r="B4303" s="0" t="s">
        <v>85</v>
      </c>
      <c r="C4303" s="17" t="n">
        <v>0.298036550903478</v>
      </c>
      <c r="D4303" s="17" t="n">
        <f aca="false">(C4303-$B$4)/($B$6/SQRT($B$7))</f>
        <v>1.49018275451739</v>
      </c>
      <c r="E4303" s="0" t="str">
        <f aca="false">IF(OR(AND($B$9="superior",D4303&gt;$B$10),AND($B$9="inferior",D4303&lt;-$B$10)),"Rechazar H0","No rechazar H0")</f>
        <v>No rechazar H0</v>
      </c>
      <c r="F4303" s="0" t="str">
        <f aca="false">IF(AND(B4303="H0 verdadera",E4303="Rechazar H0"),"Error tipo I",IF(AND(B4303="Ha verdadera",E4303="No rechazar H0"),"Error tipo II","Decisión correcta"))</f>
        <v>Decisión correcta</v>
      </c>
    </row>
    <row r="4304" customFormat="false" ht="15" hidden="false" customHeight="false" outlineLevel="0" collapsed="false">
      <c r="A4304" s="0" t="n">
        <v>4283</v>
      </c>
      <c r="B4304" s="0" t="s">
        <v>86</v>
      </c>
      <c r="C4304" s="17" t="n">
        <v>-0.282175664816127</v>
      </c>
      <c r="D4304" s="17" t="n">
        <f aca="false">(C4304-$B$4)/($B$6/SQRT($B$7))</f>
        <v>-1.41087832408064</v>
      </c>
      <c r="E4304" s="0" t="str">
        <f aca="false">IF(OR(AND($B$9="superior",D4304&gt;$B$10),AND($B$9="inferior",D4304&lt;-$B$10)),"Rechazar H0","No rechazar H0")</f>
        <v>No rechazar H0</v>
      </c>
      <c r="F4304" s="0" t="str">
        <f aca="false">IF(AND(B4304="H0 verdadera",E4304="Rechazar H0"),"Error tipo I",IF(AND(B4304="Ha verdadera",E4304="No rechazar H0"),"Error tipo II","Decisión correcta"))</f>
        <v>Error tipo II</v>
      </c>
    </row>
    <row r="4305" customFormat="false" ht="15" hidden="false" customHeight="false" outlineLevel="0" collapsed="false">
      <c r="A4305" s="0" t="n">
        <v>4284</v>
      </c>
      <c r="B4305" s="0" t="s">
        <v>85</v>
      </c>
      <c r="C4305" s="17" t="n">
        <v>-0.00285759726470492</v>
      </c>
      <c r="D4305" s="17" t="n">
        <f aca="false">(C4305-$B$4)/($B$6/SQRT($B$7))</f>
        <v>-0.0142879863235246</v>
      </c>
      <c r="E4305" s="0" t="str">
        <f aca="false">IF(OR(AND($B$9="superior",D4305&gt;$B$10),AND($B$9="inferior",D4305&lt;-$B$10)),"Rechazar H0","No rechazar H0")</f>
        <v>No rechazar H0</v>
      </c>
      <c r="F4305" s="0" t="str">
        <f aca="false">IF(AND(B4305="H0 verdadera",E4305="Rechazar H0"),"Error tipo I",IF(AND(B4305="Ha verdadera",E4305="No rechazar H0"),"Error tipo II","Decisión correcta"))</f>
        <v>Decisión correcta</v>
      </c>
    </row>
    <row r="4306" customFormat="false" ht="15" hidden="false" customHeight="false" outlineLevel="0" collapsed="false">
      <c r="A4306" s="0" t="n">
        <v>4285</v>
      </c>
      <c r="B4306" s="0" t="s">
        <v>85</v>
      </c>
      <c r="C4306" s="17" t="n">
        <v>0.197432653014303</v>
      </c>
      <c r="D4306" s="17" t="n">
        <f aca="false">(C4306-$B$4)/($B$6/SQRT($B$7))</f>
        <v>0.987163265071516</v>
      </c>
      <c r="E4306" s="0" t="str">
        <f aca="false">IF(OR(AND($B$9="superior",D4306&gt;$B$10),AND($B$9="inferior",D4306&lt;-$B$10)),"Rechazar H0","No rechazar H0")</f>
        <v>No rechazar H0</v>
      </c>
      <c r="F4306" s="0" t="str">
        <f aca="false">IF(AND(B4306="H0 verdadera",E4306="Rechazar H0"),"Error tipo I",IF(AND(B4306="Ha verdadera",E4306="No rechazar H0"),"Error tipo II","Decisión correcta"))</f>
        <v>Decisión correcta</v>
      </c>
    </row>
    <row r="4307" customFormat="false" ht="15" hidden="false" customHeight="false" outlineLevel="0" collapsed="false">
      <c r="A4307" s="0" t="n">
        <v>4286</v>
      </c>
      <c r="B4307" s="0" t="s">
        <v>85</v>
      </c>
      <c r="C4307" s="17" t="n">
        <v>-0.0781714757436844</v>
      </c>
      <c r="D4307" s="17" t="n">
        <f aca="false">(C4307-$B$4)/($B$6/SQRT($B$7))</f>
        <v>-0.390857378718422</v>
      </c>
      <c r="E4307" s="0" t="str">
        <f aca="false">IF(OR(AND($B$9="superior",D4307&gt;$B$10),AND($B$9="inferior",D4307&lt;-$B$10)),"Rechazar H0","No rechazar H0")</f>
        <v>No rechazar H0</v>
      </c>
      <c r="F4307" s="0" t="str">
        <f aca="false">IF(AND(B4307="H0 verdadera",E4307="Rechazar H0"),"Error tipo I",IF(AND(B4307="Ha verdadera",E4307="No rechazar H0"),"Error tipo II","Decisión correcta"))</f>
        <v>Decisión correcta</v>
      </c>
    </row>
    <row r="4308" customFormat="false" ht="15" hidden="false" customHeight="false" outlineLevel="0" collapsed="false">
      <c r="A4308" s="0" t="n">
        <v>4287</v>
      </c>
      <c r="B4308" s="0" t="s">
        <v>86</v>
      </c>
      <c r="C4308" s="17" t="n">
        <v>-0.676980061153665</v>
      </c>
      <c r="D4308" s="17" t="n">
        <f aca="false">(C4308-$B$4)/($B$6/SQRT($B$7))</f>
        <v>-3.38490030576832</v>
      </c>
      <c r="E4308" s="0" t="str">
        <f aca="false">IF(OR(AND($B$9="superior",D4308&gt;$B$10),AND($B$9="inferior",D4308&lt;-$B$10)),"Rechazar H0","No rechazar H0")</f>
        <v>Rechazar H0</v>
      </c>
      <c r="F4308" s="0" t="str">
        <f aca="false">IF(AND(B4308="H0 verdadera",E4308="Rechazar H0"),"Error tipo I",IF(AND(B4308="Ha verdadera",E4308="No rechazar H0"),"Error tipo II","Decisión correcta"))</f>
        <v>Decisión correcta</v>
      </c>
    </row>
    <row r="4309" customFormat="false" ht="15" hidden="false" customHeight="false" outlineLevel="0" collapsed="false">
      <c r="A4309" s="0" t="n">
        <v>4288</v>
      </c>
      <c r="B4309" s="0" t="s">
        <v>85</v>
      </c>
      <c r="C4309" s="17" t="n">
        <v>-0.00510162535502202</v>
      </c>
      <c r="D4309" s="17" t="n">
        <f aca="false">(C4309-$B$4)/($B$6/SQRT($B$7))</f>
        <v>-0.0255081267751101</v>
      </c>
      <c r="E4309" s="0" t="str">
        <f aca="false">IF(OR(AND($B$9="superior",D4309&gt;$B$10),AND($B$9="inferior",D4309&lt;-$B$10)),"Rechazar H0","No rechazar H0")</f>
        <v>No rechazar H0</v>
      </c>
      <c r="F4309" s="0" t="str">
        <f aca="false">IF(AND(B4309="H0 verdadera",E4309="Rechazar H0"),"Error tipo I",IF(AND(B4309="Ha verdadera",E4309="No rechazar H0"),"Error tipo II","Decisión correcta"))</f>
        <v>Decisión correcta</v>
      </c>
    </row>
    <row r="4310" customFormat="false" ht="15" hidden="false" customHeight="false" outlineLevel="0" collapsed="false">
      <c r="A4310" s="0" t="n">
        <v>4289</v>
      </c>
      <c r="B4310" s="0" t="s">
        <v>86</v>
      </c>
      <c r="C4310" s="17" t="n">
        <v>-0.609570584706136</v>
      </c>
      <c r="D4310" s="17" t="n">
        <f aca="false">(C4310-$B$4)/($B$6/SQRT($B$7))</f>
        <v>-3.04785292353068</v>
      </c>
      <c r="E4310" s="0" t="str">
        <f aca="false">IF(OR(AND($B$9="superior",D4310&gt;$B$10),AND($B$9="inferior",D4310&lt;-$B$10)),"Rechazar H0","No rechazar H0")</f>
        <v>Rechazar H0</v>
      </c>
      <c r="F4310" s="0" t="str">
        <f aca="false">IF(AND(B4310="H0 verdadera",E4310="Rechazar H0"),"Error tipo I",IF(AND(B4310="Ha verdadera",E4310="No rechazar H0"),"Error tipo II","Decisión correcta"))</f>
        <v>Decisión correcta</v>
      </c>
    </row>
    <row r="4311" customFormat="false" ht="15" hidden="false" customHeight="false" outlineLevel="0" collapsed="false">
      <c r="A4311" s="0" t="n">
        <v>4290</v>
      </c>
      <c r="B4311" s="0" t="s">
        <v>85</v>
      </c>
      <c r="C4311" s="17" t="n">
        <v>0.148417291195434</v>
      </c>
      <c r="D4311" s="17" t="n">
        <f aca="false">(C4311-$B$4)/($B$6/SQRT($B$7))</f>
        <v>0.742086455977168</v>
      </c>
      <c r="E4311" s="0" t="str">
        <f aca="false">IF(OR(AND($B$9="superior",D4311&gt;$B$10),AND($B$9="inferior",D4311&lt;-$B$10)),"Rechazar H0","No rechazar H0")</f>
        <v>No rechazar H0</v>
      </c>
      <c r="F4311" s="0" t="str">
        <f aca="false">IF(AND(B4311="H0 verdadera",E4311="Rechazar H0"),"Error tipo I",IF(AND(B4311="Ha verdadera",E4311="No rechazar H0"),"Error tipo II","Decisión correcta"))</f>
        <v>Decisión correcta</v>
      </c>
    </row>
    <row r="4312" customFormat="false" ht="15" hidden="false" customHeight="false" outlineLevel="0" collapsed="false">
      <c r="A4312" s="0" t="n">
        <v>4291</v>
      </c>
      <c r="B4312" s="0" t="s">
        <v>85</v>
      </c>
      <c r="C4312" s="17" t="n">
        <v>0.0915465578716202</v>
      </c>
      <c r="D4312" s="17" t="n">
        <f aca="false">(C4312-$B$4)/($B$6/SQRT($B$7))</f>
        <v>0.457732789358101</v>
      </c>
      <c r="E4312" s="0" t="str">
        <f aca="false">IF(OR(AND($B$9="superior",D4312&gt;$B$10),AND($B$9="inferior",D4312&lt;-$B$10)),"Rechazar H0","No rechazar H0")</f>
        <v>No rechazar H0</v>
      </c>
      <c r="F4312" s="0" t="str">
        <f aca="false">IF(AND(B4312="H0 verdadera",E4312="Rechazar H0"),"Error tipo I",IF(AND(B4312="Ha verdadera",E4312="No rechazar H0"),"Error tipo II","Decisión correcta"))</f>
        <v>Decisión correcta</v>
      </c>
    </row>
    <row r="4313" customFormat="false" ht="15" hidden="false" customHeight="false" outlineLevel="0" collapsed="false">
      <c r="A4313" s="0" t="n">
        <v>4292</v>
      </c>
      <c r="B4313" s="0" t="s">
        <v>86</v>
      </c>
      <c r="C4313" s="17" t="n">
        <v>-0.379764893450567</v>
      </c>
      <c r="D4313" s="17" t="n">
        <f aca="false">(C4313-$B$4)/($B$6/SQRT($B$7))</f>
        <v>-1.89882446725284</v>
      </c>
      <c r="E4313" s="0" t="str">
        <f aca="false">IF(OR(AND($B$9="superior",D4313&gt;$B$10),AND($B$9="inferior",D4313&lt;-$B$10)),"Rechazar H0","No rechazar H0")</f>
        <v>Rechazar H0</v>
      </c>
      <c r="F4313" s="0" t="str">
        <f aca="false">IF(AND(B4313="H0 verdadera",E4313="Rechazar H0"),"Error tipo I",IF(AND(B4313="Ha verdadera",E4313="No rechazar H0"),"Error tipo II","Decisión correcta"))</f>
        <v>Decisión correcta</v>
      </c>
    </row>
    <row r="4314" customFormat="false" ht="15" hidden="false" customHeight="false" outlineLevel="0" collapsed="false">
      <c r="A4314" s="0" t="n">
        <v>4293</v>
      </c>
      <c r="B4314" s="0" t="s">
        <v>86</v>
      </c>
      <c r="C4314" s="17" t="n">
        <v>-0.397757080321587</v>
      </c>
      <c r="D4314" s="17" t="n">
        <f aca="false">(C4314-$B$4)/($B$6/SQRT($B$7))</f>
        <v>-1.98878540160793</v>
      </c>
      <c r="E4314" s="0" t="str">
        <f aca="false">IF(OR(AND($B$9="superior",D4314&gt;$B$10),AND($B$9="inferior",D4314&lt;-$B$10)),"Rechazar H0","No rechazar H0")</f>
        <v>Rechazar H0</v>
      </c>
      <c r="F4314" s="0" t="str">
        <f aca="false">IF(AND(B4314="H0 verdadera",E4314="Rechazar H0"),"Error tipo I",IF(AND(B4314="Ha verdadera",E4314="No rechazar H0"),"Error tipo II","Decisión correcta"))</f>
        <v>Decisión correcta</v>
      </c>
    </row>
    <row r="4315" customFormat="false" ht="15" hidden="false" customHeight="false" outlineLevel="0" collapsed="false">
      <c r="A4315" s="0" t="n">
        <v>4294</v>
      </c>
      <c r="B4315" s="0" t="s">
        <v>86</v>
      </c>
      <c r="C4315" s="17" t="n">
        <v>-0.680966275753195</v>
      </c>
      <c r="D4315" s="17" t="n">
        <f aca="false">(C4315-$B$4)/($B$6/SQRT($B$7))</f>
        <v>-3.40483137876597</v>
      </c>
      <c r="E4315" s="0" t="str">
        <f aca="false">IF(OR(AND($B$9="superior",D4315&gt;$B$10),AND($B$9="inferior",D4315&lt;-$B$10)),"Rechazar H0","No rechazar H0")</f>
        <v>Rechazar H0</v>
      </c>
      <c r="F4315" s="0" t="str">
        <f aca="false">IF(AND(B4315="H0 verdadera",E4315="Rechazar H0"),"Error tipo I",IF(AND(B4315="Ha verdadera",E4315="No rechazar H0"),"Error tipo II","Decisión correcta"))</f>
        <v>Decisión correcta</v>
      </c>
    </row>
    <row r="4316" customFormat="false" ht="15" hidden="false" customHeight="false" outlineLevel="0" collapsed="false">
      <c r="A4316" s="0" t="n">
        <v>4295</v>
      </c>
      <c r="B4316" s="0" t="s">
        <v>86</v>
      </c>
      <c r="C4316" s="17" t="n">
        <v>-0.235975624851163</v>
      </c>
      <c r="D4316" s="17" t="n">
        <f aca="false">(C4316-$B$4)/($B$6/SQRT($B$7))</f>
        <v>-1.17987812425582</v>
      </c>
      <c r="E4316" s="0" t="str">
        <f aca="false">IF(OR(AND($B$9="superior",D4316&gt;$B$10),AND($B$9="inferior",D4316&lt;-$B$10)),"Rechazar H0","No rechazar H0")</f>
        <v>No rechazar H0</v>
      </c>
      <c r="F4316" s="0" t="str">
        <f aca="false">IF(AND(B4316="H0 verdadera",E4316="Rechazar H0"),"Error tipo I",IF(AND(B4316="Ha verdadera",E4316="No rechazar H0"),"Error tipo II","Decisión correcta"))</f>
        <v>Error tipo II</v>
      </c>
    </row>
    <row r="4317" customFormat="false" ht="15" hidden="false" customHeight="false" outlineLevel="0" collapsed="false">
      <c r="A4317" s="0" t="n">
        <v>4296</v>
      </c>
      <c r="B4317" s="0" t="s">
        <v>86</v>
      </c>
      <c r="C4317" s="17" t="n">
        <v>-0.225879575318107</v>
      </c>
      <c r="D4317" s="17" t="n">
        <f aca="false">(C4317-$B$4)/($B$6/SQRT($B$7))</f>
        <v>-1.12939787659054</v>
      </c>
      <c r="E4317" s="0" t="str">
        <f aca="false">IF(OR(AND($B$9="superior",D4317&gt;$B$10),AND($B$9="inferior",D4317&lt;-$B$10)),"Rechazar H0","No rechazar H0")</f>
        <v>No rechazar H0</v>
      </c>
      <c r="F4317" s="0" t="str">
        <f aca="false">IF(AND(B4317="H0 verdadera",E4317="Rechazar H0"),"Error tipo I",IF(AND(B4317="Ha verdadera",E4317="No rechazar H0"),"Error tipo II","Decisión correcta"))</f>
        <v>Error tipo II</v>
      </c>
    </row>
    <row r="4318" customFormat="false" ht="15" hidden="false" customHeight="false" outlineLevel="0" collapsed="false">
      <c r="A4318" s="0" t="n">
        <v>4297</v>
      </c>
      <c r="B4318" s="0" t="s">
        <v>86</v>
      </c>
      <c r="C4318" s="17" t="n">
        <v>-0.208673290097509</v>
      </c>
      <c r="D4318" s="17" t="n">
        <f aca="false">(C4318-$B$4)/($B$6/SQRT($B$7))</f>
        <v>-1.04336645048755</v>
      </c>
      <c r="E4318" s="0" t="str">
        <f aca="false">IF(OR(AND($B$9="superior",D4318&gt;$B$10),AND($B$9="inferior",D4318&lt;-$B$10)),"Rechazar H0","No rechazar H0")</f>
        <v>No rechazar H0</v>
      </c>
      <c r="F4318" s="0" t="str">
        <f aca="false">IF(AND(B4318="H0 verdadera",E4318="Rechazar H0"),"Error tipo I",IF(AND(B4318="Ha verdadera",E4318="No rechazar H0"),"Error tipo II","Decisión correcta"))</f>
        <v>Error tipo II</v>
      </c>
    </row>
    <row r="4319" customFormat="false" ht="15" hidden="false" customHeight="false" outlineLevel="0" collapsed="false">
      <c r="A4319" s="0" t="n">
        <v>4298</v>
      </c>
      <c r="B4319" s="0" t="s">
        <v>85</v>
      </c>
      <c r="C4319" s="17" t="n">
        <v>0.0483780684985057</v>
      </c>
      <c r="D4319" s="17" t="n">
        <f aca="false">(C4319-$B$4)/($B$6/SQRT($B$7))</f>
        <v>0.241890342492529</v>
      </c>
      <c r="E4319" s="0" t="str">
        <f aca="false">IF(OR(AND($B$9="superior",D4319&gt;$B$10),AND($B$9="inferior",D4319&lt;-$B$10)),"Rechazar H0","No rechazar H0")</f>
        <v>No rechazar H0</v>
      </c>
      <c r="F4319" s="0" t="str">
        <f aca="false">IF(AND(B4319="H0 verdadera",E4319="Rechazar H0"),"Error tipo I",IF(AND(B4319="Ha verdadera",E4319="No rechazar H0"),"Error tipo II","Decisión correcta"))</f>
        <v>Decisión correcta</v>
      </c>
    </row>
    <row r="4320" customFormat="false" ht="15" hidden="false" customHeight="false" outlineLevel="0" collapsed="false">
      <c r="A4320" s="0" t="n">
        <v>4299</v>
      </c>
      <c r="B4320" s="0" t="s">
        <v>86</v>
      </c>
      <c r="C4320" s="17" t="n">
        <v>-0.380174464881975</v>
      </c>
      <c r="D4320" s="17" t="n">
        <f aca="false">(C4320-$B$4)/($B$6/SQRT($B$7))</f>
        <v>-1.90087232440987</v>
      </c>
      <c r="E4320" s="0" t="str">
        <f aca="false">IF(OR(AND($B$9="superior",D4320&gt;$B$10),AND($B$9="inferior",D4320&lt;-$B$10)),"Rechazar H0","No rechazar H0")</f>
        <v>Rechazar H0</v>
      </c>
      <c r="F4320" s="0" t="str">
        <f aca="false">IF(AND(B4320="H0 verdadera",E4320="Rechazar H0"),"Error tipo I",IF(AND(B4320="Ha verdadera",E4320="No rechazar H0"),"Error tipo II","Decisión correcta"))</f>
        <v>Decisión correcta</v>
      </c>
    </row>
    <row r="4321" customFormat="false" ht="15" hidden="false" customHeight="false" outlineLevel="0" collapsed="false">
      <c r="A4321" s="0" t="n">
        <v>4300</v>
      </c>
      <c r="B4321" s="0" t="s">
        <v>86</v>
      </c>
      <c r="C4321" s="17" t="n">
        <v>-0.417526050419968</v>
      </c>
      <c r="D4321" s="17" t="n">
        <f aca="false">(C4321-$B$4)/($B$6/SQRT($B$7))</f>
        <v>-2.08763025209984</v>
      </c>
      <c r="E4321" s="0" t="str">
        <f aca="false">IF(OR(AND($B$9="superior",D4321&gt;$B$10),AND($B$9="inferior",D4321&lt;-$B$10)),"Rechazar H0","No rechazar H0")</f>
        <v>Rechazar H0</v>
      </c>
      <c r="F4321" s="0" t="str">
        <f aca="false">IF(AND(B4321="H0 verdadera",E4321="Rechazar H0"),"Error tipo I",IF(AND(B4321="Ha verdadera",E4321="No rechazar H0"),"Error tipo II","Decisión correcta"))</f>
        <v>Decisión correcta</v>
      </c>
    </row>
    <row r="4322" customFormat="false" ht="15" hidden="false" customHeight="false" outlineLevel="0" collapsed="false">
      <c r="A4322" s="0" t="n">
        <v>4301</v>
      </c>
      <c r="B4322" s="0" t="s">
        <v>86</v>
      </c>
      <c r="C4322" s="17" t="n">
        <v>-0.474794755366727</v>
      </c>
      <c r="D4322" s="17" t="n">
        <f aca="false">(C4322-$B$4)/($B$6/SQRT($B$7))</f>
        <v>-2.37397377683363</v>
      </c>
      <c r="E4322" s="0" t="str">
        <f aca="false">IF(OR(AND($B$9="superior",D4322&gt;$B$10),AND($B$9="inferior",D4322&lt;-$B$10)),"Rechazar H0","No rechazar H0")</f>
        <v>Rechazar H0</v>
      </c>
      <c r="F4322" s="0" t="str">
        <f aca="false">IF(AND(B4322="H0 verdadera",E4322="Rechazar H0"),"Error tipo I",IF(AND(B4322="Ha verdadera",E4322="No rechazar H0"),"Error tipo II","Decisión correcta"))</f>
        <v>Decisión correcta</v>
      </c>
    </row>
    <row r="4323" customFormat="false" ht="15" hidden="false" customHeight="false" outlineLevel="0" collapsed="false">
      <c r="A4323" s="0" t="n">
        <v>4302</v>
      </c>
      <c r="B4323" s="0" t="s">
        <v>85</v>
      </c>
      <c r="C4323" s="17" t="n">
        <v>0.0658772606315165</v>
      </c>
      <c r="D4323" s="17" t="n">
        <f aca="false">(C4323-$B$4)/($B$6/SQRT($B$7))</f>
        <v>0.329386303157583</v>
      </c>
      <c r="E4323" s="0" t="str">
        <f aca="false">IF(OR(AND($B$9="superior",D4323&gt;$B$10),AND($B$9="inferior",D4323&lt;-$B$10)),"Rechazar H0","No rechazar H0")</f>
        <v>No rechazar H0</v>
      </c>
      <c r="F4323" s="0" t="str">
        <f aca="false">IF(AND(B4323="H0 verdadera",E4323="Rechazar H0"),"Error tipo I",IF(AND(B4323="Ha verdadera",E4323="No rechazar H0"),"Error tipo II","Decisión correcta"))</f>
        <v>Decisión correcta</v>
      </c>
    </row>
    <row r="4324" customFormat="false" ht="15" hidden="false" customHeight="false" outlineLevel="0" collapsed="false">
      <c r="A4324" s="0" t="n">
        <v>4303</v>
      </c>
      <c r="B4324" s="0" t="s">
        <v>86</v>
      </c>
      <c r="C4324" s="17" t="n">
        <v>-0.269044928271394</v>
      </c>
      <c r="D4324" s="17" t="n">
        <f aca="false">(C4324-$B$4)/($B$6/SQRT($B$7))</f>
        <v>-1.34522464135697</v>
      </c>
      <c r="E4324" s="0" t="str">
        <f aca="false">IF(OR(AND($B$9="superior",D4324&gt;$B$10),AND($B$9="inferior",D4324&lt;-$B$10)),"Rechazar H0","No rechazar H0")</f>
        <v>No rechazar H0</v>
      </c>
      <c r="F4324" s="0" t="str">
        <f aca="false">IF(AND(B4324="H0 verdadera",E4324="Rechazar H0"),"Error tipo I",IF(AND(B4324="Ha verdadera",E4324="No rechazar H0"),"Error tipo II","Decisión correcta"))</f>
        <v>Error tipo II</v>
      </c>
    </row>
    <row r="4325" customFormat="false" ht="15" hidden="false" customHeight="false" outlineLevel="0" collapsed="false">
      <c r="A4325" s="0" t="n">
        <v>4304</v>
      </c>
      <c r="B4325" s="0" t="s">
        <v>86</v>
      </c>
      <c r="C4325" s="17" t="n">
        <v>-0.308837547374944</v>
      </c>
      <c r="D4325" s="17" t="n">
        <f aca="false">(C4325-$B$4)/($B$6/SQRT($B$7))</f>
        <v>-1.54418773687472</v>
      </c>
      <c r="E4325" s="0" t="str">
        <f aca="false">IF(OR(AND($B$9="superior",D4325&gt;$B$10),AND($B$9="inferior",D4325&lt;-$B$10)),"Rechazar H0","No rechazar H0")</f>
        <v>No rechazar H0</v>
      </c>
      <c r="F4325" s="0" t="str">
        <f aca="false">IF(AND(B4325="H0 verdadera",E4325="Rechazar H0"),"Error tipo I",IF(AND(B4325="Ha verdadera",E4325="No rechazar H0"),"Error tipo II","Decisión correcta"))</f>
        <v>Error tipo II</v>
      </c>
    </row>
    <row r="4326" customFormat="false" ht="15" hidden="false" customHeight="false" outlineLevel="0" collapsed="false">
      <c r="A4326" s="0" t="n">
        <v>4305</v>
      </c>
      <c r="B4326" s="0" t="s">
        <v>85</v>
      </c>
      <c r="C4326" s="17" t="n">
        <v>-0.281236971769651</v>
      </c>
      <c r="D4326" s="17" t="n">
        <f aca="false">(C4326-$B$4)/($B$6/SQRT($B$7))</f>
        <v>-1.40618485884826</v>
      </c>
      <c r="E4326" s="0" t="str">
        <f aca="false">IF(OR(AND($B$9="superior",D4326&gt;$B$10),AND($B$9="inferior",D4326&lt;-$B$10)),"Rechazar H0","No rechazar H0")</f>
        <v>No rechazar H0</v>
      </c>
      <c r="F4326" s="0" t="str">
        <f aca="false">IF(AND(B4326="H0 verdadera",E4326="Rechazar H0"),"Error tipo I",IF(AND(B4326="Ha verdadera",E4326="No rechazar H0"),"Error tipo II","Decisión correcta"))</f>
        <v>Decisión correcta</v>
      </c>
    </row>
    <row r="4327" customFormat="false" ht="15" hidden="false" customHeight="false" outlineLevel="0" collapsed="false">
      <c r="A4327" s="0" t="n">
        <v>4306</v>
      </c>
      <c r="B4327" s="0" t="s">
        <v>86</v>
      </c>
      <c r="C4327" s="17" t="n">
        <v>-0.696486360451819</v>
      </c>
      <c r="D4327" s="17" t="n">
        <f aca="false">(C4327-$B$4)/($B$6/SQRT($B$7))</f>
        <v>-3.48243180225909</v>
      </c>
      <c r="E4327" s="0" t="str">
        <f aca="false">IF(OR(AND($B$9="superior",D4327&gt;$B$10),AND($B$9="inferior",D4327&lt;-$B$10)),"Rechazar H0","No rechazar H0")</f>
        <v>Rechazar H0</v>
      </c>
      <c r="F4327" s="0" t="str">
        <f aca="false">IF(AND(B4327="H0 verdadera",E4327="Rechazar H0"),"Error tipo I",IF(AND(B4327="Ha verdadera",E4327="No rechazar H0"),"Error tipo II","Decisión correcta"))</f>
        <v>Decisión correcta</v>
      </c>
    </row>
    <row r="4328" customFormat="false" ht="15" hidden="false" customHeight="false" outlineLevel="0" collapsed="false">
      <c r="A4328" s="0" t="n">
        <v>4307</v>
      </c>
      <c r="B4328" s="0" t="s">
        <v>85</v>
      </c>
      <c r="C4328" s="17" t="n">
        <v>-0.0631446991736341</v>
      </c>
      <c r="D4328" s="17" t="n">
        <f aca="false">(C4328-$B$4)/($B$6/SQRT($B$7))</f>
        <v>-0.31572349586817</v>
      </c>
      <c r="E4328" s="0" t="str">
        <f aca="false">IF(OR(AND($B$9="superior",D4328&gt;$B$10),AND($B$9="inferior",D4328&lt;-$B$10)),"Rechazar H0","No rechazar H0")</f>
        <v>No rechazar H0</v>
      </c>
      <c r="F4328" s="0" t="str">
        <f aca="false">IF(AND(B4328="H0 verdadera",E4328="Rechazar H0"),"Error tipo I",IF(AND(B4328="Ha verdadera",E4328="No rechazar H0"),"Error tipo II","Decisión correcta"))</f>
        <v>Decisión correcta</v>
      </c>
    </row>
    <row r="4329" customFormat="false" ht="15" hidden="false" customHeight="false" outlineLevel="0" collapsed="false">
      <c r="A4329" s="0" t="n">
        <v>4308</v>
      </c>
      <c r="B4329" s="0" t="s">
        <v>85</v>
      </c>
      <c r="C4329" s="17" t="n">
        <v>-0.0802665260108189</v>
      </c>
      <c r="D4329" s="17" t="n">
        <f aca="false">(C4329-$B$4)/($B$6/SQRT($B$7))</f>
        <v>-0.401332630054094</v>
      </c>
      <c r="E4329" s="0" t="str">
        <f aca="false">IF(OR(AND($B$9="superior",D4329&gt;$B$10),AND($B$9="inferior",D4329&lt;-$B$10)),"Rechazar H0","No rechazar H0")</f>
        <v>No rechazar H0</v>
      </c>
      <c r="F4329" s="0" t="str">
        <f aca="false">IF(AND(B4329="H0 verdadera",E4329="Rechazar H0"),"Error tipo I",IF(AND(B4329="Ha verdadera",E4329="No rechazar H0"),"Error tipo II","Decisión correcta"))</f>
        <v>Decisión correcta</v>
      </c>
    </row>
    <row r="4330" customFormat="false" ht="15" hidden="false" customHeight="false" outlineLevel="0" collapsed="false">
      <c r="A4330" s="0" t="n">
        <v>4309</v>
      </c>
      <c r="B4330" s="0" t="s">
        <v>86</v>
      </c>
      <c r="C4330" s="17" t="n">
        <v>-0.509850145541149</v>
      </c>
      <c r="D4330" s="17" t="n">
        <f aca="false">(C4330-$B$4)/($B$6/SQRT($B$7))</f>
        <v>-2.54925072770575</v>
      </c>
      <c r="E4330" s="0" t="str">
        <f aca="false">IF(OR(AND($B$9="superior",D4330&gt;$B$10),AND($B$9="inferior",D4330&lt;-$B$10)),"Rechazar H0","No rechazar H0")</f>
        <v>Rechazar H0</v>
      </c>
      <c r="F4330" s="0" t="str">
        <f aca="false">IF(AND(B4330="H0 verdadera",E4330="Rechazar H0"),"Error tipo I",IF(AND(B4330="Ha verdadera",E4330="No rechazar H0"),"Error tipo II","Decisión correcta"))</f>
        <v>Decisión correcta</v>
      </c>
    </row>
    <row r="4331" customFormat="false" ht="15" hidden="false" customHeight="false" outlineLevel="0" collapsed="false">
      <c r="A4331" s="0" t="n">
        <v>4310</v>
      </c>
      <c r="B4331" s="0" t="s">
        <v>85</v>
      </c>
      <c r="C4331" s="17" t="n">
        <v>0.0618638510438397</v>
      </c>
      <c r="D4331" s="17" t="n">
        <f aca="false">(C4331-$B$4)/($B$6/SQRT($B$7))</f>
        <v>0.309319255219199</v>
      </c>
      <c r="E4331" s="0" t="str">
        <f aca="false">IF(OR(AND($B$9="superior",D4331&gt;$B$10),AND($B$9="inferior",D4331&lt;-$B$10)),"Rechazar H0","No rechazar H0")</f>
        <v>No rechazar H0</v>
      </c>
      <c r="F4331" s="0" t="str">
        <f aca="false">IF(AND(B4331="H0 verdadera",E4331="Rechazar H0"),"Error tipo I",IF(AND(B4331="Ha verdadera",E4331="No rechazar H0"),"Error tipo II","Decisión correcta"))</f>
        <v>Decisión correcta</v>
      </c>
    </row>
    <row r="4332" customFormat="false" ht="15" hidden="false" customHeight="false" outlineLevel="0" collapsed="false">
      <c r="A4332" s="0" t="n">
        <v>4311</v>
      </c>
      <c r="B4332" s="0" t="s">
        <v>85</v>
      </c>
      <c r="C4332" s="17" t="n">
        <v>-0.00257777998021533</v>
      </c>
      <c r="D4332" s="17" t="n">
        <f aca="false">(C4332-$B$4)/($B$6/SQRT($B$7))</f>
        <v>-0.0128888999010766</v>
      </c>
      <c r="E4332" s="0" t="str">
        <f aca="false">IF(OR(AND($B$9="superior",D4332&gt;$B$10),AND($B$9="inferior",D4332&lt;-$B$10)),"Rechazar H0","No rechazar H0")</f>
        <v>No rechazar H0</v>
      </c>
      <c r="F4332" s="0" t="str">
        <f aca="false">IF(AND(B4332="H0 verdadera",E4332="Rechazar H0"),"Error tipo I",IF(AND(B4332="Ha verdadera",E4332="No rechazar H0"),"Error tipo II","Decisión correcta"))</f>
        <v>Decisión correcta</v>
      </c>
    </row>
    <row r="4333" customFormat="false" ht="15" hidden="false" customHeight="false" outlineLevel="0" collapsed="false">
      <c r="A4333" s="0" t="n">
        <v>4312</v>
      </c>
      <c r="B4333" s="0" t="s">
        <v>85</v>
      </c>
      <c r="C4333" s="17" t="n">
        <v>0.153095806755433</v>
      </c>
      <c r="D4333" s="17" t="n">
        <f aca="false">(C4333-$B$4)/($B$6/SQRT($B$7))</f>
        <v>0.765479033777163</v>
      </c>
      <c r="E4333" s="0" t="str">
        <f aca="false">IF(OR(AND($B$9="superior",D4333&gt;$B$10),AND($B$9="inferior",D4333&lt;-$B$10)),"Rechazar H0","No rechazar H0")</f>
        <v>No rechazar H0</v>
      </c>
      <c r="F4333" s="0" t="str">
        <f aca="false">IF(AND(B4333="H0 verdadera",E4333="Rechazar H0"),"Error tipo I",IF(AND(B4333="Ha verdadera",E4333="No rechazar H0"),"Error tipo II","Decisión correcta"))</f>
        <v>Decisión correcta</v>
      </c>
    </row>
    <row r="4334" customFormat="false" ht="15" hidden="false" customHeight="false" outlineLevel="0" collapsed="false">
      <c r="A4334" s="0" t="n">
        <v>4313</v>
      </c>
      <c r="B4334" s="0" t="s">
        <v>86</v>
      </c>
      <c r="C4334" s="17" t="n">
        <v>-0.630932884638623</v>
      </c>
      <c r="D4334" s="17" t="n">
        <f aca="false">(C4334-$B$4)/($B$6/SQRT($B$7))</f>
        <v>-3.15466442319312</v>
      </c>
      <c r="E4334" s="0" t="str">
        <f aca="false">IF(OR(AND($B$9="superior",D4334&gt;$B$10),AND($B$9="inferior",D4334&lt;-$B$10)),"Rechazar H0","No rechazar H0")</f>
        <v>Rechazar H0</v>
      </c>
      <c r="F4334" s="0" t="str">
        <f aca="false">IF(AND(B4334="H0 verdadera",E4334="Rechazar H0"),"Error tipo I",IF(AND(B4334="Ha verdadera",E4334="No rechazar H0"),"Error tipo II","Decisión correcta"))</f>
        <v>Decisión correcta</v>
      </c>
    </row>
    <row r="4335" customFormat="false" ht="15" hidden="false" customHeight="false" outlineLevel="0" collapsed="false">
      <c r="A4335" s="0" t="n">
        <v>4314</v>
      </c>
      <c r="B4335" s="0" t="s">
        <v>86</v>
      </c>
      <c r="C4335" s="17" t="n">
        <v>-0.565674383377018</v>
      </c>
      <c r="D4335" s="17" t="n">
        <f aca="false">(C4335-$B$4)/($B$6/SQRT($B$7))</f>
        <v>-2.82837191688509</v>
      </c>
      <c r="E4335" s="0" t="str">
        <f aca="false">IF(OR(AND($B$9="superior",D4335&gt;$B$10),AND($B$9="inferior",D4335&lt;-$B$10)),"Rechazar H0","No rechazar H0")</f>
        <v>Rechazar H0</v>
      </c>
      <c r="F4335" s="0" t="str">
        <f aca="false">IF(AND(B4335="H0 verdadera",E4335="Rechazar H0"),"Error tipo I",IF(AND(B4335="Ha verdadera",E4335="No rechazar H0"),"Error tipo II","Decisión correcta"))</f>
        <v>Decisión correcta</v>
      </c>
    </row>
    <row r="4336" customFormat="false" ht="15" hidden="false" customHeight="false" outlineLevel="0" collapsed="false">
      <c r="A4336" s="0" t="n">
        <v>4315</v>
      </c>
      <c r="B4336" s="0" t="s">
        <v>86</v>
      </c>
      <c r="C4336" s="17" t="n">
        <v>-0.270579860434065</v>
      </c>
      <c r="D4336" s="17" t="n">
        <f aca="false">(C4336-$B$4)/($B$6/SQRT($B$7))</f>
        <v>-1.35289930217032</v>
      </c>
      <c r="E4336" s="0" t="str">
        <f aca="false">IF(OR(AND($B$9="superior",D4336&gt;$B$10),AND($B$9="inferior",D4336&lt;-$B$10)),"Rechazar H0","No rechazar H0")</f>
        <v>No rechazar H0</v>
      </c>
      <c r="F4336" s="0" t="str">
        <f aca="false">IF(AND(B4336="H0 verdadera",E4336="Rechazar H0"),"Error tipo I",IF(AND(B4336="Ha verdadera",E4336="No rechazar H0"),"Error tipo II","Decisión correcta"))</f>
        <v>Error tipo II</v>
      </c>
    </row>
    <row r="4337" customFormat="false" ht="15" hidden="false" customHeight="false" outlineLevel="0" collapsed="false">
      <c r="A4337" s="0" t="n">
        <v>4316</v>
      </c>
      <c r="B4337" s="0" t="s">
        <v>85</v>
      </c>
      <c r="C4337" s="17" t="n">
        <v>0.122454657573708</v>
      </c>
      <c r="D4337" s="17" t="n">
        <f aca="false">(C4337-$B$4)/($B$6/SQRT($B$7))</f>
        <v>0.612273287868538</v>
      </c>
      <c r="E4337" s="0" t="str">
        <f aca="false">IF(OR(AND($B$9="superior",D4337&gt;$B$10),AND($B$9="inferior",D4337&lt;-$B$10)),"Rechazar H0","No rechazar H0")</f>
        <v>No rechazar H0</v>
      </c>
      <c r="F4337" s="0" t="str">
        <f aca="false">IF(AND(B4337="H0 verdadera",E4337="Rechazar H0"),"Error tipo I",IF(AND(B4337="Ha verdadera",E4337="No rechazar H0"),"Error tipo II","Decisión correcta"))</f>
        <v>Decisión correcta</v>
      </c>
    </row>
    <row r="4338" customFormat="false" ht="15" hidden="false" customHeight="false" outlineLevel="0" collapsed="false">
      <c r="A4338" s="0" t="n">
        <v>4317</v>
      </c>
      <c r="B4338" s="0" t="s">
        <v>85</v>
      </c>
      <c r="C4338" s="17" t="n">
        <v>0.125748679289426</v>
      </c>
      <c r="D4338" s="17" t="n">
        <f aca="false">(C4338-$B$4)/($B$6/SQRT($B$7))</f>
        <v>0.628743396447129</v>
      </c>
      <c r="E4338" s="0" t="str">
        <f aca="false">IF(OR(AND($B$9="superior",D4338&gt;$B$10),AND($B$9="inferior",D4338&lt;-$B$10)),"Rechazar H0","No rechazar H0")</f>
        <v>No rechazar H0</v>
      </c>
      <c r="F4338" s="0" t="str">
        <f aca="false">IF(AND(B4338="H0 verdadera",E4338="Rechazar H0"),"Error tipo I",IF(AND(B4338="Ha verdadera",E4338="No rechazar H0"),"Error tipo II","Decisión correcta"))</f>
        <v>Decisión correcta</v>
      </c>
    </row>
    <row r="4339" customFormat="false" ht="15" hidden="false" customHeight="false" outlineLevel="0" collapsed="false">
      <c r="A4339" s="0" t="n">
        <v>4318</v>
      </c>
      <c r="B4339" s="0" t="s">
        <v>85</v>
      </c>
      <c r="C4339" s="17" t="n">
        <v>0.188425181043945</v>
      </c>
      <c r="D4339" s="17" t="n">
        <f aca="false">(C4339-$B$4)/($B$6/SQRT($B$7))</f>
        <v>0.942125905219724</v>
      </c>
      <c r="E4339" s="0" t="str">
        <f aca="false">IF(OR(AND($B$9="superior",D4339&gt;$B$10),AND($B$9="inferior",D4339&lt;-$B$10)),"Rechazar H0","No rechazar H0")</f>
        <v>No rechazar H0</v>
      </c>
      <c r="F4339" s="0" t="str">
        <f aca="false">IF(AND(B4339="H0 verdadera",E4339="Rechazar H0"),"Error tipo I",IF(AND(B4339="Ha verdadera",E4339="No rechazar H0"),"Error tipo II","Decisión correcta"))</f>
        <v>Decisión correcta</v>
      </c>
    </row>
    <row r="4340" customFormat="false" ht="15" hidden="false" customHeight="false" outlineLevel="0" collapsed="false">
      <c r="A4340" s="0" t="n">
        <v>4319</v>
      </c>
      <c r="B4340" s="0" t="s">
        <v>86</v>
      </c>
      <c r="C4340" s="17" t="n">
        <v>0.143045934402657</v>
      </c>
      <c r="D4340" s="17" t="n">
        <f aca="false">(C4340-$B$4)/($B$6/SQRT($B$7))</f>
        <v>0.715229672013287</v>
      </c>
      <c r="E4340" s="0" t="str">
        <f aca="false">IF(OR(AND($B$9="superior",D4340&gt;$B$10),AND($B$9="inferior",D4340&lt;-$B$10)),"Rechazar H0","No rechazar H0")</f>
        <v>No rechazar H0</v>
      </c>
      <c r="F4340" s="0" t="str">
        <f aca="false">IF(AND(B4340="H0 verdadera",E4340="Rechazar H0"),"Error tipo I",IF(AND(B4340="Ha verdadera",E4340="No rechazar H0"),"Error tipo II","Decisión correcta"))</f>
        <v>Error tipo II</v>
      </c>
    </row>
    <row r="4341" customFormat="false" ht="15" hidden="false" customHeight="false" outlineLevel="0" collapsed="false">
      <c r="A4341" s="0" t="n">
        <v>4320</v>
      </c>
      <c r="B4341" s="0" t="s">
        <v>85</v>
      </c>
      <c r="C4341" s="17" t="n">
        <v>-0.182774688847999</v>
      </c>
      <c r="D4341" s="17" t="n">
        <f aca="false">(C4341-$B$4)/($B$6/SQRT($B$7))</f>
        <v>-0.913873444239993</v>
      </c>
      <c r="E4341" s="0" t="str">
        <f aca="false">IF(OR(AND($B$9="superior",D4341&gt;$B$10),AND($B$9="inferior",D4341&lt;-$B$10)),"Rechazar H0","No rechazar H0")</f>
        <v>No rechazar H0</v>
      </c>
      <c r="F4341" s="0" t="str">
        <f aca="false">IF(AND(B4341="H0 verdadera",E4341="Rechazar H0"),"Error tipo I",IF(AND(B4341="Ha verdadera",E4341="No rechazar H0"),"Error tipo II","Decisión correcta"))</f>
        <v>Decisión correcta</v>
      </c>
    </row>
    <row r="4342" customFormat="false" ht="15" hidden="false" customHeight="false" outlineLevel="0" collapsed="false">
      <c r="A4342" s="0" t="n">
        <v>4321</v>
      </c>
      <c r="B4342" s="0" t="s">
        <v>85</v>
      </c>
      <c r="C4342" s="17" t="n">
        <v>0.0709256432588324</v>
      </c>
      <c r="D4342" s="17" t="n">
        <f aca="false">(C4342-$B$4)/($B$6/SQRT($B$7))</f>
        <v>0.354628216294162</v>
      </c>
      <c r="E4342" s="0" t="str">
        <f aca="false">IF(OR(AND($B$9="superior",D4342&gt;$B$10),AND($B$9="inferior",D4342&lt;-$B$10)),"Rechazar H0","No rechazar H0")</f>
        <v>No rechazar H0</v>
      </c>
      <c r="F4342" s="0" t="str">
        <f aca="false">IF(AND(B4342="H0 verdadera",E4342="Rechazar H0"),"Error tipo I",IF(AND(B4342="Ha verdadera",E4342="No rechazar H0"),"Error tipo II","Decisión correcta"))</f>
        <v>Decisión correcta</v>
      </c>
    </row>
    <row r="4343" customFormat="false" ht="15" hidden="false" customHeight="false" outlineLevel="0" collapsed="false">
      <c r="A4343" s="0" t="n">
        <v>4322</v>
      </c>
      <c r="B4343" s="0" t="s">
        <v>86</v>
      </c>
      <c r="C4343" s="17" t="n">
        <v>-0.406461478295493</v>
      </c>
      <c r="D4343" s="17" t="n">
        <f aca="false">(C4343-$B$4)/($B$6/SQRT($B$7))</f>
        <v>-2.03230739147747</v>
      </c>
      <c r="E4343" s="0" t="str">
        <f aca="false">IF(OR(AND($B$9="superior",D4343&gt;$B$10),AND($B$9="inferior",D4343&lt;-$B$10)),"Rechazar H0","No rechazar H0")</f>
        <v>Rechazar H0</v>
      </c>
      <c r="F4343" s="0" t="str">
        <f aca="false">IF(AND(B4343="H0 verdadera",E4343="Rechazar H0"),"Error tipo I",IF(AND(B4343="Ha verdadera",E4343="No rechazar H0"),"Error tipo II","Decisión correcta"))</f>
        <v>Decisión correcta</v>
      </c>
    </row>
    <row r="4344" customFormat="false" ht="15" hidden="false" customHeight="false" outlineLevel="0" collapsed="false">
      <c r="A4344" s="0" t="n">
        <v>4323</v>
      </c>
      <c r="B4344" s="0" t="s">
        <v>86</v>
      </c>
      <c r="C4344" s="17" t="n">
        <v>-0.130773414733221</v>
      </c>
      <c r="D4344" s="17" t="n">
        <f aca="false">(C4344-$B$4)/($B$6/SQRT($B$7))</f>
        <v>-0.653867073666105</v>
      </c>
      <c r="E4344" s="0" t="str">
        <f aca="false">IF(OR(AND($B$9="superior",D4344&gt;$B$10),AND($B$9="inferior",D4344&lt;-$B$10)),"Rechazar H0","No rechazar H0")</f>
        <v>No rechazar H0</v>
      </c>
      <c r="F4344" s="0" t="str">
        <f aca="false">IF(AND(B4344="H0 verdadera",E4344="Rechazar H0"),"Error tipo I",IF(AND(B4344="Ha verdadera",E4344="No rechazar H0"),"Error tipo II","Decisión correcta"))</f>
        <v>Error tipo II</v>
      </c>
    </row>
    <row r="4345" customFormat="false" ht="15" hidden="false" customHeight="false" outlineLevel="0" collapsed="false">
      <c r="A4345" s="0" t="n">
        <v>4324</v>
      </c>
      <c r="B4345" s="0" t="s">
        <v>86</v>
      </c>
      <c r="C4345" s="17" t="n">
        <v>-0.323971908630866</v>
      </c>
      <c r="D4345" s="17" t="n">
        <f aca="false">(C4345-$B$4)/($B$6/SQRT($B$7))</f>
        <v>-1.61985954315433</v>
      </c>
      <c r="E4345" s="0" t="str">
        <f aca="false">IF(OR(AND($B$9="superior",D4345&gt;$B$10),AND($B$9="inferior",D4345&lt;-$B$10)),"Rechazar H0","No rechazar H0")</f>
        <v>No rechazar H0</v>
      </c>
      <c r="F4345" s="0" t="str">
        <f aca="false">IF(AND(B4345="H0 verdadera",E4345="Rechazar H0"),"Error tipo I",IF(AND(B4345="Ha verdadera",E4345="No rechazar H0"),"Error tipo II","Decisión correcta"))</f>
        <v>Error tipo II</v>
      </c>
    </row>
    <row r="4346" customFormat="false" ht="15" hidden="false" customHeight="false" outlineLevel="0" collapsed="false">
      <c r="A4346" s="0" t="n">
        <v>4325</v>
      </c>
      <c r="B4346" s="0" t="s">
        <v>86</v>
      </c>
      <c r="C4346" s="17" t="n">
        <v>-0.200297441888849</v>
      </c>
      <c r="D4346" s="17" t="n">
        <f aca="false">(C4346-$B$4)/($B$6/SQRT($B$7))</f>
        <v>-1.00148720944425</v>
      </c>
      <c r="E4346" s="0" t="str">
        <f aca="false">IF(OR(AND($B$9="superior",D4346&gt;$B$10),AND($B$9="inferior",D4346&lt;-$B$10)),"Rechazar H0","No rechazar H0")</f>
        <v>No rechazar H0</v>
      </c>
      <c r="F4346" s="0" t="str">
        <f aca="false">IF(AND(B4346="H0 verdadera",E4346="Rechazar H0"),"Error tipo I",IF(AND(B4346="Ha verdadera",E4346="No rechazar H0"),"Error tipo II","Decisión correcta"))</f>
        <v>Error tipo II</v>
      </c>
    </row>
    <row r="4347" customFormat="false" ht="15" hidden="false" customHeight="false" outlineLevel="0" collapsed="false">
      <c r="A4347" s="0" t="n">
        <v>4326</v>
      </c>
      <c r="B4347" s="0" t="s">
        <v>85</v>
      </c>
      <c r="C4347" s="17" t="n">
        <v>-0.0968935202046142</v>
      </c>
      <c r="D4347" s="17" t="n">
        <f aca="false">(C4347-$B$4)/($B$6/SQRT($B$7))</f>
        <v>-0.484467601023071</v>
      </c>
      <c r="E4347" s="0" t="str">
        <f aca="false">IF(OR(AND($B$9="superior",D4347&gt;$B$10),AND($B$9="inferior",D4347&lt;-$B$10)),"Rechazar H0","No rechazar H0")</f>
        <v>No rechazar H0</v>
      </c>
      <c r="F4347" s="0" t="str">
        <f aca="false">IF(AND(B4347="H0 verdadera",E4347="Rechazar H0"),"Error tipo I",IF(AND(B4347="Ha verdadera",E4347="No rechazar H0"),"Error tipo II","Decisión correcta"))</f>
        <v>Decisión correcta</v>
      </c>
    </row>
    <row r="4348" customFormat="false" ht="15" hidden="false" customHeight="false" outlineLevel="0" collapsed="false">
      <c r="A4348" s="0" t="n">
        <v>4327</v>
      </c>
      <c r="B4348" s="0" t="s">
        <v>86</v>
      </c>
      <c r="C4348" s="17" t="n">
        <v>-0.390246233228442</v>
      </c>
      <c r="D4348" s="17" t="n">
        <f aca="false">(C4348-$B$4)/($B$6/SQRT($B$7))</f>
        <v>-1.95123116614221</v>
      </c>
      <c r="E4348" s="0" t="str">
        <f aca="false">IF(OR(AND($B$9="superior",D4348&gt;$B$10),AND($B$9="inferior",D4348&lt;-$B$10)),"Rechazar H0","No rechazar H0")</f>
        <v>Rechazar H0</v>
      </c>
      <c r="F4348" s="0" t="str">
        <f aca="false">IF(AND(B4348="H0 verdadera",E4348="Rechazar H0"),"Error tipo I",IF(AND(B4348="Ha verdadera",E4348="No rechazar H0"),"Error tipo II","Decisión correcta"))</f>
        <v>Decisión correcta</v>
      </c>
    </row>
    <row r="4349" customFormat="false" ht="15" hidden="false" customHeight="false" outlineLevel="0" collapsed="false">
      <c r="A4349" s="0" t="n">
        <v>4328</v>
      </c>
      <c r="B4349" s="0" t="s">
        <v>85</v>
      </c>
      <c r="C4349" s="17" t="n">
        <v>0.137858942744233</v>
      </c>
      <c r="D4349" s="17" t="n">
        <f aca="false">(C4349-$B$4)/($B$6/SQRT($B$7))</f>
        <v>0.689294713721166</v>
      </c>
      <c r="E4349" s="0" t="str">
        <f aca="false">IF(OR(AND($B$9="superior",D4349&gt;$B$10),AND($B$9="inferior",D4349&lt;-$B$10)),"Rechazar H0","No rechazar H0")</f>
        <v>No rechazar H0</v>
      </c>
      <c r="F4349" s="0" t="str">
        <f aca="false">IF(AND(B4349="H0 verdadera",E4349="Rechazar H0"),"Error tipo I",IF(AND(B4349="Ha verdadera",E4349="No rechazar H0"),"Error tipo II","Decisión correcta"))</f>
        <v>Decisión correcta</v>
      </c>
    </row>
    <row r="4350" customFormat="false" ht="15" hidden="false" customHeight="false" outlineLevel="0" collapsed="false">
      <c r="A4350" s="0" t="n">
        <v>4329</v>
      </c>
      <c r="B4350" s="0" t="s">
        <v>85</v>
      </c>
      <c r="C4350" s="17" t="n">
        <v>-0.0497430984520427</v>
      </c>
      <c r="D4350" s="17" t="n">
        <f aca="false">(C4350-$B$4)/($B$6/SQRT($B$7))</f>
        <v>-0.248715492260214</v>
      </c>
      <c r="E4350" s="0" t="str">
        <f aca="false">IF(OR(AND($B$9="superior",D4350&gt;$B$10),AND($B$9="inferior",D4350&lt;-$B$10)),"Rechazar H0","No rechazar H0")</f>
        <v>No rechazar H0</v>
      </c>
      <c r="F4350" s="0" t="str">
        <f aca="false">IF(AND(B4350="H0 verdadera",E4350="Rechazar H0"),"Error tipo I",IF(AND(B4350="Ha verdadera",E4350="No rechazar H0"),"Error tipo II","Decisión correcta"))</f>
        <v>Decisión correcta</v>
      </c>
    </row>
    <row r="4351" customFormat="false" ht="15" hidden="false" customHeight="false" outlineLevel="0" collapsed="false">
      <c r="A4351" s="0" t="n">
        <v>4330</v>
      </c>
      <c r="B4351" s="0" t="s">
        <v>86</v>
      </c>
      <c r="C4351" s="17" t="n">
        <v>-0.484100738847273</v>
      </c>
      <c r="D4351" s="17" t="n">
        <f aca="false">(C4351-$B$4)/($B$6/SQRT($B$7))</f>
        <v>-2.42050369423637</v>
      </c>
      <c r="E4351" s="0" t="str">
        <f aca="false">IF(OR(AND($B$9="superior",D4351&gt;$B$10),AND($B$9="inferior",D4351&lt;-$B$10)),"Rechazar H0","No rechazar H0")</f>
        <v>Rechazar H0</v>
      </c>
      <c r="F4351" s="0" t="str">
        <f aca="false">IF(AND(B4351="H0 verdadera",E4351="Rechazar H0"),"Error tipo I",IF(AND(B4351="Ha verdadera",E4351="No rechazar H0"),"Error tipo II","Decisión correcta"))</f>
        <v>Decisión correcta</v>
      </c>
    </row>
    <row r="4352" customFormat="false" ht="15" hidden="false" customHeight="false" outlineLevel="0" collapsed="false">
      <c r="A4352" s="0" t="n">
        <v>4331</v>
      </c>
      <c r="B4352" s="0" t="s">
        <v>86</v>
      </c>
      <c r="C4352" s="17" t="n">
        <v>-0.442155849418578</v>
      </c>
      <c r="D4352" s="17" t="n">
        <f aca="false">(C4352-$B$4)/($B$6/SQRT($B$7))</f>
        <v>-2.21077924709289</v>
      </c>
      <c r="E4352" s="0" t="str">
        <f aca="false">IF(OR(AND($B$9="superior",D4352&gt;$B$10),AND($B$9="inferior",D4352&lt;-$B$10)),"Rechazar H0","No rechazar H0")</f>
        <v>Rechazar H0</v>
      </c>
      <c r="F4352" s="0" t="str">
        <f aca="false">IF(AND(B4352="H0 verdadera",E4352="Rechazar H0"),"Error tipo I",IF(AND(B4352="Ha verdadera",E4352="No rechazar H0"),"Error tipo II","Decisión correcta"))</f>
        <v>Decisión correcta</v>
      </c>
    </row>
    <row r="4353" customFormat="false" ht="15" hidden="false" customHeight="false" outlineLevel="0" collapsed="false">
      <c r="A4353" s="0" t="n">
        <v>4332</v>
      </c>
      <c r="B4353" s="0" t="s">
        <v>85</v>
      </c>
      <c r="C4353" s="17" t="n">
        <v>-0.20865351347537</v>
      </c>
      <c r="D4353" s="17" t="n">
        <f aca="false">(C4353-$B$4)/($B$6/SQRT($B$7))</f>
        <v>-1.04326756737685</v>
      </c>
      <c r="E4353" s="0" t="str">
        <f aca="false">IF(OR(AND($B$9="superior",D4353&gt;$B$10),AND($B$9="inferior",D4353&lt;-$B$10)),"Rechazar H0","No rechazar H0")</f>
        <v>No rechazar H0</v>
      </c>
      <c r="F4353" s="0" t="str">
        <f aca="false">IF(AND(B4353="H0 verdadera",E4353="Rechazar H0"),"Error tipo I",IF(AND(B4353="Ha verdadera",E4353="No rechazar H0"),"Error tipo II","Decisión correcta"))</f>
        <v>Decisión correcta</v>
      </c>
    </row>
    <row r="4354" customFormat="false" ht="15" hidden="false" customHeight="false" outlineLevel="0" collapsed="false">
      <c r="A4354" s="0" t="n">
        <v>4333</v>
      </c>
      <c r="B4354" s="0" t="s">
        <v>86</v>
      </c>
      <c r="C4354" s="17" t="n">
        <v>-0.508474644735987</v>
      </c>
      <c r="D4354" s="17" t="n">
        <f aca="false">(C4354-$B$4)/($B$6/SQRT($B$7))</f>
        <v>-2.54237322367993</v>
      </c>
      <c r="E4354" s="0" t="str">
        <f aca="false">IF(OR(AND($B$9="superior",D4354&gt;$B$10),AND($B$9="inferior",D4354&lt;-$B$10)),"Rechazar H0","No rechazar H0")</f>
        <v>Rechazar H0</v>
      </c>
      <c r="F4354" s="0" t="str">
        <f aca="false">IF(AND(B4354="H0 verdadera",E4354="Rechazar H0"),"Error tipo I",IF(AND(B4354="Ha verdadera",E4354="No rechazar H0"),"Error tipo II","Decisión correcta"))</f>
        <v>Decisión correcta</v>
      </c>
    </row>
    <row r="4355" customFormat="false" ht="15" hidden="false" customHeight="false" outlineLevel="0" collapsed="false">
      <c r="A4355" s="0" t="n">
        <v>4334</v>
      </c>
      <c r="B4355" s="0" t="s">
        <v>85</v>
      </c>
      <c r="C4355" s="17" t="n">
        <v>-0.0189310041552371</v>
      </c>
      <c r="D4355" s="17" t="n">
        <f aca="false">(C4355-$B$4)/($B$6/SQRT($B$7))</f>
        <v>-0.0946550207761857</v>
      </c>
      <c r="E4355" s="0" t="str">
        <f aca="false">IF(OR(AND($B$9="superior",D4355&gt;$B$10),AND($B$9="inferior",D4355&lt;-$B$10)),"Rechazar H0","No rechazar H0")</f>
        <v>No rechazar H0</v>
      </c>
      <c r="F4355" s="0" t="str">
        <f aca="false">IF(AND(B4355="H0 verdadera",E4355="Rechazar H0"),"Error tipo I",IF(AND(B4355="Ha verdadera",E4355="No rechazar H0"),"Error tipo II","Decisión correcta"))</f>
        <v>Decisión correcta</v>
      </c>
    </row>
    <row r="4356" customFormat="false" ht="15" hidden="false" customHeight="false" outlineLevel="0" collapsed="false">
      <c r="A4356" s="0" t="n">
        <v>4335</v>
      </c>
      <c r="B4356" s="0" t="s">
        <v>86</v>
      </c>
      <c r="C4356" s="17" t="n">
        <v>-0.382270449934414</v>
      </c>
      <c r="D4356" s="17" t="n">
        <f aca="false">(C4356-$B$4)/($B$6/SQRT($B$7))</f>
        <v>-1.91135224967207</v>
      </c>
      <c r="E4356" s="0" t="str">
        <f aca="false">IF(OR(AND($B$9="superior",D4356&gt;$B$10),AND($B$9="inferior",D4356&lt;-$B$10)),"Rechazar H0","No rechazar H0")</f>
        <v>Rechazar H0</v>
      </c>
      <c r="F4356" s="0" t="str">
        <f aca="false">IF(AND(B4356="H0 verdadera",E4356="Rechazar H0"),"Error tipo I",IF(AND(B4356="Ha verdadera",E4356="No rechazar H0"),"Error tipo II","Decisión correcta"))</f>
        <v>Decisión correcta</v>
      </c>
    </row>
    <row r="4357" customFormat="false" ht="15" hidden="false" customHeight="false" outlineLevel="0" collapsed="false">
      <c r="A4357" s="0" t="n">
        <v>4336</v>
      </c>
      <c r="B4357" s="0" t="s">
        <v>85</v>
      </c>
      <c r="C4357" s="17" t="n">
        <v>0.115617439968528</v>
      </c>
      <c r="D4357" s="17" t="n">
        <f aca="false">(C4357-$B$4)/($B$6/SQRT($B$7))</f>
        <v>0.578087199842641</v>
      </c>
      <c r="E4357" s="0" t="str">
        <f aca="false">IF(OR(AND($B$9="superior",D4357&gt;$B$10),AND($B$9="inferior",D4357&lt;-$B$10)),"Rechazar H0","No rechazar H0")</f>
        <v>No rechazar H0</v>
      </c>
      <c r="F4357" s="0" t="str">
        <f aca="false">IF(AND(B4357="H0 verdadera",E4357="Rechazar H0"),"Error tipo I",IF(AND(B4357="Ha verdadera",E4357="No rechazar H0"),"Error tipo II","Decisión correcta"))</f>
        <v>Decisión correcta</v>
      </c>
    </row>
    <row r="4358" customFormat="false" ht="15" hidden="false" customHeight="false" outlineLevel="0" collapsed="false">
      <c r="A4358" s="0" t="n">
        <v>4337</v>
      </c>
      <c r="B4358" s="0" t="s">
        <v>85</v>
      </c>
      <c r="C4358" s="17" t="n">
        <v>0.126597325163027</v>
      </c>
      <c r="D4358" s="17" t="n">
        <f aca="false">(C4358-$B$4)/($B$6/SQRT($B$7))</f>
        <v>0.632986625815132</v>
      </c>
      <c r="E4358" s="0" t="str">
        <f aca="false">IF(OR(AND($B$9="superior",D4358&gt;$B$10),AND($B$9="inferior",D4358&lt;-$B$10)),"Rechazar H0","No rechazar H0")</f>
        <v>No rechazar H0</v>
      </c>
      <c r="F4358" s="0" t="str">
        <f aca="false">IF(AND(B4358="H0 verdadera",E4358="Rechazar H0"),"Error tipo I",IF(AND(B4358="Ha verdadera",E4358="No rechazar H0"),"Error tipo II","Decisión correcta"))</f>
        <v>Decisión correcta</v>
      </c>
    </row>
    <row r="4359" customFormat="false" ht="15" hidden="false" customHeight="false" outlineLevel="0" collapsed="false">
      <c r="A4359" s="0" t="n">
        <v>4338</v>
      </c>
      <c r="B4359" s="0" t="s">
        <v>85</v>
      </c>
      <c r="C4359" s="17" t="n">
        <v>0.172522228416451</v>
      </c>
      <c r="D4359" s="17" t="n">
        <f aca="false">(C4359-$B$4)/($B$6/SQRT($B$7))</f>
        <v>0.862611142082256</v>
      </c>
      <c r="E4359" s="0" t="str">
        <f aca="false">IF(OR(AND($B$9="superior",D4359&gt;$B$10),AND($B$9="inferior",D4359&lt;-$B$10)),"Rechazar H0","No rechazar H0")</f>
        <v>No rechazar H0</v>
      </c>
      <c r="F4359" s="0" t="str">
        <f aca="false">IF(AND(B4359="H0 verdadera",E4359="Rechazar H0"),"Error tipo I",IF(AND(B4359="Ha verdadera",E4359="No rechazar H0"),"Error tipo II","Decisión correcta"))</f>
        <v>Decisión correcta</v>
      </c>
    </row>
    <row r="4360" customFormat="false" ht="15" hidden="false" customHeight="false" outlineLevel="0" collapsed="false">
      <c r="A4360" s="0" t="n">
        <v>4339</v>
      </c>
      <c r="B4360" s="0" t="s">
        <v>86</v>
      </c>
      <c r="C4360" s="17" t="n">
        <v>-0.262782709305656</v>
      </c>
      <c r="D4360" s="17" t="n">
        <f aca="false">(C4360-$B$4)/($B$6/SQRT($B$7))</f>
        <v>-1.31391354652828</v>
      </c>
      <c r="E4360" s="0" t="str">
        <f aca="false">IF(OR(AND($B$9="superior",D4360&gt;$B$10),AND($B$9="inferior",D4360&lt;-$B$10)),"Rechazar H0","No rechazar H0")</f>
        <v>No rechazar H0</v>
      </c>
      <c r="F4360" s="0" t="str">
        <f aca="false">IF(AND(B4360="H0 verdadera",E4360="Rechazar H0"),"Error tipo I",IF(AND(B4360="Ha verdadera",E4360="No rechazar H0"),"Error tipo II","Decisión correcta"))</f>
        <v>Error tipo II</v>
      </c>
    </row>
    <row r="4361" customFormat="false" ht="15" hidden="false" customHeight="false" outlineLevel="0" collapsed="false">
      <c r="A4361" s="0" t="n">
        <v>4340</v>
      </c>
      <c r="B4361" s="0" t="s">
        <v>85</v>
      </c>
      <c r="C4361" s="17" t="n">
        <v>0.119045209990766</v>
      </c>
      <c r="D4361" s="17" t="n">
        <f aca="false">(C4361-$B$4)/($B$6/SQRT($B$7))</f>
        <v>0.59522604995383</v>
      </c>
      <c r="E4361" s="0" t="str">
        <f aca="false">IF(OR(AND($B$9="superior",D4361&gt;$B$10),AND($B$9="inferior",D4361&lt;-$B$10)),"Rechazar H0","No rechazar H0")</f>
        <v>No rechazar H0</v>
      </c>
      <c r="F4361" s="0" t="str">
        <f aca="false">IF(AND(B4361="H0 verdadera",E4361="Rechazar H0"),"Error tipo I",IF(AND(B4361="Ha verdadera",E4361="No rechazar H0"),"Error tipo II","Decisión correcta"))</f>
        <v>Decisión correcta</v>
      </c>
    </row>
    <row r="4362" customFormat="false" ht="15" hidden="false" customHeight="false" outlineLevel="0" collapsed="false">
      <c r="A4362" s="0" t="n">
        <v>4341</v>
      </c>
      <c r="B4362" s="0" t="s">
        <v>86</v>
      </c>
      <c r="C4362" s="17" t="n">
        <v>-0.822447698869047</v>
      </c>
      <c r="D4362" s="17" t="n">
        <f aca="false">(C4362-$B$4)/($B$6/SQRT($B$7))</f>
        <v>-4.11223849434524</v>
      </c>
      <c r="E4362" s="0" t="str">
        <f aca="false">IF(OR(AND($B$9="superior",D4362&gt;$B$10),AND($B$9="inferior",D4362&lt;-$B$10)),"Rechazar H0","No rechazar H0")</f>
        <v>Rechazar H0</v>
      </c>
      <c r="F4362" s="0" t="str">
        <f aca="false">IF(AND(B4362="H0 verdadera",E4362="Rechazar H0"),"Error tipo I",IF(AND(B4362="Ha verdadera",E4362="No rechazar H0"),"Error tipo II","Decisión correcta"))</f>
        <v>Decisión correcta</v>
      </c>
    </row>
    <row r="4363" customFormat="false" ht="15" hidden="false" customHeight="false" outlineLevel="0" collapsed="false">
      <c r="A4363" s="0" t="n">
        <v>4342</v>
      </c>
      <c r="B4363" s="0" t="s">
        <v>86</v>
      </c>
      <c r="C4363" s="17" t="n">
        <v>0.133355259372562</v>
      </c>
      <c r="D4363" s="17" t="n">
        <f aca="false">(C4363-$B$4)/($B$6/SQRT($B$7))</f>
        <v>0.666776296862811</v>
      </c>
      <c r="E4363" s="0" t="str">
        <f aca="false">IF(OR(AND($B$9="superior",D4363&gt;$B$10),AND($B$9="inferior",D4363&lt;-$B$10)),"Rechazar H0","No rechazar H0")</f>
        <v>No rechazar H0</v>
      </c>
      <c r="F4363" s="0" t="str">
        <f aca="false">IF(AND(B4363="H0 verdadera",E4363="Rechazar H0"),"Error tipo I",IF(AND(B4363="Ha verdadera",E4363="No rechazar H0"),"Error tipo II","Decisión correcta"))</f>
        <v>Error tipo II</v>
      </c>
    </row>
    <row r="4364" customFormat="false" ht="15" hidden="false" customHeight="false" outlineLevel="0" collapsed="false">
      <c r="A4364" s="0" t="n">
        <v>4343</v>
      </c>
      <c r="B4364" s="0" t="s">
        <v>86</v>
      </c>
      <c r="C4364" s="17" t="n">
        <v>-0.529907574418147</v>
      </c>
      <c r="D4364" s="17" t="n">
        <f aca="false">(C4364-$B$4)/($B$6/SQRT($B$7))</f>
        <v>-2.64953787209073</v>
      </c>
      <c r="E4364" s="0" t="str">
        <f aca="false">IF(OR(AND($B$9="superior",D4364&gt;$B$10),AND($B$9="inferior",D4364&lt;-$B$10)),"Rechazar H0","No rechazar H0")</f>
        <v>Rechazar H0</v>
      </c>
      <c r="F4364" s="0" t="str">
        <f aca="false">IF(AND(B4364="H0 verdadera",E4364="Rechazar H0"),"Error tipo I",IF(AND(B4364="Ha verdadera",E4364="No rechazar H0"),"Error tipo II","Decisión correcta"))</f>
        <v>Decisión correcta</v>
      </c>
    </row>
    <row r="4365" customFormat="false" ht="15" hidden="false" customHeight="false" outlineLevel="0" collapsed="false">
      <c r="A4365" s="0" t="n">
        <v>4344</v>
      </c>
      <c r="B4365" s="0" t="s">
        <v>85</v>
      </c>
      <c r="C4365" s="17" t="n">
        <v>0.0468410145997035</v>
      </c>
      <c r="D4365" s="17" t="n">
        <f aca="false">(C4365-$B$4)/($B$6/SQRT($B$7))</f>
        <v>0.234205072998518</v>
      </c>
      <c r="E4365" s="0" t="str">
        <f aca="false">IF(OR(AND($B$9="superior",D4365&gt;$B$10),AND($B$9="inferior",D4365&lt;-$B$10)),"Rechazar H0","No rechazar H0")</f>
        <v>No rechazar H0</v>
      </c>
      <c r="F4365" s="0" t="str">
        <f aca="false">IF(AND(B4365="H0 verdadera",E4365="Rechazar H0"),"Error tipo I",IF(AND(B4365="Ha verdadera",E4365="No rechazar H0"),"Error tipo II","Decisión correcta"))</f>
        <v>Decisión correcta</v>
      </c>
    </row>
    <row r="4366" customFormat="false" ht="15" hidden="false" customHeight="false" outlineLevel="0" collapsed="false">
      <c r="A4366" s="0" t="n">
        <v>4345</v>
      </c>
      <c r="B4366" s="0" t="s">
        <v>85</v>
      </c>
      <c r="C4366" s="17" t="n">
        <v>-0.0287502015766634</v>
      </c>
      <c r="D4366" s="17" t="n">
        <f aca="false">(C4366-$B$4)/($B$6/SQRT($B$7))</f>
        <v>-0.143751007883317</v>
      </c>
      <c r="E4366" s="0" t="str">
        <f aca="false">IF(OR(AND($B$9="superior",D4366&gt;$B$10),AND($B$9="inferior",D4366&lt;-$B$10)),"Rechazar H0","No rechazar H0")</f>
        <v>No rechazar H0</v>
      </c>
      <c r="F4366" s="0" t="str">
        <f aca="false">IF(AND(B4366="H0 verdadera",E4366="Rechazar H0"),"Error tipo I",IF(AND(B4366="Ha verdadera",E4366="No rechazar H0"),"Error tipo II","Decisión correcta"))</f>
        <v>Decisión correcta</v>
      </c>
    </row>
    <row r="4367" customFormat="false" ht="15" hidden="false" customHeight="false" outlineLevel="0" collapsed="false">
      <c r="A4367" s="0" t="n">
        <v>4346</v>
      </c>
      <c r="B4367" s="0" t="s">
        <v>85</v>
      </c>
      <c r="C4367" s="17" t="n">
        <v>-0.136931826394453</v>
      </c>
      <c r="D4367" s="17" t="n">
        <f aca="false">(C4367-$B$4)/($B$6/SQRT($B$7))</f>
        <v>-0.684659131972265</v>
      </c>
      <c r="E4367" s="0" t="str">
        <f aca="false">IF(OR(AND($B$9="superior",D4367&gt;$B$10),AND($B$9="inferior",D4367&lt;-$B$10)),"Rechazar H0","No rechazar H0")</f>
        <v>No rechazar H0</v>
      </c>
      <c r="F4367" s="0" t="str">
        <f aca="false">IF(AND(B4367="H0 verdadera",E4367="Rechazar H0"),"Error tipo I",IF(AND(B4367="Ha verdadera",E4367="No rechazar H0"),"Error tipo II","Decisión correcta"))</f>
        <v>Decisión correcta</v>
      </c>
    </row>
    <row r="4368" customFormat="false" ht="15" hidden="false" customHeight="false" outlineLevel="0" collapsed="false">
      <c r="A4368" s="0" t="n">
        <v>4347</v>
      </c>
      <c r="B4368" s="0" t="s">
        <v>86</v>
      </c>
      <c r="C4368" s="17" t="n">
        <v>-0.381476679251523</v>
      </c>
      <c r="D4368" s="17" t="n">
        <f aca="false">(C4368-$B$4)/($B$6/SQRT($B$7))</f>
        <v>-1.90738339625762</v>
      </c>
      <c r="E4368" s="0" t="str">
        <f aca="false">IF(OR(AND($B$9="superior",D4368&gt;$B$10),AND($B$9="inferior",D4368&lt;-$B$10)),"Rechazar H0","No rechazar H0")</f>
        <v>Rechazar H0</v>
      </c>
      <c r="F4368" s="0" t="str">
        <f aca="false">IF(AND(B4368="H0 verdadera",E4368="Rechazar H0"),"Error tipo I",IF(AND(B4368="Ha verdadera",E4368="No rechazar H0"),"Error tipo II","Decisión correcta"))</f>
        <v>Decisión correcta</v>
      </c>
    </row>
    <row r="4369" customFormat="false" ht="15" hidden="false" customHeight="false" outlineLevel="0" collapsed="false">
      <c r="A4369" s="0" t="n">
        <v>4348</v>
      </c>
      <c r="B4369" s="0" t="s">
        <v>85</v>
      </c>
      <c r="C4369" s="17" t="n">
        <v>0.147370894634009</v>
      </c>
      <c r="D4369" s="17" t="n">
        <f aca="false">(C4369-$B$4)/($B$6/SQRT($B$7))</f>
        <v>0.736854473170046</v>
      </c>
      <c r="E4369" s="0" t="str">
        <f aca="false">IF(OR(AND($B$9="superior",D4369&gt;$B$10),AND($B$9="inferior",D4369&lt;-$B$10)),"Rechazar H0","No rechazar H0")</f>
        <v>No rechazar H0</v>
      </c>
      <c r="F4369" s="0" t="str">
        <f aca="false">IF(AND(B4369="H0 verdadera",E4369="Rechazar H0"),"Error tipo I",IF(AND(B4369="Ha verdadera",E4369="No rechazar H0"),"Error tipo II","Decisión correcta"))</f>
        <v>Decisión correcta</v>
      </c>
    </row>
    <row r="4370" customFormat="false" ht="15" hidden="false" customHeight="false" outlineLevel="0" collapsed="false">
      <c r="A4370" s="0" t="n">
        <v>4349</v>
      </c>
      <c r="B4370" s="0" t="s">
        <v>86</v>
      </c>
      <c r="C4370" s="17" t="n">
        <v>-0.095337142098759</v>
      </c>
      <c r="D4370" s="17" t="n">
        <f aca="false">(C4370-$B$4)/($B$6/SQRT($B$7))</f>
        <v>-0.476685710493795</v>
      </c>
      <c r="E4370" s="0" t="str">
        <f aca="false">IF(OR(AND($B$9="superior",D4370&gt;$B$10),AND($B$9="inferior",D4370&lt;-$B$10)),"Rechazar H0","No rechazar H0")</f>
        <v>No rechazar H0</v>
      </c>
      <c r="F4370" s="0" t="str">
        <f aca="false">IF(AND(B4370="H0 verdadera",E4370="Rechazar H0"),"Error tipo I",IF(AND(B4370="Ha verdadera",E4370="No rechazar H0"),"Error tipo II","Decisión correcta"))</f>
        <v>Error tipo II</v>
      </c>
    </row>
    <row r="4371" customFormat="false" ht="15" hidden="false" customHeight="false" outlineLevel="0" collapsed="false">
      <c r="A4371" s="0" t="n">
        <v>4350</v>
      </c>
      <c r="B4371" s="0" t="s">
        <v>85</v>
      </c>
      <c r="C4371" s="17" t="n">
        <v>-0.152105317711286</v>
      </c>
      <c r="D4371" s="17" t="n">
        <f aca="false">(C4371-$B$4)/($B$6/SQRT($B$7))</f>
        <v>-0.760526588556431</v>
      </c>
      <c r="E4371" s="0" t="str">
        <f aca="false">IF(OR(AND($B$9="superior",D4371&gt;$B$10),AND($B$9="inferior",D4371&lt;-$B$10)),"Rechazar H0","No rechazar H0")</f>
        <v>No rechazar H0</v>
      </c>
      <c r="F4371" s="0" t="str">
        <f aca="false">IF(AND(B4371="H0 verdadera",E4371="Rechazar H0"),"Error tipo I",IF(AND(B4371="Ha verdadera",E4371="No rechazar H0"),"Error tipo II","Decisión correcta"))</f>
        <v>Decisión correcta</v>
      </c>
    </row>
    <row r="4372" customFormat="false" ht="15" hidden="false" customHeight="false" outlineLevel="0" collapsed="false">
      <c r="A4372" s="0" t="n">
        <v>4351</v>
      </c>
      <c r="B4372" s="0" t="s">
        <v>85</v>
      </c>
      <c r="C4372" s="17" t="n">
        <v>-0.19046872723831</v>
      </c>
      <c r="D4372" s="17" t="n">
        <f aca="false">(C4372-$B$4)/($B$6/SQRT($B$7))</f>
        <v>-0.95234363619155</v>
      </c>
      <c r="E4372" s="0" t="str">
        <f aca="false">IF(OR(AND($B$9="superior",D4372&gt;$B$10),AND($B$9="inferior",D4372&lt;-$B$10)),"Rechazar H0","No rechazar H0")</f>
        <v>No rechazar H0</v>
      </c>
      <c r="F4372" s="0" t="str">
        <f aca="false">IF(AND(B4372="H0 verdadera",E4372="Rechazar H0"),"Error tipo I",IF(AND(B4372="Ha verdadera",E4372="No rechazar H0"),"Error tipo II","Decisión correcta"))</f>
        <v>Decisión correcta</v>
      </c>
    </row>
    <row r="4373" customFormat="false" ht="15" hidden="false" customHeight="false" outlineLevel="0" collapsed="false">
      <c r="A4373" s="0" t="n">
        <v>4352</v>
      </c>
      <c r="B4373" s="0" t="s">
        <v>85</v>
      </c>
      <c r="C4373" s="17" t="n">
        <v>0.0617569546400243</v>
      </c>
      <c r="D4373" s="17" t="n">
        <f aca="false">(C4373-$B$4)/($B$6/SQRT($B$7))</f>
        <v>0.308784773200122</v>
      </c>
      <c r="E4373" s="0" t="str">
        <f aca="false">IF(OR(AND($B$9="superior",D4373&gt;$B$10),AND($B$9="inferior",D4373&lt;-$B$10)),"Rechazar H0","No rechazar H0")</f>
        <v>No rechazar H0</v>
      </c>
      <c r="F4373" s="0" t="str">
        <f aca="false">IF(AND(B4373="H0 verdadera",E4373="Rechazar H0"),"Error tipo I",IF(AND(B4373="Ha verdadera",E4373="No rechazar H0"),"Error tipo II","Decisión correcta"))</f>
        <v>Decisión correcta</v>
      </c>
    </row>
    <row r="4374" customFormat="false" ht="15" hidden="false" customHeight="false" outlineLevel="0" collapsed="false">
      <c r="A4374" s="0" t="n">
        <v>4353</v>
      </c>
      <c r="B4374" s="0" t="s">
        <v>86</v>
      </c>
      <c r="C4374" s="17" t="n">
        <v>-0.728438300936164</v>
      </c>
      <c r="D4374" s="17" t="n">
        <f aca="false">(C4374-$B$4)/($B$6/SQRT($B$7))</f>
        <v>-3.64219150468082</v>
      </c>
      <c r="E4374" s="0" t="str">
        <f aca="false">IF(OR(AND($B$9="superior",D4374&gt;$B$10),AND($B$9="inferior",D4374&lt;-$B$10)),"Rechazar H0","No rechazar H0")</f>
        <v>Rechazar H0</v>
      </c>
      <c r="F4374" s="0" t="str">
        <f aca="false">IF(AND(B4374="H0 verdadera",E4374="Rechazar H0"),"Error tipo I",IF(AND(B4374="Ha verdadera",E4374="No rechazar H0"),"Error tipo II","Decisión correcta"))</f>
        <v>Decisión correcta</v>
      </c>
    </row>
    <row r="4375" customFormat="false" ht="15" hidden="false" customHeight="false" outlineLevel="0" collapsed="false">
      <c r="A4375" s="0" t="n">
        <v>4354</v>
      </c>
      <c r="B4375" s="0" t="s">
        <v>85</v>
      </c>
      <c r="C4375" s="17" t="n">
        <v>0.233907911245097</v>
      </c>
      <c r="D4375" s="17" t="n">
        <f aca="false">(C4375-$B$4)/($B$6/SQRT($B$7))</f>
        <v>1.16953955622548</v>
      </c>
      <c r="E4375" s="0" t="str">
        <f aca="false">IF(OR(AND($B$9="superior",D4375&gt;$B$10),AND($B$9="inferior",D4375&lt;-$B$10)),"Rechazar H0","No rechazar H0")</f>
        <v>No rechazar H0</v>
      </c>
      <c r="F4375" s="0" t="str">
        <f aca="false">IF(AND(B4375="H0 verdadera",E4375="Rechazar H0"),"Error tipo I",IF(AND(B4375="Ha verdadera",E4375="No rechazar H0"),"Error tipo II","Decisión correcta"))</f>
        <v>Decisión correcta</v>
      </c>
    </row>
    <row r="4376" customFormat="false" ht="15" hidden="false" customHeight="false" outlineLevel="0" collapsed="false">
      <c r="A4376" s="0" t="n">
        <v>4355</v>
      </c>
      <c r="B4376" s="0" t="s">
        <v>86</v>
      </c>
      <c r="C4376" s="17" t="n">
        <v>-0.645974236685761</v>
      </c>
      <c r="D4376" s="17" t="n">
        <f aca="false">(C4376-$B$4)/($B$6/SQRT($B$7))</f>
        <v>-3.2298711834288</v>
      </c>
      <c r="E4376" s="0" t="str">
        <f aca="false">IF(OR(AND($B$9="superior",D4376&gt;$B$10),AND($B$9="inferior",D4376&lt;-$B$10)),"Rechazar H0","No rechazar H0")</f>
        <v>Rechazar H0</v>
      </c>
      <c r="F4376" s="0" t="str">
        <f aca="false">IF(AND(B4376="H0 verdadera",E4376="Rechazar H0"),"Error tipo I",IF(AND(B4376="Ha verdadera",E4376="No rechazar H0"),"Error tipo II","Decisión correcta"))</f>
        <v>Decisión correcta</v>
      </c>
    </row>
    <row r="4377" customFormat="false" ht="15" hidden="false" customHeight="false" outlineLevel="0" collapsed="false">
      <c r="A4377" s="0" t="n">
        <v>4356</v>
      </c>
      <c r="B4377" s="0" t="s">
        <v>86</v>
      </c>
      <c r="C4377" s="17" t="n">
        <v>-0.279923229481483</v>
      </c>
      <c r="D4377" s="17" t="n">
        <f aca="false">(C4377-$B$4)/($B$6/SQRT($B$7))</f>
        <v>-1.39961614740741</v>
      </c>
      <c r="E4377" s="0" t="str">
        <f aca="false">IF(OR(AND($B$9="superior",D4377&gt;$B$10),AND($B$9="inferior",D4377&lt;-$B$10)),"Rechazar H0","No rechazar H0")</f>
        <v>No rechazar H0</v>
      </c>
      <c r="F4377" s="0" t="str">
        <f aca="false">IF(AND(B4377="H0 verdadera",E4377="Rechazar H0"),"Error tipo I",IF(AND(B4377="Ha verdadera",E4377="No rechazar H0"),"Error tipo II","Decisión correcta"))</f>
        <v>Error tipo II</v>
      </c>
    </row>
    <row r="4378" customFormat="false" ht="15" hidden="false" customHeight="false" outlineLevel="0" collapsed="false">
      <c r="A4378" s="0" t="n">
        <v>4357</v>
      </c>
      <c r="B4378" s="0" t="s">
        <v>85</v>
      </c>
      <c r="C4378" s="17" t="n">
        <v>-0.179618738208387</v>
      </c>
      <c r="D4378" s="17" t="n">
        <f aca="false">(C4378-$B$4)/($B$6/SQRT($B$7))</f>
        <v>-0.898093691041936</v>
      </c>
      <c r="E4378" s="0" t="str">
        <f aca="false">IF(OR(AND($B$9="superior",D4378&gt;$B$10),AND($B$9="inferior",D4378&lt;-$B$10)),"Rechazar H0","No rechazar H0")</f>
        <v>No rechazar H0</v>
      </c>
      <c r="F4378" s="0" t="str">
        <f aca="false">IF(AND(B4378="H0 verdadera",E4378="Rechazar H0"),"Error tipo I",IF(AND(B4378="Ha verdadera",E4378="No rechazar H0"),"Error tipo II","Decisión correcta"))</f>
        <v>Decisión correcta</v>
      </c>
    </row>
    <row r="4379" customFormat="false" ht="15" hidden="false" customHeight="false" outlineLevel="0" collapsed="false">
      <c r="A4379" s="0" t="n">
        <v>4358</v>
      </c>
      <c r="B4379" s="0" t="s">
        <v>86</v>
      </c>
      <c r="C4379" s="17" t="n">
        <v>-0.602352586791904</v>
      </c>
      <c r="D4379" s="17" t="n">
        <f aca="false">(C4379-$B$4)/($B$6/SQRT($B$7))</f>
        <v>-3.01176293395952</v>
      </c>
      <c r="E4379" s="0" t="str">
        <f aca="false">IF(OR(AND($B$9="superior",D4379&gt;$B$10),AND($B$9="inferior",D4379&lt;-$B$10)),"Rechazar H0","No rechazar H0")</f>
        <v>Rechazar H0</v>
      </c>
      <c r="F4379" s="0" t="str">
        <f aca="false">IF(AND(B4379="H0 verdadera",E4379="Rechazar H0"),"Error tipo I",IF(AND(B4379="Ha verdadera",E4379="No rechazar H0"),"Error tipo II","Decisión correcta"))</f>
        <v>Decisión correcta</v>
      </c>
    </row>
    <row r="4380" customFormat="false" ht="15" hidden="false" customHeight="false" outlineLevel="0" collapsed="false">
      <c r="A4380" s="0" t="n">
        <v>4359</v>
      </c>
      <c r="B4380" s="0" t="s">
        <v>85</v>
      </c>
      <c r="C4380" s="17" t="n">
        <v>0.0202567289303363</v>
      </c>
      <c r="D4380" s="17" t="n">
        <f aca="false">(C4380-$B$4)/($B$6/SQRT($B$7))</f>
        <v>0.101283644651681</v>
      </c>
      <c r="E4380" s="0" t="str">
        <f aca="false">IF(OR(AND($B$9="superior",D4380&gt;$B$10),AND($B$9="inferior",D4380&lt;-$B$10)),"Rechazar H0","No rechazar H0")</f>
        <v>No rechazar H0</v>
      </c>
      <c r="F4380" s="0" t="str">
        <f aca="false">IF(AND(B4380="H0 verdadera",E4380="Rechazar H0"),"Error tipo I",IF(AND(B4380="Ha verdadera",E4380="No rechazar H0"),"Error tipo II","Decisión correcta"))</f>
        <v>Decisión correcta</v>
      </c>
    </row>
    <row r="4381" customFormat="false" ht="15" hidden="false" customHeight="false" outlineLevel="0" collapsed="false">
      <c r="A4381" s="0" t="n">
        <v>4360</v>
      </c>
      <c r="B4381" s="0" t="s">
        <v>85</v>
      </c>
      <c r="C4381" s="17" t="n">
        <v>-0.102236574556732</v>
      </c>
      <c r="D4381" s="17" t="n">
        <f aca="false">(C4381-$B$4)/($B$6/SQRT($B$7))</f>
        <v>-0.51118287278366</v>
      </c>
      <c r="E4381" s="0" t="str">
        <f aca="false">IF(OR(AND($B$9="superior",D4381&gt;$B$10),AND($B$9="inferior",D4381&lt;-$B$10)),"Rechazar H0","No rechazar H0")</f>
        <v>No rechazar H0</v>
      </c>
      <c r="F4381" s="0" t="str">
        <f aca="false">IF(AND(B4381="H0 verdadera",E4381="Rechazar H0"),"Error tipo I",IF(AND(B4381="Ha verdadera",E4381="No rechazar H0"),"Error tipo II","Decisión correcta"))</f>
        <v>Decisión correcta</v>
      </c>
    </row>
    <row r="4382" customFormat="false" ht="15" hidden="false" customHeight="false" outlineLevel="0" collapsed="false">
      <c r="A4382" s="0" t="n">
        <v>4361</v>
      </c>
      <c r="B4382" s="0" t="s">
        <v>86</v>
      </c>
      <c r="C4382" s="17" t="n">
        <v>-0.516747174488438</v>
      </c>
      <c r="D4382" s="17" t="n">
        <f aca="false">(C4382-$B$4)/($B$6/SQRT($B$7))</f>
        <v>-2.58373587244219</v>
      </c>
      <c r="E4382" s="0" t="str">
        <f aca="false">IF(OR(AND($B$9="superior",D4382&gt;$B$10),AND($B$9="inferior",D4382&lt;-$B$10)),"Rechazar H0","No rechazar H0")</f>
        <v>Rechazar H0</v>
      </c>
      <c r="F4382" s="0" t="str">
        <f aca="false">IF(AND(B4382="H0 verdadera",E4382="Rechazar H0"),"Error tipo I",IF(AND(B4382="Ha verdadera",E4382="No rechazar H0"),"Error tipo II","Decisión correcta"))</f>
        <v>Decisión correcta</v>
      </c>
    </row>
    <row r="4383" customFormat="false" ht="15" hidden="false" customHeight="false" outlineLevel="0" collapsed="false">
      <c r="A4383" s="0" t="n">
        <v>4362</v>
      </c>
      <c r="B4383" s="0" t="s">
        <v>85</v>
      </c>
      <c r="C4383" s="17" t="n">
        <v>-0.242728998572358</v>
      </c>
      <c r="D4383" s="17" t="n">
        <f aca="false">(C4383-$B$4)/($B$6/SQRT($B$7))</f>
        <v>-1.21364499286179</v>
      </c>
      <c r="E4383" s="0" t="str">
        <f aca="false">IF(OR(AND($B$9="superior",D4383&gt;$B$10),AND($B$9="inferior",D4383&lt;-$B$10)),"Rechazar H0","No rechazar H0")</f>
        <v>No rechazar H0</v>
      </c>
      <c r="F4383" s="0" t="str">
        <f aca="false">IF(AND(B4383="H0 verdadera",E4383="Rechazar H0"),"Error tipo I",IF(AND(B4383="Ha verdadera",E4383="No rechazar H0"),"Error tipo II","Decisión correcta"))</f>
        <v>Decisión correcta</v>
      </c>
    </row>
    <row r="4384" customFormat="false" ht="15" hidden="false" customHeight="false" outlineLevel="0" collapsed="false">
      <c r="A4384" s="0" t="n">
        <v>4363</v>
      </c>
      <c r="B4384" s="0" t="s">
        <v>86</v>
      </c>
      <c r="C4384" s="17" t="n">
        <v>-0.660192776905678</v>
      </c>
      <c r="D4384" s="17" t="n">
        <f aca="false">(C4384-$B$4)/($B$6/SQRT($B$7))</f>
        <v>-3.30096388452839</v>
      </c>
      <c r="E4384" s="0" t="str">
        <f aca="false">IF(OR(AND($B$9="superior",D4384&gt;$B$10),AND($B$9="inferior",D4384&lt;-$B$10)),"Rechazar H0","No rechazar H0")</f>
        <v>Rechazar H0</v>
      </c>
      <c r="F4384" s="0" t="str">
        <f aca="false">IF(AND(B4384="H0 verdadera",E4384="Rechazar H0"),"Error tipo I",IF(AND(B4384="Ha verdadera",E4384="No rechazar H0"),"Error tipo II","Decisión correcta"))</f>
        <v>Decisión correcta</v>
      </c>
    </row>
    <row r="4385" customFormat="false" ht="15" hidden="false" customHeight="false" outlineLevel="0" collapsed="false">
      <c r="A4385" s="0" t="n">
        <v>4364</v>
      </c>
      <c r="B4385" s="0" t="s">
        <v>86</v>
      </c>
      <c r="C4385" s="17" t="n">
        <v>-0.399038095058612</v>
      </c>
      <c r="D4385" s="17" t="n">
        <f aca="false">(C4385-$B$4)/($B$6/SQRT($B$7))</f>
        <v>-1.99519047529306</v>
      </c>
      <c r="E4385" s="0" t="str">
        <f aca="false">IF(OR(AND($B$9="superior",D4385&gt;$B$10),AND($B$9="inferior",D4385&lt;-$B$10)),"Rechazar H0","No rechazar H0")</f>
        <v>Rechazar H0</v>
      </c>
      <c r="F4385" s="0" t="str">
        <f aca="false">IF(AND(B4385="H0 verdadera",E4385="Rechazar H0"),"Error tipo I",IF(AND(B4385="Ha verdadera",E4385="No rechazar H0"),"Error tipo II","Decisión correcta"))</f>
        <v>Decisión correcta</v>
      </c>
    </row>
    <row r="4386" customFormat="false" ht="15" hidden="false" customHeight="false" outlineLevel="0" collapsed="false">
      <c r="A4386" s="0" t="n">
        <v>4365</v>
      </c>
      <c r="B4386" s="0" t="s">
        <v>86</v>
      </c>
      <c r="C4386" s="17" t="n">
        <v>-0.616641270618538</v>
      </c>
      <c r="D4386" s="17" t="n">
        <f aca="false">(C4386-$B$4)/($B$6/SQRT($B$7))</f>
        <v>-3.08320635309269</v>
      </c>
      <c r="E4386" s="0" t="str">
        <f aca="false">IF(OR(AND($B$9="superior",D4386&gt;$B$10),AND($B$9="inferior",D4386&lt;-$B$10)),"Rechazar H0","No rechazar H0")</f>
        <v>Rechazar H0</v>
      </c>
      <c r="F4386" s="0" t="str">
        <f aca="false">IF(AND(B4386="H0 verdadera",E4386="Rechazar H0"),"Error tipo I",IF(AND(B4386="Ha verdadera",E4386="No rechazar H0"),"Error tipo II","Decisión correcta"))</f>
        <v>Decisión correcta</v>
      </c>
    </row>
    <row r="4387" customFormat="false" ht="15" hidden="false" customHeight="false" outlineLevel="0" collapsed="false">
      <c r="A4387" s="0" t="n">
        <v>4366</v>
      </c>
      <c r="B4387" s="0" t="s">
        <v>85</v>
      </c>
      <c r="C4387" s="17" t="n">
        <v>0.0900137684915287</v>
      </c>
      <c r="D4387" s="17" t="n">
        <f aca="false">(C4387-$B$4)/($B$6/SQRT($B$7))</f>
        <v>0.450068842457644</v>
      </c>
      <c r="E4387" s="0" t="str">
        <f aca="false">IF(OR(AND($B$9="superior",D4387&gt;$B$10),AND($B$9="inferior",D4387&lt;-$B$10)),"Rechazar H0","No rechazar H0")</f>
        <v>No rechazar H0</v>
      </c>
      <c r="F4387" s="0" t="str">
        <f aca="false">IF(AND(B4387="H0 verdadera",E4387="Rechazar H0"),"Error tipo I",IF(AND(B4387="Ha verdadera",E4387="No rechazar H0"),"Error tipo II","Decisión correcta"))</f>
        <v>Decisión correcta</v>
      </c>
    </row>
    <row r="4388" customFormat="false" ht="15" hidden="false" customHeight="false" outlineLevel="0" collapsed="false">
      <c r="A4388" s="0" t="n">
        <v>4367</v>
      </c>
      <c r="B4388" s="0" t="s">
        <v>86</v>
      </c>
      <c r="C4388" s="17" t="n">
        <v>-0.45247428273996</v>
      </c>
      <c r="D4388" s="17" t="n">
        <f aca="false">(C4388-$B$4)/($B$6/SQRT($B$7))</f>
        <v>-2.2623714136998</v>
      </c>
      <c r="E4388" s="0" t="str">
        <f aca="false">IF(OR(AND($B$9="superior",D4388&gt;$B$10),AND($B$9="inferior",D4388&lt;-$B$10)),"Rechazar H0","No rechazar H0")</f>
        <v>Rechazar H0</v>
      </c>
      <c r="F4388" s="0" t="str">
        <f aca="false">IF(AND(B4388="H0 verdadera",E4388="Rechazar H0"),"Error tipo I",IF(AND(B4388="Ha verdadera",E4388="No rechazar H0"),"Error tipo II","Decisión correcta"))</f>
        <v>Decisión correcta</v>
      </c>
    </row>
    <row r="4389" customFormat="false" ht="15" hidden="false" customHeight="false" outlineLevel="0" collapsed="false">
      <c r="A4389" s="0" t="n">
        <v>4368</v>
      </c>
      <c r="B4389" s="0" t="s">
        <v>86</v>
      </c>
      <c r="C4389" s="17" t="n">
        <v>-0.0952419632410474</v>
      </c>
      <c r="D4389" s="17" t="n">
        <f aca="false">(C4389-$B$4)/($B$6/SQRT($B$7))</f>
        <v>-0.476209816205237</v>
      </c>
      <c r="E4389" s="0" t="str">
        <f aca="false">IF(OR(AND($B$9="superior",D4389&gt;$B$10),AND($B$9="inferior",D4389&lt;-$B$10)),"Rechazar H0","No rechazar H0")</f>
        <v>No rechazar H0</v>
      </c>
      <c r="F4389" s="0" t="str">
        <f aca="false">IF(AND(B4389="H0 verdadera",E4389="Rechazar H0"),"Error tipo I",IF(AND(B4389="Ha verdadera",E4389="No rechazar H0"),"Error tipo II","Decisión correcta"))</f>
        <v>Error tipo II</v>
      </c>
    </row>
    <row r="4390" customFormat="false" ht="15" hidden="false" customHeight="false" outlineLevel="0" collapsed="false">
      <c r="A4390" s="0" t="n">
        <v>4369</v>
      </c>
      <c r="B4390" s="0" t="s">
        <v>86</v>
      </c>
      <c r="C4390" s="17" t="n">
        <v>-0.0741828100720007</v>
      </c>
      <c r="D4390" s="17" t="n">
        <f aca="false">(C4390-$B$4)/($B$6/SQRT($B$7))</f>
        <v>-0.370914050360003</v>
      </c>
      <c r="E4390" s="0" t="str">
        <f aca="false">IF(OR(AND($B$9="superior",D4390&gt;$B$10),AND($B$9="inferior",D4390&lt;-$B$10)),"Rechazar H0","No rechazar H0")</f>
        <v>No rechazar H0</v>
      </c>
      <c r="F4390" s="0" t="str">
        <f aca="false">IF(AND(B4390="H0 verdadera",E4390="Rechazar H0"),"Error tipo I",IF(AND(B4390="Ha verdadera",E4390="No rechazar H0"),"Error tipo II","Decisión correcta"))</f>
        <v>Error tipo II</v>
      </c>
    </row>
    <row r="4391" customFormat="false" ht="15" hidden="false" customHeight="false" outlineLevel="0" collapsed="false">
      <c r="A4391" s="0" t="n">
        <v>4370</v>
      </c>
      <c r="B4391" s="0" t="s">
        <v>86</v>
      </c>
      <c r="C4391" s="17" t="n">
        <v>-0.276983390166179</v>
      </c>
      <c r="D4391" s="17" t="n">
        <f aca="false">(C4391-$B$4)/($B$6/SQRT($B$7))</f>
        <v>-1.38491695083089</v>
      </c>
      <c r="E4391" s="0" t="str">
        <f aca="false">IF(OR(AND($B$9="superior",D4391&gt;$B$10),AND($B$9="inferior",D4391&lt;-$B$10)),"Rechazar H0","No rechazar H0")</f>
        <v>No rechazar H0</v>
      </c>
      <c r="F4391" s="0" t="str">
        <f aca="false">IF(AND(B4391="H0 verdadera",E4391="Rechazar H0"),"Error tipo I",IF(AND(B4391="Ha verdadera",E4391="No rechazar H0"),"Error tipo II","Decisión correcta"))</f>
        <v>Error tipo II</v>
      </c>
    </row>
    <row r="4392" customFormat="false" ht="15" hidden="false" customHeight="false" outlineLevel="0" collapsed="false">
      <c r="A4392" s="0" t="n">
        <v>4371</v>
      </c>
      <c r="B4392" s="0" t="s">
        <v>86</v>
      </c>
      <c r="C4392" s="17" t="n">
        <v>-0.629716699167137</v>
      </c>
      <c r="D4392" s="17" t="n">
        <f aca="false">(C4392-$B$4)/($B$6/SQRT($B$7))</f>
        <v>-3.14858349583569</v>
      </c>
      <c r="E4392" s="0" t="str">
        <f aca="false">IF(OR(AND($B$9="superior",D4392&gt;$B$10),AND($B$9="inferior",D4392&lt;-$B$10)),"Rechazar H0","No rechazar H0")</f>
        <v>Rechazar H0</v>
      </c>
      <c r="F4392" s="0" t="str">
        <f aca="false">IF(AND(B4392="H0 verdadera",E4392="Rechazar H0"),"Error tipo I",IF(AND(B4392="Ha verdadera",E4392="No rechazar H0"),"Error tipo II","Decisión correcta"))</f>
        <v>Decisión correcta</v>
      </c>
    </row>
    <row r="4393" customFormat="false" ht="15" hidden="false" customHeight="false" outlineLevel="0" collapsed="false">
      <c r="A4393" s="0" t="n">
        <v>4372</v>
      </c>
      <c r="B4393" s="0" t="s">
        <v>85</v>
      </c>
      <c r="C4393" s="17" t="n">
        <v>0.163388828399285</v>
      </c>
      <c r="D4393" s="17" t="n">
        <f aca="false">(C4393-$B$4)/($B$6/SQRT($B$7))</f>
        <v>0.816944141996423</v>
      </c>
      <c r="E4393" s="0" t="str">
        <f aca="false">IF(OR(AND($B$9="superior",D4393&gt;$B$10),AND($B$9="inferior",D4393&lt;-$B$10)),"Rechazar H0","No rechazar H0")</f>
        <v>No rechazar H0</v>
      </c>
      <c r="F4393" s="0" t="str">
        <f aca="false">IF(AND(B4393="H0 verdadera",E4393="Rechazar H0"),"Error tipo I",IF(AND(B4393="Ha verdadera",E4393="No rechazar H0"),"Error tipo II","Decisión correcta"))</f>
        <v>Decisión correcta</v>
      </c>
    </row>
    <row r="4394" customFormat="false" ht="15" hidden="false" customHeight="false" outlineLevel="0" collapsed="false">
      <c r="A4394" s="0" t="n">
        <v>4373</v>
      </c>
      <c r="B4394" s="0" t="s">
        <v>85</v>
      </c>
      <c r="C4394" s="17" t="n">
        <v>-0.0368825908127436</v>
      </c>
      <c r="D4394" s="17" t="n">
        <f aca="false">(C4394-$B$4)/($B$6/SQRT($B$7))</f>
        <v>-0.184412954063718</v>
      </c>
      <c r="E4394" s="0" t="str">
        <f aca="false">IF(OR(AND($B$9="superior",D4394&gt;$B$10),AND($B$9="inferior",D4394&lt;-$B$10)),"Rechazar H0","No rechazar H0")</f>
        <v>No rechazar H0</v>
      </c>
      <c r="F4394" s="0" t="str">
        <f aca="false">IF(AND(B4394="H0 verdadera",E4394="Rechazar H0"),"Error tipo I",IF(AND(B4394="Ha verdadera",E4394="No rechazar H0"),"Error tipo II","Decisión correcta"))</f>
        <v>Decisión correcta</v>
      </c>
    </row>
    <row r="4395" customFormat="false" ht="15" hidden="false" customHeight="false" outlineLevel="0" collapsed="false">
      <c r="A4395" s="0" t="n">
        <v>4374</v>
      </c>
      <c r="B4395" s="0" t="s">
        <v>85</v>
      </c>
      <c r="C4395" s="17" t="n">
        <v>0.126191692518814</v>
      </c>
      <c r="D4395" s="17" t="n">
        <f aca="false">(C4395-$B$4)/($B$6/SQRT($B$7))</f>
        <v>0.630958462594071</v>
      </c>
      <c r="E4395" s="0" t="str">
        <f aca="false">IF(OR(AND($B$9="superior",D4395&gt;$B$10),AND($B$9="inferior",D4395&lt;-$B$10)),"Rechazar H0","No rechazar H0")</f>
        <v>No rechazar H0</v>
      </c>
      <c r="F4395" s="0" t="str">
        <f aca="false">IF(AND(B4395="H0 verdadera",E4395="Rechazar H0"),"Error tipo I",IF(AND(B4395="Ha verdadera",E4395="No rechazar H0"),"Error tipo II","Decisión correcta"))</f>
        <v>Decisión correcta</v>
      </c>
    </row>
    <row r="4396" customFormat="false" ht="15" hidden="false" customHeight="false" outlineLevel="0" collapsed="false">
      <c r="A4396" s="0" t="n">
        <v>4375</v>
      </c>
      <c r="B4396" s="0" t="s">
        <v>85</v>
      </c>
      <c r="C4396" s="17" t="n">
        <v>-0.368182269809248</v>
      </c>
      <c r="D4396" s="17" t="n">
        <f aca="false">(C4396-$B$4)/($B$6/SQRT($B$7))</f>
        <v>-1.84091134904624</v>
      </c>
      <c r="E4396" s="0" t="str">
        <f aca="false">IF(OR(AND($B$9="superior",D4396&gt;$B$10),AND($B$9="inferior",D4396&lt;-$B$10)),"Rechazar H0","No rechazar H0")</f>
        <v>Rechazar H0</v>
      </c>
      <c r="F4396" s="0" t="str">
        <f aca="false">IF(AND(B4396="H0 verdadera",E4396="Rechazar H0"),"Error tipo I",IF(AND(B4396="Ha verdadera",E4396="No rechazar H0"),"Error tipo II","Decisión correcta"))</f>
        <v>Error tipo I</v>
      </c>
    </row>
    <row r="4397" customFormat="false" ht="15" hidden="false" customHeight="false" outlineLevel="0" collapsed="false">
      <c r="A4397" s="0" t="n">
        <v>4376</v>
      </c>
      <c r="B4397" s="0" t="s">
        <v>85</v>
      </c>
      <c r="C4397" s="17" t="n">
        <v>0.021207611783135</v>
      </c>
      <c r="D4397" s="17" t="n">
        <f aca="false">(C4397-$B$4)/($B$6/SQRT($B$7))</f>
        <v>0.106038058915675</v>
      </c>
      <c r="E4397" s="0" t="str">
        <f aca="false">IF(OR(AND($B$9="superior",D4397&gt;$B$10),AND($B$9="inferior",D4397&lt;-$B$10)),"Rechazar H0","No rechazar H0")</f>
        <v>No rechazar H0</v>
      </c>
      <c r="F4397" s="0" t="str">
        <f aca="false">IF(AND(B4397="H0 verdadera",E4397="Rechazar H0"),"Error tipo I",IF(AND(B4397="Ha verdadera",E4397="No rechazar H0"),"Error tipo II","Decisión correcta"))</f>
        <v>Decisión correcta</v>
      </c>
    </row>
    <row r="4398" customFormat="false" ht="15" hidden="false" customHeight="false" outlineLevel="0" collapsed="false">
      <c r="A4398" s="0" t="n">
        <v>4377</v>
      </c>
      <c r="B4398" s="0" t="s">
        <v>85</v>
      </c>
      <c r="C4398" s="17" t="n">
        <v>-0.0360134017333501</v>
      </c>
      <c r="D4398" s="17" t="n">
        <f aca="false">(C4398-$B$4)/($B$6/SQRT($B$7))</f>
        <v>-0.18006700866675</v>
      </c>
      <c r="E4398" s="0" t="str">
        <f aca="false">IF(OR(AND($B$9="superior",D4398&gt;$B$10),AND($B$9="inferior",D4398&lt;-$B$10)),"Rechazar H0","No rechazar H0")</f>
        <v>No rechazar H0</v>
      </c>
      <c r="F4398" s="0" t="str">
        <f aca="false">IF(AND(B4398="H0 verdadera",E4398="Rechazar H0"),"Error tipo I",IF(AND(B4398="Ha verdadera",E4398="No rechazar H0"),"Error tipo II","Decisión correcta"))</f>
        <v>Decisión correcta</v>
      </c>
    </row>
    <row r="4399" customFormat="false" ht="15" hidden="false" customHeight="false" outlineLevel="0" collapsed="false">
      <c r="A4399" s="0" t="n">
        <v>4378</v>
      </c>
      <c r="B4399" s="0" t="s">
        <v>86</v>
      </c>
      <c r="C4399" s="17" t="n">
        <v>0.024971392720615</v>
      </c>
      <c r="D4399" s="17" t="n">
        <f aca="false">(C4399-$B$4)/($B$6/SQRT($B$7))</f>
        <v>0.124856963603075</v>
      </c>
      <c r="E4399" s="0" t="str">
        <f aca="false">IF(OR(AND($B$9="superior",D4399&gt;$B$10),AND($B$9="inferior",D4399&lt;-$B$10)),"Rechazar H0","No rechazar H0")</f>
        <v>No rechazar H0</v>
      </c>
      <c r="F4399" s="0" t="str">
        <f aca="false">IF(AND(B4399="H0 verdadera",E4399="Rechazar H0"),"Error tipo I",IF(AND(B4399="Ha verdadera",E4399="No rechazar H0"),"Error tipo II","Decisión correcta"))</f>
        <v>Error tipo II</v>
      </c>
    </row>
    <row r="4400" customFormat="false" ht="15" hidden="false" customHeight="false" outlineLevel="0" collapsed="false">
      <c r="A4400" s="0" t="n">
        <v>4379</v>
      </c>
      <c r="B4400" s="0" t="s">
        <v>85</v>
      </c>
      <c r="C4400" s="17" t="n">
        <v>-0.229604056488768</v>
      </c>
      <c r="D4400" s="17" t="n">
        <f aca="false">(C4400-$B$4)/($B$6/SQRT($B$7))</f>
        <v>-1.14802028244384</v>
      </c>
      <c r="E4400" s="0" t="str">
        <f aca="false">IF(OR(AND($B$9="superior",D4400&gt;$B$10),AND($B$9="inferior",D4400&lt;-$B$10)),"Rechazar H0","No rechazar H0")</f>
        <v>No rechazar H0</v>
      </c>
      <c r="F4400" s="0" t="str">
        <f aca="false">IF(AND(B4400="H0 verdadera",E4400="Rechazar H0"),"Error tipo I",IF(AND(B4400="Ha verdadera",E4400="No rechazar H0"),"Error tipo II","Decisión correcta"))</f>
        <v>Decisión correcta</v>
      </c>
    </row>
    <row r="4401" customFormat="false" ht="15" hidden="false" customHeight="false" outlineLevel="0" collapsed="false">
      <c r="A4401" s="0" t="n">
        <v>4380</v>
      </c>
      <c r="B4401" s="0" t="s">
        <v>86</v>
      </c>
      <c r="C4401" s="17" t="n">
        <v>-0.46885966625378</v>
      </c>
      <c r="D4401" s="17" t="n">
        <f aca="false">(C4401-$B$4)/($B$6/SQRT($B$7))</f>
        <v>-2.3442983312689</v>
      </c>
      <c r="E4401" s="0" t="str">
        <f aca="false">IF(OR(AND($B$9="superior",D4401&gt;$B$10),AND($B$9="inferior",D4401&lt;-$B$10)),"Rechazar H0","No rechazar H0")</f>
        <v>Rechazar H0</v>
      </c>
      <c r="F4401" s="0" t="str">
        <f aca="false">IF(AND(B4401="H0 verdadera",E4401="Rechazar H0"),"Error tipo I",IF(AND(B4401="Ha verdadera",E4401="No rechazar H0"),"Error tipo II","Decisión correcta"))</f>
        <v>Decisión correcta</v>
      </c>
    </row>
    <row r="4402" customFormat="false" ht="15" hidden="false" customHeight="false" outlineLevel="0" collapsed="false">
      <c r="A4402" s="0" t="n">
        <v>4381</v>
      </c>
      <c r="B4402" s="0" t="s">
        <v>85</v>
      </c>
      <c r="C4402" s="17" t="n">
        <v>-0.200403413140065</v>
      </c>
      <c r="D4402" s="17" t="n">
        <f aca="false">(C4402-$B$4)/($B$6/SQRT($B$7))</f>
        <v>-1.00201706570033</v>
      </c>
      <c r="E4402" s="0" t="str">
        <f aca="false">IF(OR(AND($B$9="superior",D4402&gt;$B$10),AND($B$9="inferior",D4402&lt;-$B$10)),"Rechazar H0","No rechazar H0")</f>
        <v>No rechazar H0</v>
      </c>
      <c r="F4402" s="0" t="str">
        <f aca="false">IF(AND(B4402="H0 verdadera",E4402="Rechazar H0"),"Error tipo I",IF(AND(B4402="Ha verdadera",E4402="No rechazar H0"),"Error tipo II","Decisión correcta"))</f>
        <v>Decisión correcta</v>
      </c>
    </row>
    <row r="4403" customFormat="false" ht="15" hidden="false" customHeight="false" outlineLevel="0" collapsed="false">
      <c r="A4403" s="0" t="n">
        <v>4382</v>
      </c>
      <c r="B4403" s="0" t="s">
        <v>85</v>
      </c>
      <c r="C4403" s="17" t="n">
        <v>-0.151624003267421</v>
      </c>
      <c r="D4403" s="17" t="n">
        <f aca="false">(C4403-$B$4)/($B$6/SQRT($B$7))</f>
        <v>-0.758120016337103</v>
      </c>
      <c r="E4403" s="0" t="str">
        <f aca="false">IF(OR(AND($B$9="superior",D4403&gt;$B$10),AND($B$9="inferior",D4403&lt;-$B$10)),"Rechazar H0","No rechazar H0")</f>
        <v>No rechazar H0</v>
      </c>
      <c r="F4403" s="0" t="str">
        <f aca="false">IF(AND(B4403="H0 verdadera",E4403="Rechazar H0"),"Error tipo I",IF(AND(B4403="Ha verdadera",E4403="No rechazar H0"),"Error tipo II","Decisión correcta"))</f>
        <v>Decisión correcta</v>
      </c>
    </row>
    <row r="4404" customFormat="false" ht="15" hidden="false" customHeight="false" outlineLevel="0" collapsed="false">
      <c r="A4404" s="0" t="n">
        <v>4383</v>
      </c>
      <c r="B4404" s="0" t="s">
        <v>85</v>
      </c>
      <c r="C4404" s="17" t="n">
        <v>-6.86759803839276E-005</v>
      </c>
      <c r="D4404" s="17" t="n">
        <f aca="false">(C4404-$B$4)/($B$6/SQRT($B$7))</f>
        <v>-0.000343379901919638</v>
      </c>
      <c r="E4404" s="0" t="str">
        <f aca="false">IF(OR(AND($B$9="superior",D4404&gt;$B$10),AND($B$9="inferior",D4404&lt;-$B$10)),"Rechazar H0","No rechazar H0")</f>
        <v>No rechazar H0</v>
      </c>
      <c r="F4404" s="0" t="str">
        <f aca="false">IF(AND(B4404="H0 verdadera",E4404="Rechazar H0"),"Error tipo I",IF(AND(B4404="Ha verdadera",E4404="No rechazar H0"),"Error tipo II","Decisión correcta"))</f>
        <v>Decisión correcta</v>
      </c>
    </row>
    <row r="4405" customFormat="false" ht="15" hidden="false" customHeight="false" outlineLevel="0" collapsed="false">
      <c r="A4405" s="0" t="n">
        <v>4384</v>
      </c>
      <c r="B4405" s="0" t="s">
        <v>86</v>
      </c>
      <c r="C4405" s="17" t="n">
        <v>-0.476093975994413</v>
      </c>
      <c r="D4405" s="17" t="n">
        <f aca="false">(C4405-$B$4)/($B$6/SQRT($B$7))</f>
        <v>-2.38046987997207</v>
      </c>
      <c r="E4405" s="0" t="str">
        <f aca="false">IF(OR(AND($B$9="superior",D4405&gt;$B$10),AND($B$9="inferior",D4405&lt;-$B$10)),"Rechazar H0","No rechazar H0")</f>
        <v>Rechazar H0</v>
      </c>
      <c r="F4405" s="0" t="str">
        <f aca="false">IF(AND(B4405="H0 verdadera",E4405="Rechazar H0"),"Error tipo I",IF(AND(B4405="Ha verdadera",E4405="No rechazar H0"),"Error tipo II","Decisión correcta"))</f>
        <v>Decisión correcta</v>
      </c>
    </row>
    <row r="4406" customFormat="false" ht="15" hidden="false" customHeight="false" outlineLevel="0" collapsed="false">
      <c r="A4406" s="0" t="n">
        <v>4385</v>
      </c>
      <c r="B4406" s="0" t="s">
        <v>86</v>
      </c>
      <c r="C4406" s="17" t="n">
        <v>-0.46268306519487</v>
      </c>
      <c r="D4406" s="17" t="n">
        <f aca="false">(C4406-$B$4)/($B$6/SQRT($B$7))</f>
        <v>-2.31341532597435</v>
      </c>
      <c r="E4406" s="0" t="str">
        <f aca="false">IF(OR(AND($B$9="superior",D4406&gt;$B$10),AND($B$9="inferior",D4406&lt;-$B$10)),"Rechazar H0","No rechazar H0")</f>
        <v>Rechazar H0</v>
      </c>
      <c r="F4406" s="0" t="str">
        <f aca="false">IF(AND(B4406="H0 verdadera",E4406="Rechazar H0"),"Error tipo I",IF(AND(B4406="Ha verdadera",E4406="No rechazar H0"),"Error tipo II","Decisión correcta"))</f>
        <v>Decisión correcta</v>
      </c>
    </row>
    <row r="4407" customFormat="false" ht="15" hidden="false" customHeight="false" outlineLevel="0" collapsed="false">
      <c r="A4407" s="0" t="n">
        <v>4386</v>
      </c>
      <c r="B4407" s="0" t="s">
        <v>86</v>
      </c>
      <c r="C4407" s="17" t="n">
        <v>-0.254199871760167</v>
      </c>
      <c r="D4407" s="17" t="n">
        <f aca="false">(C4407-$B$4)/($B$6/SQRT($B$7))</f>
        <v>-1.27099935880084</v>
      </c>
      <c r="E4407" s="0" t="str">
        <f aca="false">IF(OR(AND($B$9="superior",D4407&gt;$B$10),AND($B$9="inferior",D4407&lt;-$B$10)),"Rechazar H0","No rechazar H0")</f>
        <v>No rechazar H0</v>
      </c>
      <c r="F4407" s="0" t="str">
        <f aca="false">IF(AND(B4407="H0 verdadera",E4407="Rechazar H0"),"Error tipo I",IF(AND(B4407="Ha verdadera",E4407="No rechazar H0"),"Error tipo II","Decisión correcta"))</f>
        <v>Error tipo II</v>
      </c>
    </row>
    <row r="4408" customFormat="false" ht="15" hidden="false" customHeight="false" outlineLevel="0" collapsed="false">
      <c r="A4408" s="0" t="n">
        <v>4387</v>
      </c>
      <c r="B4408" s="0" t="s">
        <v>85</v>
      </c>
      <c r="C4408" s="17" t="n">
        <v>0.256773595853205</v>
      </c>
      <c r="D4408" s="17" t="n">
        <f aca="false">(C4408-$B$4)/($B$6/SQRT($B$7))</f>
        <v>1.28386797926603</v>
      </c>
      <c r="E4408" s="0" t="str">
        <f aca="false">IF(OR(AND($B$9="superior",D4408&gt;$B$10),AND($B$9="inferior",D4408&lt;-$B$10)),"Rechazar H0","No rechazar H0")</f>
        <v>No rechazar H0</v>
      </c>
      <c r="F4408" s="0" t="str">
        <f aca="false">IF(AND(B4408="H0 verdadera",E4408="Rechazar H0"),"Error tipo I",IF(AND(B4408="Ha verdadera",E4408="No rechazar H0"),"Error tipo II","Decisión correcta"))</f>
        <v>Decisión correcta</v>
      </c>
    </row>
    <row r="4409" customFormat="false" ht="15" hidden="false" customHeight="false" outlineLevel="0" collapsed="false">
      <c r="A4409" s="0" t="n">
        <v>4388</v>
      </c>
      <c r="B4409" s="0" t="s">
        <v>85</v>
      </c>
      <c r="C4409" s="17" t="n">
        <v>-0.0637556293893841</v>
      </c>
      <c r="D4409" s="17" t="n">
        <f aca="false">(C4409-$B$4)/($B$6/SQRT($B$7))</f>
        <v>-0.31877814694692</v>
      </c>
      <c r="E4409" s="0" t="str">
        <f aca="false">IF(OR(AND($B$9="superior",D4409&gt;$B$10),AND($B$9="inferior",D4409&lt;-$B$10)),"Rechazar H0","No rechazar H0")</f>
        <v>No rechazar H0</v>
      </c>
      <c r="F4409" s="0" t="str">
        <f aca="false">IF(AND(B4409="H0 verdadera",E4409="Rechazar H0"),"Error tipo I",IF(AND(B4409="Ha verdadera",E4409="No rechazar H0"),"Error tipo II","Decisión correcta"))</f>
        <v>Decisión correcta</v>
      </c>
    </row>
    <row r="4410" customFormat="false" ht="15" hidden="false" customHeight="false" outlineLevel="0" collapsed="false">
      <c r="A4410" s="0" t="n">
        <v>4389</v>
      </c>
      <c r="B4410" s="0" t="s">
        <v>86</v>
      </c>
      <c r="C4410" s="17" t="n">
        <v>-0.593591577751744</v>
      </c>
      <c r="D4410" s="17" t="n">
        <f aca="false">(C4410-$B$4)/($B$6/SQRT($B$7))</f>
        <v>-2.96795788875872</v>
      </c>
      <c r="E4410" s="0" t="str">
        <f aca="false">IF(OR(AND($B$9="superior",D4410&gt;$B$10),AND($B$9="inferior",D4410&lt;-$B$10)),"Rechazar H0","No rechazar H0")</f>
        <v>Rechazar H0</v>
      </c>
      <c r="F4410" s="0" t="str">
        <f aca="false">IF(AND(B4410="H0 verdadera",E4410="Rechazar H0"),"Error tipo I",IF(AND(B4410="Ha verdadera",E4410="No rechazar H0"),"Error tipo II","Decisión correcta"))</f>
        <v>Decisión correcta</v>
      </c>
    </row>
    <row r="4411" customFormat="false" ht="15" hidden="false" customHeight="false" outlineLevel="0" collapsed="false">
      <c r="A4411" s="0" t="n">
        <v>4390</v>
      </c>
      <c r="B4411" s="0" t="s">
        <v>85</v>
      </c>
      <c r="C4411" s="17" t="n">
        <v>0.382155816141269</v>
      </c>
      <c r="D4411" s="17" t="n">
        <f aca="false">(C4411-$B$4)/($B$6/SQRT($B$7))</f>
        <v>1.91077908070635</v>
      </c>
      <c r="E4411" s="0" t="str">
        <f aca="false">IF(OR(AND($B$9="superior",D4411&gt;$B$10),AND($B$9="inferior",D4411&lt;-$B$10)),"Rechazar H0","No rechazar H0")</f>
        <v>No rechazar H0</v>
      </c>
      <c r="F4411" s="0" t="str">
        <f aca="false">IF(AND(B4411="H0 verdadera",E4411="Rechazar H0"),"Error tipo I",IF(AND(B4411="Ha verdadera",E4411="No rechazar H0"),"Error tipo II","Decisión correcta"))</f>
        <v>Decisión correcta</v>
      </c>
    </row>
    <row r="4412" customFormat="false" ht="15" hidden="false" customHeight="false" outlineLevel="0" collapsed="false">
      <c r="A4412" s="0" t="n">
        <v>4391</v>
      </c>
      <c r="B4412" s="0" t="s">
        <v>85</v>
      </c>
      <c r="C4412" s="17" t="n">
        <v>-0.340455848972602</v>
      </c>
      <c r="D4412" s="17" t="n">
        <f aca="false">(C4412-$B$4)/($B$6/SQRT($B$7))</f>
        <v>-1.70227924486301</v>
      </c>
      <c r="E4412" s="0" t="str">
        <f aca="false">IF(OR(AND($B$9="superior",D4412&gt;$B$10),AND($B$9="inferior",D4412&lt;-$B$10)),"Rechazar H0","No rechazar H0")</f>
        <v>Rechazar H0</v>
      </c>
      <c r="F4412" s="0" t="str">
        <f aca="false">IF(AND(B4412="H0 verdadera",E4412="Rechazar H0"),"Error tipo I",IF(AND(B4412="Ha verdadera",E4412="No rechazar H0"),"Error tipo II","Decisión correcta"))</f>
        <v>Error tipo I</v>
      </c>
    </row>
    <row r="4413" customFormat="false" ht="15" hidden="false" customHeight="false" outlineLevel="0" collapsed="false">
      <c r="A4413" s="0" t="n">
        <v>4392</v>
      </c>
      <c r="B4413" s="0" t="s">
        <v>85</v>
      </c>
      <c r="C4413" s="17" t="n">
        <v>-0.415350956374719</v>
      </c>
      <c r="D4413" s="17" t="n">
        <f aca="false">(C4413-$B$4)/($B$6/SQRT($B$7))</f>
        <v>-2.0767547818736</v>
      </c>
      <c r="E4413" s="0" t="str">
        <f aca="false">IF(OR(AND($B$9="superior",D4413&gt;$B$10),AND($B$9="inferior",D4413&lt;-$B$10)),"Rechazar H0","No rechazar H0")</f>
        <v>Rechazar H0</v>
      </c>
      <c r="F4413" s="0" t="str">
        <f aca="false">IF(AND(B4413="H0 verdadera",E4413="Rechazar H0"),"Error tipo I",IF(AND(B4413="Ha verdadera",E4413="No rechazar H0"),"Error tipo II","Decisión correcta"))</f>
        <v>Error tipo I</v>
      </c>
    </row>
    <row r="4414" customFormat="false" ht="15" hidden="false" customHeight="false" outlineLevel="0" collapsed="false">
      <c r="A4414" s="0" t="n">
        <v>4393</v>
      </c>
      <c r="B4414" s="0" t="s">
        <v>85</v>
      </c>
      <c r="C4414" s="17" t="n">
        <v>0.0574401977108098</v>
      </c>
      <c r="D4414" s="17" t="n">
        <f aca="false">(C4414-$B$4)/($B$6/SQRT($B$7))</f>
        <v>0.287200988554049</v>
      </c>
      <c r="E4414" s="0" t="str">
        <f aca="false">IF(OR(AND($B$9="superior",D4414&gt;$B$10),AND($B$9="inferior",D4414&lt;-$B$10)),"Rechazar H0","No rechazar H0")</f>
        <v>No rechazar H0</v>
      </c>
      <c r="F4414" s="0" t="str">
        <f aca="false">IF(AND(B4414="H0 verdadera",E4414="Rechazar H0"),"Error tipo I",IF(AND(B4414="Ha verdadera",E4414="No rechazar H0"),"Error tipo II","Decisión correcta"))</f>
        <v>Decisión correcta</v>
      </c>
    </row>
    <row r="4415" customFormat="false" ht="15" hidden="false" customHeight="false" outlineLevel="0" collapsed="false">
      <c r="A4415" s="0" t="n">
        <v>4394</v>
      </c>
      <c r="B4415" s="0" t="s">
        <v>85</v>
      </c>
      <c r="C4415" s="17" t="n">
        <v>-0.13202446818478</v>
      </c>
      <c r="D4415" s="17" t="n">
        <f aca="false">(C4415-$B$4)/($B$6/SQRT($B$7))</f>
        <v>-0.660122340923902</v>
      </c>
      <c r="E4415" s="0" t="str">
        <f aca="false">IF(OR(AND($B$9="superior",D4415&gt;$B$10),AND($B$9="inferior",D4415&lt;-$B$10)),"Rechazar H0","No rechazar H0")</f>
        <v>No rechazar H0</v>
      </c>
      <c r="F4415" s="0" t="str">
        <f aca="false">IF(AND(B4415="H0 verdadera",E4415="Rechazar H0"),"Error tipo I",IF(AND(B4415="Ha verdadera",E4415="No rechazar H0"),"Error tipo II","Decisión correcta"))</f>
        <v>Decisión correcta</v>
      </c>
    </row>
    <row r="4416" customFormat="false" ht="15" hidden="false" customHeight="false" outlineLevel="0" collapsed="false">
      <c r="A4416" s="0" t="n">
        <v>4395</v>
      </c>
      <c r="B4416" s="0" t="s">
        <v>86</v>
      </c>
      <c r="C4416" s="17" t="n">
        <v>-0.522089347140217</v>
      </c>
      <c r="D4416" s="17" t="n">
        <f aca="false">(C4416-$B$4)/($B$6/SQRT($B$7))</f>
        <v>-2.61044673570109</v>
      </c>
      <c r="E4416" s="0" t="str">
        <f aca="false">IF(OR(AND($B$9="superior",D4416&gt;$B$10),AND($B$9="inferior",D4416&lt;-$B$10)),"Rechazar H0","No rechazar H0")</f>
        <v>Rechazar H0</v>
      </c>
      <c r="F4416" s="0" t="str">
        <f aca="false">IF(AND(B4416="H0 verdadera",E4416="Rechazar H0"),"Error tipo I",IF(AND(B4416="Ha verdadera",E4416="No rechazar H0"),"Error tipo II","Decisión correcta"))</f>
        <v>Decisión correcta</v>
      </c>
    </row>
    <row r="4417" customFormat="false" ht="15" hidden="false" customHeight="false" outlineLevel="0" collapsed="false">
      <c r="A4417" s="0" t="n">
        <v>4396</v>
      </c>
      <c r="B4417" s="0" t="s">
        <v>86</v>
      </c>
      <c r="C4417" s="17" t="n">
        <v>-0.281649902966211</v>
      </c>
      <c r="D4417" s="17" t="n">
        <f aca="false">(C4417-$B$4)/($B$6/SQRT($B$7))</f>
        <v>-1.40824951483105</v>
      </c>
      <c r="E4417" s="0" t="str">
        <f aca="false">IF(OR(AND($B$9="superior",D4417&gt;$B$10),AND($B$9="inferior",D4417&lt;-$B$10)),"Rechazar H0","No rechazar H0")</f>
        <v>No rechazar H0</v>
      </c>
      <c r="F4417" s="0" t="str">
        <f aca="false">IF(AND(B4417="H0 verdadera",E4417="Rechazar H0"),"Error tipo I",IF(AND(B4417="Ha verdadera",E4417="No rechazar H0"),"Error tipo II","Decisión correcta"))</f>
        <v>Error tipo II</v>
      </c>
    </row>
    <row r="4418" customFormat="false" ht="15" hidden="false" customHeight="false" outlineLevel="0" collapsed="false">
      <c r="A4418" s="0" t="n">
        <v>4397</v>
      </c>
      <c r="B4418" s="0" t="s">
        <v>86</v>
      </c>
      <c r="C4418" s="17" t="n">
        <v>-0.398030601631313</v>
      </c>
      <c r="D4418" s="17" t="n">
        <f aca="false">(C4418-$B$4)/($B$6/SQRT($B$7))</f>
        <v>-1.99015300815657</v>
      </c>
      <c r="E4418" s="0" t="str">
        <f aca="false">IF(OR(AND($B$9="superior",D4418&gt;$B$10),AND($B$9="inferior",D4418&lt;-$B$10)),"Rechazar H0","No rechazar H0")</f>
        <v>Rechazar H0</v>
      </c>
      <c r="F4418" s="0" t="str">
        <f aca="false">IF(AND(B4418="H0 verdadera",E4418="Rechazar H0"),"Error tipo I",IF(AND(B4418="Ha verdadera",E4418="No rechazar H0"),"Error tipo II","Decisión correcta"))</f>
        <v>Decisión correcta</v>
      </c>
    </row>
    <row r="4419" customFormat="false" ht="15" hidden="false" customHeight="false" outlineLevel="0" collapsed="false">
      <c r="A4419" s="0" t="n">
        <v>4398</v>
      </c>
      <c r="B4419" s="0" t="s">
        <v>86</v>
      </c>
      <c r="C4419" s="17" t="n">
        <v>-0.226953266817069</v>
      </c>
      <c r="D4419" s="17" t="n">
        <f aca="false">(C4419-$B$4)/($B$6/SQRT($B$7))</f>
        <v>-1.13476633408534</v>
      </c>
      <c r="E4419" s="0" t="str">
        <f aca="false">IF(OR(AND($B$9="superior",D4419&gt;$B$10),AND($B$9="inferior",D4419&lt;-$B$10)),"Rechazar H0","No rechazar H0")</f>
        <v>No rechazar H0</v>
      </c>
      <c r="F4419" s="0" t="str">
        <f aca="false">IF(AND(B4419="H0 verdadera",E4419="Rechazar H0"),"Error tipo I",IF(AND(B4419="Ha verdadera",E4419="No rechazar H0"),"Error tipo II","Decisión correcta"))</f>
        <v>Error tipo II</v>
      </c>
    </row>
    <row r="4420" customFormat="false" ht="15" hidden="false" customHeight="false" outlineLevel="0" collapsed="false">
      <c r="A4420" s="0" t="n">
        <v>4399</v>
      </c>
      <c r="B4420" s="0" t="s">
        <v>85</v>
      </c>
      <c r="C4420" s="17" t="n">
        <v>-0.0505819267642697</v>
      </c>
      <c r="D4420" s="17" t="n">
        <f aca="false">(C4420-$B$4)/($B$6/SQRT($B$7))</f>
        <v>-0.252909633821349</v>
      </c>
      <c r="E4420" s="0" t="str">
        <f aca="false">IF(OR(AND($B$9="superior",D4420&gt;$B$10),AND($B$9="inferior",D4420&lt;-$B$10)),"Rechazar H0","No rechazar H0")</f>
        <v>No rechazar H0</v>
      </c>
      <c r="F4420" s="0" t="str">
        <f aca="false">IF(AND(B4420="H0 verdadera",E4420="Rechazar H0"),"Error tipo I",IF(AND(B4420="Ha verdadera",E4420="No rechazar H0"),"Error tipo II","Decisión correcta"))</f>
        <v>Decisión correcta</v>
      </c>
    </row>
    <row r="4421" customFormat="false" ht="15" hidden="false" customHeight="false" outlineLevel="0" collapsed="false">
      <c r="A4421" s="0" t="n">
        <v>4400</v>
      </c>
      <c r="B4421" s="0" t="s">
        <v>86</v>
      </c>
      <c r="C4421" s="17" t="n">
        <v>-0.405172008965378</v>
      </c>
      <c r="D4421" s="17" t="n">
        <f aca="false">(C4421-$B$4)/($B$6/SQRT($B$7))</f>
        <v>-2.02586004482689</v>
      </c>
      <c r="E4421" s="0" t="str">
        <f aca="false">IF(OR(AND($B$9="superior",D4421&gt;$B$10),AND($B$9="inferior",D4421&lt;-$B$10)),"Rechazar H0","No rechazar H0")</f>
        <v>Rechazar H0</v>
      </c>
      <c r="F4421" s="0" t="str">
        <f aca="false">IF(AND(B4421="H0 verdadera",E4421="Rechazar H0"),"Error tipo I",IF(AND(B4421="Ha verdadera",E4421="No rechazar H0"),"Error tipo II","Decisión correcta"))</f>
        <v>Decisión correcta</v>
      </c>
    </row>
    <row r="4422" customFormat="false" ht="15" hidden="false" customHeight="false" outlineLevel="0" collapsed="false">
      <c r="A4422" s="0" t="n">
        <v>4401</v>
      </c>
      <c r="B4422" s="0" t="s">
        <v>86</v>
      </c>
      <c r="C4422" s="17" t="n">
        <v>-0.661613725164181</v>
      </c>
      <c r="D4422" s="17" t="n">
        <f aca="false">(C4422-$B$4)/($B$6/SQRT($B$7))</f>
        <v>-3.30806862582091</v>
      </c>
      <c r="E4422" s="0" t="str">
        <f aca="false">IF(OR(AND($B$9="superior",D4422&gt;$B$10),AND($B$9="inferior",D4422&lt;-$B$10)),"Rechazar H0","No rechazar H0")</f>
        <v>Rechazar H0</v>
      </c>
      <c r="F4422" s="0" t="str">
        <f aca="false">IF(AND(B4422="H0 verdadera",E4422="Rechazar H0"),"Error tipo I",IF(AND(B4422="Ha verdadera",E4422="No rechazar H0"),"Error tipo II","Decisión correcta"))</f>
        <v>Decisión correcta</v>
      </c>
    </row>
    <row r="4423" customFormat="false" ht="15" hidden="false" customHeight="false" outlineLevel="0" collapsed="false">
      <c r="A4423" s="0" t="n">
        <v>4402</v>
      </c>
      <c r="B4423" s="0" t="s">
        <v>86</v>
      </c>
      <c r="C4423" s="17" t="n">
        <v>-0.33476005137062</v>
      </c>
      <c r="D4423" s="17" t="n">
        <f aca="false">(C4423-$B$4)/($B$6/SQRT($B$7))</f>
        <v>-1.6738002568531</v>
      </c>
      <c r="E4423" s="0" t="str">
        <f aca="false">IF(OR(AND($B$9="superior",D4423&gt;$B$10),AND($B$9="inferior",D4423&lt;-$B$10)),"Rechazar H0","No rechazar H0")</f>
        <v>Rechazar H0</v>
      </c>
      <c r="F4423" s="0" t="str">
        <f aca="false">IF(AND(B4423="H0 verdadera",E4423="Rechazar H0"),"Error tipo I",IF(AND(B4423="Ha verdadera",E4423="No rechazar H0"),"Error tipo II","Decisión correcta"))</f>
        <v>Decisión correcta</v>
      </c>
    </row>
    <row r="4424" customFormat="false" ht="15" hidden="false" customHeight="false" outlineLevel="0" collapsed="false">
      <c r="A4424" s="0" t="n">
        <v>4403</v>
      </c>
      <c r="B4424" s="0" t="s">
        <v>86</v>
      </c>
      <c r="C4424" s="17" t="n">
        <v>-0.088671274768067</v>
      </c>
      <c r="D4424" s="17" t="n">
        <f aca="false">(C4424-$B$4)/($B$6/SQRT($B$7))</f>
        <v>-0.443356373840335</v>
      </c>
      <c r="E4424" s="0" t="str">
        <f aca="false">IF(OR(AND($B$9="superior",D4424&gt;$B$10),AND($B$9="inferior",D4424&lt;-$B$10)),"Rechazar H0","No rechazar H0")</f>
        <v>No rechazar H0</v>
      </c>
      <c r="F4424" s="0" t="str">
        <f aca="false">IF(AND(B4424="H0 verdadera",E4424="Rechazar H0"),"Error tipo I",IF(AND(B4424="Ha verdadera",E4424="No rechazar H0"),"Error tipo II","Decisión correcta"))</f>
        <v>Error tipo II</v>
      </c>
    </row>
    <row r="4425" customFormat="false" ht="15" hidden="false" customHeight="false" outlineLevel="0" collapsed="false">
      <c r="A4425" s="0" t="n">
        <v>4404</v>
      </c>
      <c r="B4425" s="0" t="s">
        <v>85</v>
      </c>
      <c r="C4425" s="17" t="n">
        <v>-0.0746189710245283</v>
      </c>
      <c r="D4425" s="17" t="n">
        <f aca="false">(C4425-$B$4)/($B$6/SQRT($B$7))</f>
        <v>-0.373094855122642</v>
      </c>
      <c r="E4425" s="0" t="str">
        <f aca="false">IF(OR(AND($B$9="superior",D4425&gt;$B$10),AND($B$9="inferior",D4425&lt;-$B$10)),"Rechazar H0","No rechazar H0")</f>
        <v>No rechazar H0</v>
      </c>
      <c r="F4425" s="0" t="str">
        <f aca="false">IF(AND(B4425="H0 verdadera",E4425="Rechazar H0"),"Error tipo I",IF(AND(B4425="Ha verdadera",E4425="No rechazar H0"),"Error tipo II","Decisión correcta"))</f>
        <v>Decisión correcta</v>
      </c>
    </row>
    <row r="4426" customFormat="false" ht="15" hidden="false" customHeight="false" outlineLevel="0" collapsed="false">
      <c r="A4426" s="0" t="n">
        <v>4405</v>
      </c>
      <c r="B4426" s="0" t="s">
        <v>86</v>
      </c>
      <c r="C4426" s="17" t="n">
        <v>-0.175579592021728</v>
      </c>
      <c r="D4426" s="17" t="n">
        <f aca="false">(C4426-$B$4)/($B$6/SQRT($B$7))</f>
        <v>-0.87789796010864</v>
      </c>
      <c r="E4426" s="0" t="str">
        <f aca="false">IF(OR(AND($B$9="superior",D4426&gt;$B$10),AND($B$9="inferior",D4426&lt;-$B$10)),"Rechazar H0","No rechazar H0")</f>
        <v>No rechazar H0</v>
      </c>
      <c r="F4426" s="0" t="str">
        <f aca="false">IF(AND(B4426="H0 verdadera",E4426="Rechazar H0"),"Error tipo I",IF(AND(B4426="Ha verdadera",E4426="No rechazar H0"),"Error tipo II","Decisión correcta"))</f>
        <v>Error tipo II</v>
      </c>
    </row>
    <row r="4427" customFormat="false" ht="15" hidden="false" customHeight="false" outlineLevel="0" collapsed="false">
      <c r="A4427" s="0" t="n">
        <v>4406</v>
      </c>
      <c r="B4427" s="0" t="s">
        <v>85</v>
      </c>
      <c r="C4427" s="17" t="n">
        <v>-0.360481396501901</v>
      </c>
      <c r="D4427" s="17" t="n">
        <f aca="false">(C4427-$B$4)/($B$6/SQRT($B$7))</f>
        <v>-1.80240698250951</v>
      </c>
      <c r="E4427" s="0" t="str">
        <f aca="false">IF(OR(AND($B$9="superior",D4427&gt;$B$10),AND($B$9="inferior",D4427&lt;-$B$10)),"Rechazar H0","No rechazar H0")</f>
        <v>Rechazar H0</v>
      </c>
      <c r="F4427" s="0" t="str">
        <f aca="false">IF(AND(B4427="H0 verdadera",E4427="Rechazar H0"),"Error tipo I",IF(AND(B4427="Ha verdadera",E4427="No rechazar H0"),"Error tipo II","Decisión correcta"))</f>
        <v>Error tipo I</v>
      </c>
    </row>
    <row r="4428" customFormat="false" ht="15" hidden="false" customHeight="false" outlineLevel="0" collapsed="false">
      <c r="A4428" s="0" t="n">
        <v>4407</v>
      </c>
      <c r="B4428" s="0" t="s">
        <v>85</v>
      </c>
      <c r="C4428" s="17" t="n">
        <v>0.370596452583886</v>
      </c>
      <c r="D4428" s="17" t="n">
        <f aca="false">(C4428-$B$4)/($B$6/SQRT($B$7))</f>
        <v>1.85298226291943</v>
      </c>
      <c r="E4428" s="0" t="str">
        <f aca="false">IF(OR(AND($B$9="superior",D4428&gt;$B$10),AND($B$9="inferior",D4428&lt;-$B$10)),"Rechazar H0","No rechazar H0")</f>
        <v>No rechazar H0</v>
      </c>
      <c r="F4428" s="0" t="str">
        <f aca="false">IF(AND(B4428="H0 verdadera",E4428="Rechazar H0"),"Error tipo I",IF(AND(B4428="Ha verdadera",E4428="No rechazar H0"),"Error tipo II","Decisión correcta"))</f>
        <v>Decisión correcta</v>
      </c>
    </row>
    <row r="4429" customFormat="false" ht="15" hidden="false" customHeight="false" outlineLevel="0" collapsed="false">
      <c r="A4429" s="0" t="n">
        <v>4408</v>
      </c>
      <c r="B4429" s="0" t="s">
        <v>85</v>
      </c>
      <c r="C4429" s="17" t="n">
        <v>0.102692437267176</v>
      </c>
      <c r="D4429" s="17" t="n">
        <f aca="false">(C4429-$B$4)/($B$6/SQRT($B$7))</f>
        <v>0.513462186335878</v>
      </c>
      <c r="E4429" s="0" t="str">
        <f aca="false">IF(OR(AND($B$9="superior",D4429&gt;$B$10),AND($B$9="inferior",D4429&lt;-$B$10)),"Rechazar H0","No rechazar H0")</f>
        <v>No rechazar H0</v>
      </c>
      <c r="F4429" s="0" t="str">
        <f aca="false">IF(AND(B4429="H0 verdadera",E4429="Rechazar H0"),"Error tipo I",IF(AND(B4429="Ha verdadera",E4429="No rechazar H0"),"Error tipo II","Decisión correcta"))</f>
        <v>Decisión correcta</v>
      </c>
    </row>
    <row r="4430" customFormat="false" ht="15" hidden="false" customHeight="false" outlineLevel="0" collapsed="false">
      <c r="A4430" s="0" t="n">
        <v>4409</v>
      </c>
      <c r="B4430" s="0" t="s">
        <v>85</v>
      </c>
      <c r="C4430" s="17" t="n">
        <v>0.176054942092492</v>
      </c>
      <c r="D4430" s="17" t="n">
        <f aca="false">(C4430-$B$4)/($B$6/SQRT($B$7))</f>
        <v>0.880274710462458</v>
      </c>
      <c r="E4430" s="0" t="str">
        <f aca="false">IF(OR(AND($B$9="superior",D4430&gt;$B$10),AND($B$9="inferior",D4430&lt;-$B$10)),"Rechazar H0","No rechazar H0")</f>
        <v>No rechazar H0</v>
      </c>
      <c r="F4430" s="0" t="str">
        <f aca="false">IF(AND(B4430="H0 verdadera",E4430="Rechazar H0"),"Error tipo I",IF(AND(B4430="Ha verdadera",E4430="No rechazar H0"),"Error tipo II","Decisión correcta"))</f>
        <v>Decisión correcta</v>
      </c>
    </row>
    <row r="4431" customFormat="false" ht="15" hidden="false" customHeight="false" outlineLevel="0" collapsed="false">
      <c r="A4431" s="0" t="n">
        <v>4410</v>
      </c>
      <c r="B4431" s="0" t="s">
        <v>86</v>
      </c>
      <c r="C4431" s="17" t="n">
        <v>-0.526302734431346</v>
      </c>
      <c r="D4431" s="17" t="n">
        <f aca="false">(C4431-$B$4)/($B$6/SQRT($B$7))</f>
        <v>-2.63151367215673</v>
      </c>
      <c r="E4431" s="0" t="str">
        <f aca="false">IF(OR(AND($B$9="superior",D4431&gt;$B$10),AND($B$9="inferior",D4431&lt;-$B$10)),"Rechazar H0","No rechazar H0")</f>
        <v>Rechazar H0</v>
      </c>
      <c r="F4431" s="0" t="str">
        <f aca="false">IF(AND(B4431="H0 verdadera",E4431="Rechazar H0"),"Error tipo I",IF(AND(B4431="Ha verdadera",E4431="No rechazar H0"),"Error tipo II","Decisión correcta"))</f>
        <v>Decisión correcta</v>
      </c>
    </row>
    <row r="4432" customFormat="false" ht="15" hidden="false" customHeight="false" outlineLevel="0" collapsed="false">
      <c r="A4432" s="0" t="n">
        <v>4411</v>
      </c>
      <c r="B4432" s="0" t="s">
        <v>86</v>
      </c>
      <c r="C4432" s="17" t="n">
        <v>-0.2602788549514</v>
      </c>
      <c r="D4432" s="17" t="n">
        <f aca="false">(C4432-$B$4)/($B$6/SQRT($B$7))</f>
        <v>-1.301394274757</v>
      </c>
      <c r="E4432" s="0" t="str">
        <f aca="false">IF(OR(AND($B$9="superior",D4432&gt;$B$10),AND($B$9="inferior",D4432&lt;-$B$10)),"Rechazar H0","No rechazar H0")</f>
        <v>No rechazar H0</v>
      </c>
      <c r="F4432" s="0" t="str">
        <f aca="false">IF(AND(B4432="H0 verdadera",E4432="Rechazar H0"),"Error tipo I",IF(AND(B4432="Ha verdadera",E4432="No rechazar H0"),"Error tipo II","Decisión correcta"))</f>
        <v>Error tipo II</v>
      </c>
    </row>
    <row r="4433" customFormat="false" ht="15" hidden="false" customHeight="false" outlineLevel="0" collapsed="false">
      <c r="A4433" s="0" t="n">
        <v>4412</v>
      </c>
      <c r="B4433" s="0" t="s">
        <v>86</v>
      </c>
      <c r="C4433" s="17" t="n">
        <v>-0.536611214720083</v>
      </c>
      <c r="D4433" s="17" t="n">
        <f aca="false">(C4433-$B$4)/($B$6/SQRT($B$7))</f>
        <v>-2.68305607360042</v>
      </c>
      <c r="E4433" s="0" t="str">
        <f aca="false">IF(OR(AND($B$9="superior",D4433&gt;$B$10),AND($B$9="inferior",D4433&lt;-$B$10)),"Rechazar H0","No rechazar H0")</f>
        <v>Rechazar H0</v>
      </c>
      <c r="F4433" s="0" t="str">
        <f aca="false">IF(AND(B4433="H0 verdadera",E4433="Rechazar H0"),"Error tipo I",IF(AND(B4433="Ha verdadera",E4433="No rechazar H0"),"Error tipo II","Decisión correcta"))</f>
        <v>Decisión correcta</v>
      </c>
    </row>
    <row r="4434" customFormat="false" ht="15" hidden="false" customHeight="false" outlineLevel="0" collapsed="false">
      <c r="A4434" s="0" t="n">
        <v>4413</v>
      </c>
      <c r="B4434" s="0" t="s">
        <v>86</v>
      </c>
      <c r="C4434" s="17" t="n">
        <v>-0.586294539939407</v>
      </c>
      <c r="D4434" s="17" t="n">
        <f aca="false">(C4434-$B$4)/($B$6/SQRT($B$7))</f>
        <v>-2.93147269969704</v>
      </c>
      <c r="E4434" s="0" t="str">
        <f aca="false">IF(OR(AND($B$9="superior",D4434&gt;$B$10),AND($B$9="inferior",D4434&lt;-$B$10)),"Rechazar H0","No rechazar H0")</f>
        <v>Rechazar H0</v>
      </c>
      <c r="F4434" s="0" t="str">
        <f aca="false">IF(AND(B4434="H0 verdadera",E4434="Rechazar H0"),"Error tipo I",IF(AND(B4434="Ha verdadera",E4434="No rechazar H0"),"Error tipo II","Decisión correcta"))</f>
        <v>Decisión correcta</v>
      </c>
    </row>
    <row r="4435" customFormat="false" ht="15" hidden="false" customHeight="false" outlineLevel="0" collapsed="false">
      <c r="A4435" s="0" t="n">
        <v>4414</v>
      </c>
      <c r="B4435" s="0" t="s">
        <v>86</v>
      </c>
      <c r="C4435" s="17" t="n">
        <v>-0.102730507853215</v>
      </c>
      <c r="D4435" s="17" t="n">
        <f aca="false">(C4435-$B$4)/($B$6/SQRT($B$7))</f>
        <v>-0.513652539266075</v>
      </c>
      <c r="E4435" s="0" t="str">
        <f aca="false">IF(OR(AND($B$9="superior",D4435&gt;$B$10),AND($B$9="inferior",D4435&lt;-$B$10)),"Rechazar H0","No rechazar H0")</f>
        <v>No rechazar H0</v>
      </c>
      <c r="F4435" s="0" t="str">
        <f aca="false">IF(AND(B4435="H0 verdadera",E4435="Rechazar H0"),"Error tipo I",IF(AND(B4435="Ha verdadera",E4435="No rechazar H0"),"Error tipo II","Decisión correcta"))</f>
        <v>Error tipo II</v>
      </c>
    </row>
    <row r="4436" customFormat="false" ht="15" hidden="false" customHeight="false" outlineLevel="0" collapsed="false">
      <c r="A4436" s="0" t="n">
        <v>4415</v>
      </c>
      <c r="B4436" s="0" t="s">
        <v>86</v>
      </c>
      <c r="C4436" s="17" t="n">
        <v>-0.267335790208962</v>
      </c>
      <c r="D4436" s="17" t="n">
        <f aca="false">(C4436-$B$4)/($B$6/SQRT($B$7))</f>
        <v>-1.33667895104481</v>
      </c>
      <c r="E4436" s="0" t="str">
        <f aca="false">IF(OR(AND($B$9="superior",D4436&gt;$B$10),AND($B$9="inferior",D4436&lt;-$B$10)),"Rechazar H0","No rechazar H0")</f>
        <v>No rechazar H0</v>
      </c>
      <c r="F4436" s="0" t="str">
        <f aca="false">IF(AND(B4436="H0 verdadera",E4436="Rechazar H0"),"Error tipo I",IF(AND(B4436="Ha verdadera",E4436="No rechazar H0"),"Error tipo II","Decisión correcta"))</f>
        <v>Error tipo II</v>
      </c>
    </row>
    <row r="4437" customFormat="false" ht="15" hidden="false" customHeight="false" outlineLevel="0" collapsed="false">
      <c r="A4437" s="0" t="n">
        <v>4416</v>
      </c>
      <c r="B4437" s="0" t="s">
        <v>86</v>
      </c>
      <c r="C4437" s="17" t="n">
        <v>-0.634622068948946</v>
      </c>
      <c r="D4437" s="17" t="n">
        <f aca="false">(C4437-$B$4)/($B$6/SQRT($B$7))</f>
        <v>-3.17311034474473</v>
      </c>
      <c r="E4437" s="0" t="str">
        <f aca="false">IF(OR(AND($B$9="superior",D4437&gt;$B$10),AND($B$9="inferior",D4437&lt;-$B$10)),"Rechazar H0","No rechazar H0")</f>
        <v>Rechazar H0</v>
      </c>
      <c r="F4437" s="0" t="str">
        <f aca="false">IF(AND(B4437="H0 verdadera",E4437="Rechazar H0"),"Error tipo I",IF(AND(B4437="Ha verdadera",E4437="No rechazar H0"),"Error tipo II","Decisión correcta"))</f>
        <v>Decisión correcta</v>
      </c>
    </row>
    <row r="4438" customFormat="false" ht="15" hidden="false" customHeight="false" outlineLevel="0" collapsed="false">
      <c r="A4438" s="0" t="n">
        <v>4417</v>
      </c>
      <c r="B4438" s="0" t="s">
        <v>86</v>
      </c>
      <c r="C4438" s="17" t="n">
        <v>-0.583225299084787</v>
      </c>
      <c r="D4438" s="17" t="n">
        <f aca="false">(C4438-$B$4)/($B$6/SQRT($B$7))</f>
        <v>-2.91612649542394</v>
      </c>
      <c r="E4438" s="0" t="str">
        <f aca="false">IF(OR(AND($B$9="superior",D4438&gt;$B$10),AND($B$9="inferior",D4438&lt;-$B$10)),"Rechazar H0","No rechazar H0")</f>
        <v>Rechazar H0</v>
      </c>
      <c r="F4438" s="0" t="str">
        <f aca="false">IF(AND(B4438="H0 verdadera",E4438="Rechazar H0"),"Error tipo I",IF(AND(B4438="Ha verdadera",E4438="No rechazar H0"),"Error tipo II","Decisión correcta"))</f>
        <v>Decisión correcta</v>
      </c>
    </row>
    <row r="4439" customFormat="false" ht="15" hidden="false" customHeight="false" outlineLevel="0" collapsed="false">
      <c r="A4439" s="0" t="n">
        <v>4418</v>
      </c>
      <c r="B4439" s="0" t="s">
        <v>85</v>
      </c>
      <c r="C4439" s="17" t="n">
        <v>0.0910975384726964</v>
      </c>
      <c r="D4439" s="17" t="n">
        <f aca="false">(C4439-$B$4)/($B$6/SQRT($B$7))</f>
        <v>0.455487692363482</v>
      </c>
      <c r="E4439" s="0" t="str">
        <f aca="false">IF(OR(AND($B$9="superior",D4439&gt;$B$10),AND($B$9="inferior",D4439&lt;-$B$10)),"Rechazar H0","No rechazar H0")</f>
        <v>No rechazar H0</v>
      </c>
      <c r="F4439" s="0" t="str">
        <f aca="false">IF(AND(B4439="H0 verdadera",E4439="Rechazar H0"),"Error tipo I",IF(AND(B4439="Ha verdadera",E4439="No rechazar H0"),"Error tipo II","Decisión correcta"))</f>
        <v>Decisión correcta</v>
      </c>
    </row>
    <row r="4440" customFormat="false" ht="15" hidden="false" customHeight="false" outlineLevel="0" collapsed="false">
      <c r="A4440" s="0" t="n">
        <v>4419</v>
      </c>
      <c r="B4440" s="0" t="s">
        <v>85</v>
      </c>
      <c r="C4440" s="17" t="n">
        <v>0.247655542259741</v>
      </c>
      <c r="D4440" s="17" t="n">
        <f aca="false">(C4440-$B$4)/($B$6/SQRT($B$7))</f>
        <v>1.2382777112987</v>
      </c>
      <c r="E4440" s="0" t="str">
        <f aca="false">IF(OR(AND($B$9="superior",D4440&gt;$B$10),AND($B$9="inferior",D4440&lt;-$B$10)),"Rechazar H0","No rechazar H0")</f>
        <v>No rechazar H0</v>
      </c>
      <c r="F4440" s="0" t="str">
        <f aca="false">IF(AND(B4440="H0 verdadera",E4440="Rechazar H0"),"Error tipo I",IF(AND(B4440="Ha verdadera",E4440="No rechazar H0"),"Error tipo II","Decisión correcta"))</f>
        <v>Decisión correcta</v>
      </c>
    </row>
    <row r="4441" customFormat="false" ht="15" hidden="false" customHeight="false" outlineLevel="0" collapsed="false">
      <c r="A4441" s="0" t="n">
        <v>4420</v>
      </c>
      <c r="B4441" s="0" t="s">
        <v>85</v>
      </c>
      <c r="C4441" s="17" t="n">
        <v>-0.553229736520815</v>
      </c>
      <c r="D4441" s="17" t="n">
        <f aca="false">(C4441-$B$4)/($B$6/SQRT($B$7))</f>
        <v>-2.76614868260407</v>
      </c>
      <c r="E4441" s="0" t="str">
        <f aca="false">IF(OR(AND($B$9="superior",D4441&gt;$B$10),AND($B$9="inferior",D4441&lt;-$B$10)),"Rechazar H0","No rechazar H0")</f>
        <v>Rechazar H0</v>
      </c>
      <c r="F4441" s="0" t="str">
        <f aca="false">IF(AND(B4441="H0 verdadera",E4441="Rechazar H0"),"Error tipo I",IF(AND(B4441="Ha verdadera",E4441="No rechazar H0"),"Error tipo II","Decisión correcta"))</f>
        <v>Error tipo I</v>
      </c>
    </row>
    <row r="4442" customFormat="false" ht="15" hidden="false" customHeight="false" outlineLevel="0" collapsed="false">
      <c r="A4442" s="0" t="n">
        <v>4421</v>
      </c>
      <c r="B4442" s="0" t="s">
        <v>86</v>
      </c>
      <c r="C4442" s="17" t="n">
        <v>-0.258872471127705</v>
      </c>
      <c r="D4442" s="17" t="n">
        <f aca="false">(C4442-$B$4)/($B$6/SQRT($B$7))</f>
        <v>-1.29436235563852</v>
      </c>
      <c r="E4442" s="0" t="str">
        <f aca="false">IF(OR(AND($B$9="superior",D4442&gt;$B$10),AND($B$9="inferior",D4442&lt;-$B$10)),"Rechazar H0","No rechazar H0")</f>
        <v>No rechazar H0</v>
      </c>
      <c r="F4442" s="0" t="str">
        <f aca="false">IF(AND(B4442="H0 verdadera",E4442="Rechazar H0"),"Error tipo I",IF(AND(B4442="Ha verdadera",E4442="No rechazar H0"),"Error tipo II","Decisión correcta"))</f>
        <v>Error tipo II</v>
      </c>
    </row>
    <row r="4443" customFormat="false" ht="15" hidden="false" customHeight="false" outlineLevel="0" collapsed="false">
      <c r="A4443" s="0" t="n">
        <v>4422</v>
      </c>
      <c r="B4443" s="0" t="s">
        <v>86</v>
      </c>
      <c r="C4443" s="17" t="n">
        <v>-0.589191495188973</v>
      </c>
      <c r="D4443" s="17" t="n">
        <f aca="false">(C4443-$B$4)/($B$6/SQRT($B$7))</f>
        <v>-2.94595747594487</v>
      </c>
      <c r="E4443" s="0" t="str">
        <f aca="false">IF(OR(AND($B$9="superior",D4443&gt;$B$10),AND($B$9="inferior",D4443&lt;-$B$10)),"Rechazar H0","No rechazar H0")</f>
        <v>Rechazar H0</v>
      </c>
      <c r="F4443" s="0" t="str">
        <f aca="false">IF(AND(B4443="H0 verdadera",E4443="Rechazar H0"),"Error tipo I",IF(AND(B4443="Ha verdadera",E4443="No rechazar H0"),"Error tipo II","Decisión correcta"))</f>
        <v>Decisión correcta</v>
      </c>
    </row>
    <row r="4444" customFormat="false" ht="15" hidden="false" customHeight="false" outlineLevel="0" collapsed="false">
      <c r="A4444" s="0" t="n">
        <v>4423</v>
      </c>
      <c r="B4444" s="0" t="s">
        <v>86</v>
      </c>
      <c r="C4444" s="17" t="n">
        <v>-0.267617714167462</v>
      </c>
      <c r="D4444" s="17" t="n">
        <f aca="false">(C4444-$B$4)/($B$6/SQRT($B$7))</f>
        <v>-1.33808857083731</v>
      </c>
      <c r="E4444" s="0" t="str">
        <f aca="false">IF(OR(AND($B$9="superior",D4444&gt;$B$10),AND($B$9="inferior",D4444&lt;-$B$10)),"Rechazar H0","No rechazar H0")</f>
        <v>No rechazar H0</v>
      </c>
      <c r="F4444" s="0" t="str">
        <f aca="false">IF(AND(B4444="H0 verdadera",E4444="Rechazar H0"),"Error tipo I",IF(AND(B4444="Ha verdadera",E4444="No rechazar H0"),"Error tipo II","Decisión correcta"))</f>
        <v>Error tipo II</v>
      </c>
    </row>
    <row r="4445" customFormat="false" ht="15" hidden="false" customHeight="false" outlineLevel="0" collapsed="false">
      <c r="A4445" s="0" t="n">
        <v>4424</v>
      </c>
      <c r="B4445" s="0" t="s">
        <v>86</v>
      </c>
      <c r="C4445" s="17" t="n">
        <v>-0.435240044140872</v>
      </c>
      <c r="D4445" s="17" t="n">
        <f aca="false">(C4445-$B$4)/($B$6/SQRT($B$7))</f>
        <v>-2.17620022070436</v>
      </c>
      <c r="E4445" s="0" t="str">
        <f aca="false">IF(OR(AND($B$9="superior",D4445&gt;$B$10),AND($B$9="inferior",D4445&lt;-$B$10)),"Rechazar H0","No rechazar H0")</f>
        <v>Rechazar H0</v>
      </c>
      <c r="F4445" s="0" t="str">
        <f aca="false">IF(AND(B4445="H0 verdadera",E4445="Rechazar H0"),"Error tipo I",IF(AND(B4445="Ha verdadera",E4445="No rechazar H0"),"Error tipo II","Decisión correcta"))</f>
        <v>Decisión correcta</v>
      </c>
    </row>
    <row r="4446" customFormat="false" ht="15" hidden="false" customHeight="false" outlineLevel="0" collapsed="false">
      <c r="A4446" s="0" t="n">
        <v>4425</v>
      </c>
      <c r="B4446" s="0" t="s">
        <v>86</v>
      </c>
      <c r="C4446" s="17" t="n">
        <v>-0.311139883953955</v>
      </c>
      <c r="D4446" s="17" t="n">
        <f aca="false">(C4446-$B$4)/($B$6/SQRT($B$7))</f>
        <v>-1.55569941976978</v>
      </c>
      <c r="E4446" s="0" t="str">
        <f aca="false">IF(OR(AND($B$9="superior",D4446&gt;$B$10),AND($B$9="inferior",D4446&lt;-$B$10)),"Rechazar H0","No rechazar H0")</f>
        <v>No rechazar H0</v>
      </c>
      <c r="F4446" s="0" t="str">
        <f aca="false">IF(AND(B4446="H0 verdadera",E4446="Rechazar H0"),"Error tipo I",IF(AND(B4446="Ha verdadera",E4446="No rechazar H0"),"Error tipo II","Decisión correcta"))</f>
        <v>Error tipo II</v>
      </c>
    </row>
    <row r="4447" customFormat="false" ht="15" hidden="false" customHeight="false" outlineLevel="0" collapsed="false">
      <c r="A4447" s="0" t="n">
        <v>4426</v>
      </c>
      <c r="B4447" s="0" t="s">
        <v>86</v>
      </c>
      <c r="C4447" s="17" t="n">
        <v>-0.510337337541718</v>
      </c>
      <c r="D4447" s="17" t="n">
        <f aca="false">(C4447-$B$4)/($B$6/SQRT($B$7))</f>
        <v>-2.55168668770859</v>
      </c>
      <c r="E4447" s="0" t="str">
        <f aca="false">IF(OR(AND($B$9="superior",D4447&gt;$B$10),AND($B$9="inferior",D4447&lt;-$B$10)),"Rechazar H0","No rechazar H0")</f>
        <v>Rechazar H0</v>
      </c>
      <c r="F4447" s="0" t="str">
        <f aca="false">IF(AND(B4447="H0 verdadera",E4447="Rechazar H0"),"Error tipo I",IF(AND(B4447="Ha verdadera",E4447="No rechazar H0"),"Error tipo II","Decisión correcta"))</f>
        <v>Decisión correcta</v>
      </c>
    </row>
    <row r="4448" customFormat="false" ht="15" hidden="false" customHeight="false" outlineLevel="0" collapsed="false">
      <c r="A4448" s="0" t="n">
        <v>4427</v>
      </c>
      <c r="B4448" s="0" t="s">
        <v>85</v>
      </c>
      <c r="C4448" s="17" t="n">
        <v>-0.241219870756885</v>
      </c>
      <c r="D4448" s="17" t="n">
        <f aca="false">(C4448-$B$4)/($B$6/SQRT($B$7))</f>
        <v>-1.20609935378443</v>
      </c>
      <c r="E4448" s="0" t="str">
        <f aca="false">IF(OR(AND($B$9="superior",D4448&gt;$B$10),AND($B$9="inferior",D4448&lt;-$B$10)),"Rechazar H0","No rechazar H0")</f>
        <v>No rechazar H0</v>
      </c>
      <c r="F4448" s="0" t="str">
        <f aca="false">IF(AND(B4448="H0 verdadera",E4448="Rechazar H0"),"Error tipo I",IF(AND(B4448="Ha verdadera",E4448="No rechazar H0"),"Error tipo II","Decisión correcta"))</f>
        <v>Decisión correcta</v>
      </c>
    </row>
    <row r="4449" customFormat="false" ht="15" hidden="false" customHeight="false" outlineLevel="0" collapsed="false">
      <c r="A4449" s="0" t="n">
        <v>4428</v>
      </c>
      <c r="B4449" s="0" t="s">
        <v>86</v>
      </c>
      <c r="C4449" s="17" t="n">
        <v>0.0123634256951769</v>
      </c>
      <c r="D4449" s="17" t="n">
        <f aca="false">(C4449-$B$4)/($B$6/SQRT($B$7))</f>
        <v>0.0618171284758845</v>
      </c>
      <c r="E4449" s="0" t="str">
        <f aca="false">IF(OR(AND($B$9="superior",D4449&gt;$B$10),AND($B$9="inferior",D4449&lt;-$B$10)),"Rechazar H0","No rechazar H0")</f>
        <v>No rechazar H0</v>
      </c>
      <c r="F4449" s="0" t="str">
        <f aca="false">IF(AND(B4449="H0 verdadera",E4449="Rechazar H0"),"Error tipo I",IF(AND(B4449="Ha verdadera",E4449="No rechazar H0"),"Error tipo II","Decisión correcta"))</f>
        <v>Error tipo II</v>
      </c>
    </row>
    <row r="4450" customFormat="false" ht="15" hidden="false" customHeight="false" outlineLevel="0" collapsed="false">
      <c r="A4450" s="0" t="n">
        <v>4429</v>
      </c>
      <c r="B4450" s="0" t="s">
        <v>86</v>
      </c>
      <c r="C4450" s="17" t="n">
        <v>-0.036234527795943</v>
      </c>
      <c r="D4450" s="17" t="n">
        <f aca="false">(C4450-$B$4)/($B$6/SQRT($B$7))</f>
        <v>-0.181172638979715</v>
      </c>
      <c r="E4450" s="0" t="str">
        <f aca="false">IF(OR(AND($B$9="superior",D4450&gt;$B$10),AND($B$9="inferior",D4450&lt;-$B$10)),"Rechazar H0","No rechazar H0")</f>
        <v>No rechazar H0</v>
      </c>
      <c r="F4450" s="0" t="str">
        <f aca="false">IF(AND(B4450="H0 verdadera",E4450="Rechazar H0"),"Error tipo I",IF(AND(B4450="Ha verdadera",E4450="No rechazar H0"),"Error tipo II","Decisión correcta"))</f>
        <v>Error tipo II</v>
      </c>
    </row>
    <row r="4451" customFormat="false" ht="15" hidden="false" customHeight="false" outlineLevel="0" collapsed="false">
      <c r="A4451" s="0" t="n">
        <v>4430</v>
      </c>
      <c r="B4451" s="0" t="s">
        <v>86</v>
      </c>
      <c r="C4451" s="17" t="n">
        <v>-0.648805168365207</v>
      </c>
      <c r="D4451" s="17" t="n">
        <f aca="false">(C4451-$B$4)/($B$6/SQRT($B$7))</f>
        <v>-3.24402584182604</v>
      </c>
      <c r="E4451" s="0" t="str">
        <f aca="false">IF(OR(AND($B$9="superior",D4451&gt;$B$10),AND($B$9="inferior",D4451&lt;-$B$10)),"Rechazar H0","No rechazar H0")</f>
        <v>Rechazar H0</v>
      </c>
      <c r="F4451" s="0" t="str">
        <f aca="false">IF(AND(B4451="H0 verdadera",E4451="Rechazar H0"),"Error tipo I",IF(AND(B4451="Ha verdadera",E4451="No rechazar H0"),"Error tipo II","Decisión correcta"))</f>
        <v>Decisión correcta</v>
      </c>
    </row>
    <row r="4452" customFormat="false" ht="15" hidden="false" customHeight="false" outlineLevel="0" collapsed="false">
      <c r="A4452" s="0" t="n">
        <v>4431</v>
      </c>
      <c r="B4452" s="0" t="s">
        <v>86</v>
      </c>
      <c r="C4452" s="17" t="n">
        <v>-1.00257879376315</v>
      </c>
      <c r="D4452" s="17" t="n">
        <f aca="false">(C4452-$B$4)/($B$6/SQRT($B$7))</f>
        <v>-5.01289396881573</v>
      </c>
      <c r="E4452" s="0" t="str">
        <f aca="false">IF(OR(AND($B$9="superior",D4452&gt;$B$10),AND($B$9="inferior",D4452&lt;-$B$10)),"Rechazar H0","No rechazar H0")</f>
        <v>Rechazar H0</v>
      </c>
      <c r="F4452" s="0" t="str">
        <f aca="false">IF(AND(B4452="H0 verdadera",E4452="Rechazar H0"),"Error tipo I",IF(AND(B4452="Ha verdadera",E4452="No rechazar H0"),"Error tipo II","Decisión correcta"))</f>
        <v>Decisión correcta</v>
      </c>
    </row>
    <row r="4453" customFormat="false" ht="15" hidden="false" customHeight="false" outlineLevel="0" collapsed="false">
      <c r="A4453" s="0" t="n">
        <v>4432</v>
      </c>
      <c r="B4453" s="0" t="s">
        <v>85</v>
      </c>
      <c r="C4453" s="17" t="n">
        <v>-0.118649535049749</v>
      </c>
      <c r="D4453" s="17" t="n">
        <f aca="false">(C4453-$B$4)/($B$6/SQRT($B$7))</f>
        <v>-0.593247675248747</v>
      </c>
      <c r="E4453" s="0" t="str">
        <f aca="false">IF(OR(AND($B$9="superior",D4453&gt;$B$10),AND($B$9="inferior",D4453&lt;-$B$10)),"Rechazar H0","No rechazar H0")</f>
        <v>No rechazar H0</v>
      </c>
      <c r="F4453" s="0" t="str">
        <f aca="false">IF(AND(B4453="H0 verdadera",E4453="Rechazar H0"),"Error tipo I",IF(AND(B4453="Ha verdadera",E4453="No rechazar H0"),"Error tipo II","Decisión correcta"))</f>
        <v>Decisión correcta</v>
      </c>
    </row>
    <row r="4454" customFormat="false" ht="15" hidden="false" customHeight="false" outlineLevel="0" collapsed="false">
      <c r="A4454" s="0" t="n">
        <v>4433</v>
      </c>
      <c r="B4454" s="0" t="s">
        <v>86</v>
      </c>
      <c r="C4454" s="17" t="n">
        <v>-0.46283098171657</v>
      </c>
      <c r="D4454" s="17" t="n">
        <f aca="false">(C4454-$B$4)/($B$6/SQRT($B$7))</f>
        <v>-2.31415490858285</v>
      </c>
      <c r="E4454" s="0" t="str">
        <f aca="false">IF(OR(AND($B$9="superior",D4454&gt;$B$10),AND($B$9="inferior",D4454&lt;-$B$10)),"Rechazar H0","No rechazar H0")</f>
        <v>Rechazar H0</v>
      </c>
      <c r="F4454" s="0" t="str">
        <f aca="false">IF(AND(B4454="H0 verdadera",E4454="Rechazar H0"),"Error tipo I",IF(AND(B4454="Ha verdadera",E4454="No rechazar H0"),"Error tipo II","Decisión correcta"))</f>
        <v>Decisión correcta</v>
      </c>
    </row>
    <row r="4455" customFormat="false" ht="15" hidden="false" customHeight="false" outlineLevel="0" collapsed="false">
      <c r="A4455" s="0" t="n">
        <v>4434</v>
      </c>
      <c r="B4455" s="0" t="s">
        <v>86</v>
      </c>
      <c r="C4455" s="17" t="n">
        <v>-0.715182250962016</v>
      </c>
      <c r="D4455" s="17" t="n">
        <f aca="false">(C4455-$B$4)/($B$6/SQRT($B$7))</f>
        <v>-3.57591125481008</v>
      </c>
      <c r="E4455" s="0" t="str">
        <f aca="false">IF(OR(AND($B$9="superior",D4455&gt;$B$10),AND($B$9="inferior",D4455&lt;-$B$10)),"Rechazar H0","No rechazar H0")</f>
        <v>Rechazar H0</v>
      </c>
      <c r="F4455" s="0" t="str">
        <f aca="false">IF(AND(B4455="H0 verdadera",E4455="Rechazar H0"),"Error tipo I",IF(AND(B4455="Ha verdadera",E4455="No rechazar H0"),"Error tipo II","Decisión correcta"))</f>
        <v>Decisión correcta</v>
      </c>
    </row>
    <row r="4456" customFormat="false" ht="15" hidden="false" customHeight="false" outlineLevel="0" collapsed="false">
      <c r="A4456" s="0" t="n">
        <v>4435</v>
      </c>
      <c r="B4456" s="0" t="s">
        <v>85</v>
      </c>
      <c r="C4456" s="17" t="n">
        <v>0.0185260877271834</v>
      </c>
      <c r="D4456" s="17" t="n">
        <f aca="false">(C4456-$B$4)/($B$6/SQRT($B$7))</f>
        <v>0.0926304386359168</v>
      </c>
      <c r="E4456" s="0" t="str">
        <f aca="false">IF(OR(AND($B$9="superior",D4456&gt;$B$10),AND($B$9="inferior",D4456&lt;-$B$10)),"Rechazar H0","No rechazar H0")</f>
        <v>No rechazar H0</v>
      </c>
      <c r="F4456" s="0" t="str">
        <f aca="false">IF(AND(B4456="H0 verdadera",E4456="Rechazar H0"),"Error tipo I",IF(AND(B4456="Ha verdadera",E4456="No rechazar H0"),"Error tipo II","Decisión correcta"))</f>
        <v>Decisión correcta</v>
      </c>
    </row>
    <row r="4457" customFormat="false" ht="15" hidden="false" customHeight="false" outlineLevel="0" collapsed="false">
      <c r="A4457" s="0" t="n">
        <v>4436</v>
      </c>
      <c r="B4457" s="0" t="s">
        <v>86</v>
      </c>
      <c r="C4457" s="17" t="n">
        <v>-0.545297241951897</v>
      </c>
      <c r="D4457" s="17" t="n">
        <f aca="false">(C4457-$B$4)/($B$6/SQRT($B$7))</f>
        <v>-2.72648620975948</v>
      </c>
      <c r="E4457" s="0" t="str">
        <f aca="false">IF(OR(AND($B$9="superior",D4457&gt;$B$10),AND($B$9="inferior",D4457&lt;-$B$10)),"Rechazar H0","No rechazar H0")</f>
        <v>Rechazar H0</v>
      </c>
      <c r="F4457" s="0" t="str">
        <f aca="false">IF(AND(B4457="H0 verdadera",E4457="Rechazar H0"),"Error tipo I",IF(AND(B4457="Ha verdadera",E4457="No rechazar H0"),"Error tipo II","Decisión correcta"))</f>
        <v>Decisión correcta</v>
      </c>
    </row>
    <row r="4458" customFormat="false" ht="15" hidden="false" customHeight="false" outlineLevel="0" collapsed="false">
      <c r="A4458" s="0" t="n">
        <v>4437</v>
      </c>
      <c r="B4458" s="0" t="s">
        <v>85</v>
      </c>
      <c r="C4458" s="17" t="n">
        <v>-0.0845479303683441</v>
      </c>
      <c r="D4458" s="17" t="n">
        <f aca="false">(C4458-$B$4)/($B$6/SQRT($B$7))</f>
        <v>-0.422739651841721</v>
      </c>
      <c r="E4458" s="0" t="str">
        <f aca="false">IF(OR(AND($B$9="superior",D4458&gt;$B$10),AND($B$9="inferior",D4458&lt;-$B$10)),"Rechazar H0","No rechazar H0")</f>
        <v>No rechazar H0</v>
      </c>
      <c r="F4458" s="0" t="str">
        <f aca="false">IF(AND(B4458="H0 verdadera",E4458="Rechazar H0"),"Error tipo I",IF(AND(B4458="Ha verdadera",E4458="No rechazar H0"),"Error tipo II","Decisión correcta"))</f>
        <v>Decisión correcta</v>
      </c>
    </row>
    <row r="4459" customFormat="false" ht="15" hidden="false" customHeight="false" outlineLevel="0" collapsed="false">
      <c r="A4459" s="0" t="n">
        <v>4438</v>
      </c>
      <c r="B4459" s="0" t="s">
        <v>85</v>
      </c>
      <c r="C4459" s="17" t="n">
        <v>0.0402153752204551</v>
      </c>
      <c r="D4459" s="17" t="n">
        <f aca="false">(C4459-$B$4)/($B$6/SQRT($B$7))</f>
        <v>0.201076876102276</v>
      </c>
      <c r="E4459" s="0" t="str">
        <f aca="false">IF(OR(AND($B$9="superior",D4459&gt;$B$10),AND($B$9="inferior",D4459&lt;-$B$10)),"Rechazar H0","No rechazar H0")</f>
        <v>No rechazar H0</v>
      </c>
      <c r="F4459" s="0" t="str">
        <f aca="false">IF(AND(B4459="H0 verdadera",E4459="Rechazar H0"),"Error tipo I",IF(AND(B4459="Ha verdadera",E4459="No rechazar H0"),"Error tipo II","Decisión correcta"))</f>
        <v>Decisión correcta</v>
      </c>
    </row>
    <row r="4460" customFormat="false" ht="15" hidden="false" customHeight="false" outlineLevel="0" collapsed="false">
      <c r="A4460" s="0" t="n">
        <v>4439</v>
      </c>
      <c r="B4460" s="0" t="s">
        <v>86</v>
      </c>
      <c r="C4460" s="17" t="n">
        <v>-0.0702953592904223</v>
      </c>
      <c r="D4460" s="17" t="n">
        <f aca="false">(C4460-$B$4)/($B$6/SQRT($B$7))</f>
        <v>-0.351476796452111</v>
      </c>
      <c r="E4460" s="0" t="str">
        <f aca="false">IF(OR(AND($B$9="superior",D4460&gt;$B$10),AND($B$9="inferior",D4460&lt;-$B$10)),"Rechazar H0","No rechazar H0")</f>
        <v>No rechazar H0</v>
      </c>
      <c r="F4460" s="0" t="str">
        <f aca="false">IF(AND(B4460="H0 verdadera",E4460="Rechazar H0"),"Error tipo I",IF(AND(B4460="Ha verdadera",E4460="No rechazar H0"),"Error tipo II","Decisión correcta"))</f>
        <v>Error tipo II</v>
      </c>
    </row>
    <row r="4461" customFormat="false" ht="15" hidden="false" customHeight="false" outlineLevel="0" collapsed="false">
      <c r="A4461" s="0" t="n">
        <v>4440</v>
      </c>
      <c r="B4461" s="0" t="s">
        <v>86</v>
      </c>
      <c r="C4461" s="17" t="n">
        <v>-0.480833992008174</v>
      </c>
      <c r="D4461" s="17" t="n">
        <f aca="false">(C4461-$B$4)/($B$6/SQRT($B$7))</f>
        <v>-2.40416996004087</v>
      </c>
      <c r="E4461" s="0" t="str">
        <f aca="false">IF(OR(AND($B$9="superior",D4461&gt;$B$10),AND($B$9="inferior",D4461&lt;-$B$10)),"Rechazar H0","No rechazar H0")</f>
        <v>Rechazar H0</v>
      </c>
      <c r="F4461" s="0" t="str">
        <f aca="false">IF(AND(B4461="H0 verdadera",E4461="Rechazar H0"),"Error tipo I",IF(AND(B4461="Ha verdadera",E4461="No rechazar H0"),"Error tipo II","Decisión correcta"))</f>
        <v>Decisión correcta</v>
      </c>
    </row>
    <row r="4462" customFormat="false" ht="15" hidden="false" customHeight="false" outlineLevel="0" collapsed="false">
      <c r="A4462" s="0" t="n">
        <v>4441</v>
      </c>
      <c r="B4462" s="0" t="s">
        <v>85</v>
      </c>
      <c r="C4462" s="17" t="n">
        <v>-0.0258922419020148</v>
      </c>
      <c r="D4462" s="17" t="n">
        <f aca="false">(C4462-$B$4)/($B$6/SQRT($B$7))</f>
        <v>-0.129461209510074</v>
      </c>
      <c r="E4462" s="0" t="str">
        <f aca="false">IF(OR(AND($B$9="superior",D4462&gt;$B$10),AND($B$9="inferior",D4462&lt;-$B$10)),"Rechazar H0","No rechazar H0")</f>
        <v>No rechazar H0</v>
      </c>
      <c r="F4462" s="0" t="str">
        <f aca="false">IF(AND(B4462="H0 verdadera",E4462="Rechazar H0"),"Error tipo I",IF(AND(B4462="Ha verdadera",E4462="No rechazar H0"),"Error tipo II","Decisión correcta"))</f>
        <v>Decisión correcta</v>
      </c>
    </row>
    <row r="4463" customFormat="false" ht="15" hidden="false" customHeight="false" outlineLevel="0" collapsed="false">
      <c r="A4463" s="0" t="n">
        <v>4442</v>
      </c>
      <c r="B4463" s="0" t="s">
        <v>85</v>
      </c>
      <c r="C4463" s="17" t="n">
        <v>-0.163629528831658</v>
      </c>
      <c r="D4463" s="17" t="n">
        <f aca="false">(C4463-$B$4)/($B$6/SQRT($B$7))</f>
        <v>-0.818147644158289</v>
      </c>
      <c r="E4463" s="0" t="str">
        <f aca="false">IF(OR(AND($B$9="superior",D4463&gt;$B$10),AND($B$9="inferior",D4463&lt;-$B$10)),"Rechazar H0","No rechazar H0")</f>
        <v>No rechazar H0</v>
      </c>
      <c r="F4463" s="0" t="str">
        <f aca="false">IF(AND(B4463="H0 verdadera",E4463="Rechazar H0"),"Error tipo I",IF(AND(B4463="Ha verdadera",E4463="No rechazar H0"),"Error tipo II","Decisión correcta"))</f>
        <v>Decisión correcta</v>
      </c>
    </row>
    <row r="4464" customFormat="false" ht="15" hidden="false" customHeight="false" outlineLevel="0" collapsed="false">
      <c r="A4464" s="0" t="n">
        <v>4443</v>
      </c>
      <c r="B4464" s="0" t="s">
        <v>86</v>
      </c>
      <c r="C4464" s="17" t="n">
        <v>-0.620656781699735</v>
      </c>
      <c r="D4464" s="17" t="n">
        <f aca="false">(C4464-$B$4)/($B$6/SQRT($B$7))</f>
        <v>-3.10328390849867</v>
      </c>
      <c r="E4464" s="0" t="str">
        <f aca="false">IF(OR(AND($B$9="superior",D4464&gt;$B$10),AND($B$9="inferior",D4464&lt;-$B$10)),"Rechazar H0","No rechazar H0")</f>
        <v>Rechazar H0</v>
      </c>
      <c r="F4464" s="0" t="str">
        <f aca="false">IF(AND(B4464="H0 verdadera",E4464="Rechazar H0"),"Error tipo I",IF(AND(B4464="Ha verdadera",E4464="No rechazar H0"),"Error tipo II","Decisión correcta"))</f>
        <v>Decisión correcta</v>
      </c>
    </row>
    <row r="4465" customFormat="false" ht="15" hidden="false" customHeight="false" outlineLevel="0" collapsed="false">
      <c r="A4465" s="0" t="n">
        <v>4444</v>
      </c>
      <c r="B4465" s="0" t="s">
        <v>86</v>
      </c>
      <c r="C4465" s="17" t="n">
        <v>-0.266844797454526</v>
      </c>
      <c r="D4465" s="17" t="n">
        <f aca="false">(C4465-$B$4)/($B$6/SQRT($B$7))</f>
        <v>-1.33422398727263</v>
      </c>
      <c r="E4465" s="0" t="str">
        <f aca="false">IF(OR(AND($B$9="superior",D4465&gt;$B$10),AND($B$9="inferior",D4465&lt;-$B$10)),"Rechazar H0","No rechazar H0")</f>
        <v>No rechazar H0</v>
      </c>
      <c r="F4465" s="0" t="str">
        <f aca="false">IF(AND(B4465="H0 verdadera",E4465="Rechazar H0"),"Error tipo I",IF(AND(B4465="Ha verdadera",E4465="No rechazar H0"),"Error tipo II","Decisión correcta"))</f>
        <v>Error tipo II</v>
      </c>
    </row>
    <row r="4466" customFormat="false" ht="15" hidden="false" customHeight="false" outlineLevel="0" collapsed="false">
      <c r="A4466" s="0" t="n">
        <v>4445</v>
      </c>
      <c r="B4466" s="0" t="s">
        <v>85</v>
      </c>
      <c r="C4466" s="17" t="n">
        <v>0.00978564822222521</v>
      </c>
      <c r="D4466" s="17" t="n">
        <f aca="false">(C4466-$B$4)/($B$6/SQRT($B$7))</f>
        <v>0.048928241111126</v>
      </c>
      <c r="E4466" s="0" t="str">
        <f aca="false">IF(OR(AND($B$9="superior",D4466&gt;$B$10),AND($B$9="inferior",D4466&lt;-$B$10)),"Rechazar H0","No rechazar H0")</f>
        <v>No rechazar H0</v>
      </c>
      <c r="F4466" s="0" t="str">
        <f aca="false">IF(AND(B4466="H0 verdadera",E4466="Rechazar H0"),"Error tipo I",IF(AND(B4466="Ha verdadera",E4466="No rechazar H0"),"Error tipo II","Decisión correcta"))</f>
        <v>Decisión correcta</v>
      </c>
    </row>
    <row r="4467" customFormat="false" ht="15" hidden="false" customHeight="false" outlineLevel="0" collapsed="false">
      <c r="A4467" s="0" t="n">
        <v>4446</v>
      </c>
      <c r="B4467" s="0" t="s">
        <v>85</v>
      </c>
      <c r="C4467" s="17" t="n">
        <v>0.0817483106066942</v>
      </c>
      <c r="D4467" s="17" t="n">
        <f aca="false">(C4467-$B$4)/($B$6/SQRT($B$7))</f>
        <v>0.408741553033471</v>
      </c>
      <c r="E4467" s="0" t="str">
        <f aca="false">IF(OR(AND($B$9="superior",D4467&gt;$B$10),AND($B$9="inferior",D4467&lt;-$B$10)),"Rechazar H0","No rechazar H0")</f>
        <v>No rechazar H0</v>
      </c>
      <c r="F4467" s="0" t="str">
        <f aca="false">IF(AND(B4467="H0 verdadera",E4467="Rechazar H0"),"Error tipo I",IF(AND(B4467="Ha verdadera",E4467="No rechazar H0"),"Error tipo II","Decisión correcta"))</f>
        <v>Decisión correcta</v>
      </c>
    </row>
    <row r="4468" customFormat="false" ht="15" hidden="false" customHeight="false" outlineLevel="0" collapsed="false">
      <c r="A4468" s="0" t="n">
        <v>4447</v>
      </c>
      <c r="B4468" s="0" t="s">
        <v>86</v>
      </c>
      <c r="C4468" s="17" t="n">
        <v>-0.404582058781136</v>
      </c>
      <c r="D4468" s="17" t="n">
        <f aca="false">(C4468-$B$4)/($B$6/SQRT($B$7))</f>
        <v>-2.02291029390568</v>
      </c>
      <c r="E4468" s="0" t="str">
        <f aca="false">IF(OR(AND($B$9="superior",D4468&gt;$B$10),AND($B$9="inferior",D4468&lt;-$B$10)),"Rechazar H0","No rechazar H0")</f>
        <v>Rechazar H0</v>
      </c>
      <c r="F4468" s="0" t="str">
        <f aca="false">IF(AND(B4468="H0 verdadera",E4468="Rechazar H0"),"Error tipo I",IF(AND(B4468="Ha verdadera",E4468="No rechazar H0"),"Error tipo II","Decisión correcta"))</f>
        <v>Decisión correcta</v>
      </c>
    </row>
    <row r="4469" customFormat="false" ht="15" hidden="false" customHeight="false" outlineLevel="0" collapsed="false">
      <c r="A4469" s="0" t="n">
        <v>4448</v>
      </c>
      <c r="B4469" s="0" t="s">
        <v>86</v>
      </c>
      <c r="C4469" s="17" t="n">
        <v>-0.383558508479212</v>
      </c>
      <c r="D4469" s="17" t="n">
        <f aca="false">(C4469-$B$4)/($B$6/SQRT($B$7))</f>
        <v>-1.91779254239606</v>
      </c>
      <c r="E4469" s="0" t="str">
        <f aca="false">IF(OR(AND($B$9="superior",D4469&gt;$B$10),AND($B$9="inferior",D4469&lt;-$B$10)),"Rechazar H0","No rechazar H0")</f>
        <v>Rechazar H0</v>
      </c>
      <c r="F4469" s="0" t="str">
        <f aca="false">IF(AND(B4469="H0 verdadera",E4469="Rechazar H0"),"Error tipo I",IF(AND(B4469="Ha verdadera",E4469="No rechazar H0"),"Error tipo II","Decisión correcta"))</f>
        <v>Decisión correcta</v>
      </c>
    </row>
    <row r="4470" customFormat="false" ht="15" hidden="false" customHeight="false" outlineLevel="0" collapsed="false">
      <c r="A4470" s="0" t="n">
        <v>4449</v>
      </c>
      <c r="B4470" s="0" t="s">
        <v>86</v>
      </c>
      <c r="C4470" s="17" t="n">
        <v>-0.436245883452215</v>
      </c>
      <c r="D4470" s="17" t="n">
        <f aca="false">(C4470-$B$4)/($B$6/SQRT($B$7))</f>
        <v>-2.18122941726107</v>
      </c>
      <c r="E4470" s="0" t="str">
        <f aca="false">IF(OR(AND($B$9="superior",D4470&gt;$B$10),AND($B$9="inferior",D4470&lt;-$B$10)),"Rechazar H0","No rechazar H0")</f>
        <v>Rechazar H0</v>
      </c>
      <c r="F4470" s="0" t="str">
        <f aca="false">IF(AND(B4470="H0 verdadera",E4470="Rechazar H0"),"Error tipo I",IF(AND(B4470="Ha verdadera",E4470="No rechazar H0"),"Error tipo II","Decisión correcta"))</f>
        <v>Decisión correcta</v>
      </c>
    </row>
    <row r="4471" customFormat="false" ht="15" hidden="false" customHeight="false" outlineLevel="0" collapsed="false">
      <c r="A4471" s="0" t="n">
        <v>4450</v>
      </c>
      <c r="B4471" s="0" t="s">
        <v>86</v>
      </c>
      <c r="C4471" s="17" t="n">
        <v>-0.154023749076369</v>
      </c>
      <c r="D4471" s="17" t="n">
        <f aca="false">(C4471-$B$4)/($B$6/SQRT($B$7))</f>
        <v>-0.770118745381843</v>
      </c>
      <c r="E4471" s="0" t="str">
        <f aca="false">IF(OR(AND($B$9="superior",D4471&gt;$B$10),AND($B$9="inferior",D4471&lt;-$B$10)),"Rechazar H0","No rechazar H0")</f>
        <v>No rechazar H0</v>
      </c>
      <c r="F4471" s="0" t="str">
        <f aca="false">IF(AND(B4471="H0 verdadera",E4471="Rechazar H0"),"Error tipo I",IF(AND(B4471="Ha verdadera",E4471="No rechazar H0"),"Error tipo II","Decisión correcta"))</f>
        <v>Error tipo II</v>
      </c>
    </row>
    <row r="4472" customFormat="false" ht="15" hidden="false" customHeight="false" outlineLevel="0" collapsed="false">
      <c r="A4472" s="0" t="n">
        <v>4451</v>
      </c>
      <c r="B4472" s="0" t="s">
        <v>85</v>
      </c>
      <c r="C4472" s="17" t="n">
        <v>0.13530079775471</v>
      </c>
      <c r="D4472" s="17" t="n">
        <f aca="false">(C4472-$B$4)/($B$6/SQRT($B$7))</f>
        <v>0.676503988773548</v>
      </c>
      <c r="E4472" s="0" t="str">
        <f aca="false">IF(OR(AND($B$9="superior",D4472&gt;$B$10),AND($B$9="inferior",D4472&lt;-$B$10)),"Rechazar H0","No rechazar H0")</f>
        <v>No rechazar H0</v>
      </c>
      <c r="F4472" s="0" t="str">
        <f aca="false">IF(AND(B4472="H0 verdadera",E4472="Rechazar H0"),"Error tipo I",IF(AND(B4472="Ha verdadera",E4472="No rechazar H0"),"Error tipo II","Decisión correcta"))</f>
        <v>Decisión correcta</v>
      </c>
    </row>
    <row r="4473" customFormat="false" ht="15" hidden="false" customHeight="false" outlineLevel="0" collapsed="false">
      <c r="A4473" s="0" t="n">
        <v>4452</v>
      </c>
      <c r="B4473" s="0" t="s">
        <v>85</v>
      </c>
      <c r="C4473" s="17" t="n">
        <v>0.0555579344035809</v>
      </c>
      <c r="D4473" s="17" t="n">
        <f aca="false">(C4473-$B$4)/($B$6/SQRT($B$7))</f>
        <v>0.277789672017904</v>
      </c>
      <c r="E4473" s="0" t="str">
        <f aca="false">IF(OR(AND($B$9="superior",D4473&gt;$B$10),AND($B$9="inferior",D4473&lt;-$B$10)),"Rechazar H0","No rechazar H0")</f>
        <v>No rechazar H0</v>
      </c>
      <c r="F4473" s="0" t="str">
        <f aca="false">IF(AND(B4473="H0 verdadera",E4473="Rechazar H0"),"Error tipo I",IF(AND(B4473="Ha verdadera",E4473="No rechazar H0"),"Error tipo II","Decisión correcta"))</f>
        <v>Decisión correcta</v>
      </c>
    </row>
    <row r="4474" customFormat="false" ht="15" hidden="false" customHeight="false" outlineLevel="0" collapsed="false">
      <c r="A4474" s="0" t="n">
        <v>4453</v>
      </c>
      <c r="B4474" s="0" t="s">
        <v>85</v>
      </c>
      <c r="C4474" s="17" t="n">
        <v>-0.0272006741383072</v>
      </c>
      <c r="D4474" s="17" t="n">
        <f aca="false">(C4474-$B$4)/($B$6/SQRT($B$7))</f>
        <v>-0.136003370691536</v>
      </c>
      <c r="E4474" s="0" t="str">
        <f aca="false">IF(OR(AND($B$9="superior",D4474&gt;$B$10),AND($B$9="inferior",D4474&lt;-$B$10)),"Rechazar H0","No rechazar H0")</f>
        <v>No rechazar H0</v>
      </c>
      <c r="F4474" s="0" t="str">
        <f aca="false">IF(AND(B4474="H0 verdadera",E4474="Rechazar H0"),"Error tipo I",IF(AND(B4474="Ha verdadera",E4474="No rechazar H0"),"Error tipo II","Decisión correcta"))</f>
        <v>Decisión correcta</v>
      </c>
    </row>
    <row r="4475" customFormat="false" ht="15" hidden="false" customHeight="false" outlineLevel="0" collapsed="false">
      <c r="A4475" s="0" t="n">
        <v>4454</v>
      </c>
      <c r="B4475" s="0" t="s">
        <v>85</v>
      </c>
      <c r="C4475" s="17" t="n">
        <v>-0.14240543291441</v>
      </c>
      <c r="D4475" s="17" t="n">
        <f aca="false">(C4475-$B$4)/($B$6/SQRT($B$7))</f>
        <v>-0.71202716457205</v>
      </c>
      <c r="E4475" s="0" t="str">
        <f aca="false">IF(OR(AND($B$9="superior",D4475&gt;$B$10),AND($B$9="inferior",D4475&lt;-$B$10)),"Rechazar H0","No rechazar H0")</f>
        <v>No rechazar H0</v>
      </c>
      <c r="F4475" s="0" t="str">
        <f aca="false">IF(AND(B4475="H0 verdadera",E4475="Rechazar H0"),"Error tipo I",IF(AND(B4475="Ha verdadera",E4475="No rechazar H0"),"Error tipo II","Decisión correcta"))</f>
        <v>Decisión correcta</v>
      </c>
    </row>
    <row r="4476" customFormat="false" ht="15" hidden="false" customHeight="false" outlineLevel="0" collapsed="false">
      <c r="A4476" s="0" t="n">
        <v>4455</v>
      </c>
      <c r="B4476" s="0" t="s">
        <v>86</v>
      </c>
      <c r="C4476" s="17" t="n">
        <v>-0.602433901191771</v>
      </c>
      <c r="D4476" s="17" t="n">
        <f aca="false">(C4476-$B$4)/($B$6/SQRT($B$7))</f>
        <v>-3.01216950595886</v>
      </c>
      <c r="E4476" s="0" t="str">
        <f aca="false">IF(OR(AND($B$9="superior",D4476&gt;$B$10),AND($B$9="inferior",D4476&lt;-$B$10)),"Rechazar H0","No rechazar H0")</f>
        <v>Rechazar H0</v>
      </c>
      <c r="F4476" s="0" t="str">
        <f aca="false">IF(AND(B4476="H0 verdadera",E4476="Rechazar H0"),"Error tipo I",IF(AND(B4476="Ha verdadera",E4476="No rechazar H0"),"Error tipo II","Decisión correcta"))</f>
        <v>Decisión correcta</v>
      </c>
    </row>
    <row r="4477" customFormat="false" ht="15" hidden="false" customHeight="false" outlineLevel="0" collapsed="false">
      <c r="A4477" s="0" t="n">
        <v>4456</v>
      </c>
      <c r="B4477" s="0" t="s">
        <v>86</v>
      </c>
      <c r="C4477" s="17" t="n">
        <v>-0.270330294934944</v>
      </c>
      <c r="D4477" s="17" t="n">
        <f aca="false">(C4477-$B$4)/($B$6/SQRT($B$7))</f>
        <v>-1.35165147467472</v>
      </c>
      <c r="E4477" s="0" t="str">
        <f aca="false">IF(OR(AND($B$9="superior",D4477&gt;$B$10),AND($B$9="inferior",D4477&lt;-$B$10)),"Rechazar H0","No rechazar H0")</f>
        <v>No rechazar H0</v>
      </c>
      <c r="F4477" s="0" t="str">
        <f aca="false">IF(AND(B4477="H0 verdadera",E4477="Rechazar H0"),"Error tipo I",IF(AND(B4477="Ha verdadera",E4477="No rechazar H0"),"Error tipo II","Decisión correcta"))</f>
        <v>Error tipo II</v>
      </c>
    </row>
    <row r="4478" customFormat="false" ht="15" hidden="false" customHeight="false" outlineLevel="0" collapsed="false">
      <c r="A4478" s="0" t="n">
        <v>4457</v>
      </c>
      <c r="B4478" s="0" t="s">
        <v>86</v>
      </c>
      <c r="C4478" s="17" t="n">
        <v>-0.285308730981689</v>
      </c>
      <c r="D4478" s="17" t="n">
        <f aca="false">(C4478-$B$4)/($B$6/SQRT($B$7))</f>
        <v>-1.42654365490845</v>
      </c>
      <c r="E4478" s="0" t="str">
        <f aca="false">IF(OR(AND($B$9="superior",D4478&gt;$B$10),AND($B$9="inferior",D4478&lt;-$B$10)),"Rechazar H0","No rechazar H0")</f>
        <v>No rechazar H0</v>
      </c>
      <c r="F4478" s="0" t="str">
        <f aca="false">IF(AND(B4478="H0 verdadera",E4478="Rechazar H0"),"Error tipo I",IF(AND(B4478="Ha verdadera",E4478="No rechazar H0"),"Error tipo II","Decisión correcta"))</f>
        <v>Error tipo II</v>
      </c>
    </row>
    <row r="4479" customFormat="false" ht="15" hidden="false" customHeight="false" outlineLevel="0" collapsed="false">
      <c r="A4479" s="0" t="n">
        <v>4458</v>
      </c>
      <c r="B4479" s="0" t="s">
        <v>86</v>
      </c>
      <c r="C4479" s="17" t="n">
        <v>-0.674550378624468</v>
      </c>
      <c r="D4479" s="17" t="n">
        <f aca="false">(C4479-$B$4)/($B$6/SQRT($B$7))</f>
        <v>-3.37275189312234</v>
      </c>
      <c r="E4479" s="0" t="str">
        <f aca="false">IF(OR(AND($B$9="superior",D4479&gt;$B$10),AND($B$9="inferior",D4479&lt;-$B$10)),"Rechazar H0","No rechazar H0")</f>
        <v>Rechazar H0</v>
      </c>
      <c r="F4479" s="0" t="str">
        <f aca="false">IF(AND(B4479="H0 verdadera",E4479="Rechazar H0"),"Error tipo I",IF(AND(B4479="Ha verdadera",E4479="No rechazar H0"),"Error tipo II","Decisión correcta"))</f>
        <v>Decisión correcta</v>
      </c>
    </row>
    <row r="4480" customFormat="false" ht="15" hidden="false" customHeight="false" outlineLevel="0" collapsed="false">
      <c r="A4480" s="0" t="n">
        <v>4459</v>
      </c>
      <c r="B4480" s="0" t="s">
        <v>85</v>
      </c>
      <c r="C4480" s="17" t="n">
        <v>-0.0785117498231062</v>
      </c>
      <c r="D4480" s="17" t="n">
        <f aca="false">(C4480-$B$4)/($B$6/SQRT($B$7))</f>
        <v>-0.392558749115531</v>
      </c>
      <c r="E4480" s="0" t="str">
        <f aca="false">IF(OR(AND($B$9="superior",D4480&gt;$B$10),AND($B$9="inferior",D4480&lt;-$B$10)),"Rechazar H0","No rechazar H0")</f>
        <v>No rechazar H0</v>
      </c>
      <c r="F4480" s="0" t="str">
        <f aca="false">IF(AND(B4480="H0 verdadera",E4480="Rechazar H0"),"Error tipo I",IF(AND(B4480="Ha verdadera",E4480="No rechazar H0"),"Error tipo II","Decisión correcta"))</f>
        <v>Decisión correcta</v>
      </c>
    </row>
    <row r="4481" customFormat="false" ht="15" hidden="false" customHeight="false" outlineLevel="0" collapsed="false">
      <c r="A4481" s="0" t="n">
        <v>4460</v>
      </c>
      <c r="B4481" s="0" t="s">
        <v>85</v>
      </c>
      <c r="C4481" s="17" t="n">
        <v>0.117376475625447</v>
      </c>
      <c r="D4481" s="17" t="n">
        <f aca="false">(C4481-$B$4)/($B$6/SQRT($B$7))</f>
        <v>0.586882378127235</v>
      </c>
      <c r="E4481" s="0" t="str">
        <f aca="false">IF(OR(AND($B$9="superior",D4481&gt;$B$10),AND($B$9="inferior",D4481&lt;-$B$10)),"Rechazar H0","No rechazar H0")</f>
        <v>No rechazar H0</v>
      </c>
      <c r="F4481" s="0" t="str">
        <f aca="false">IF(AND(B4481="H0 verdadera",E4481="Rechazar H0"),"Error tipo I",IF(AND(B4481="Ha verdadera",E4481="No rechazar H0"),"Error tipo II","Decisión correcta"))</f>
        <v>Decisión correcta</v>
      </c>
    </row>
    <row r="4482" customFormat="false" ht="15" hidden="false" customHeight="false" outlineLevel="0" collapsed="false">
      <c r="A4482" s="0" t="n">
        <v>4461</v>
      </c>
      <c r="B4482" s="0" t="s">
        <v>86</v>
      </c>
      <c r="C4482" s="17" t="n">
        <v>-0.361105431251197</v>
      </c>
      <c r="D4482" s="17" t="n">
        <f aca="false">(C4482-$B$4)/($B$6/SQRT($B$7))</f>
        <v>-1.80552715625599</v>
      </c>
      <c r="E4482" s="0" t="str">
        <f aca="false">IF(OR(AND($B$9="superior",D4482&gt;$B$10),AND($B$9="inferior",D4482&lt;-$B$10)),"Rechazar H0","No rechazar H0")</f>
        <v>Rechazar H0</v>
      </c>
      <c r="F4482" s="0" t="str">
        <f aca="false">IF(AND(B4482="H0 verdadera",E4482="Rechazar H0"),"Error tipo I",IF(AND(B4482="Ha verdadera",E4482="No rechazar H0"),"Error tipo II","Decisión correcta"))</f>
        <v>Decisión correcta</v>
      </c>
    </row>
    <row r="4483" customFormat="false" ht="15" hidden="false" customHeight="false" outlineLevel="0" collapsed="false">
      <c r="A4483" s="0" t="n">
        <v>4462</v>
      </c>
      <c r="B4483" s="0" t="s">
        <v>86</v>
      </c>
      <c r="C4483" s="17" t="n">
        <v>-0.390438063111434</v>
      </c>
      <c r="D4483" s="17" t="n">
        <f aca="false">(C4483-$B$4)/($B$6/SQRT($B$7))</f>
        <v>-1.95219031555717</v>
      </c>
      <c r="E4483" s="0" t="str">
        <f aca="false">IF(OR(AND($B$9="superior",D4483&gt;$B$10),AND($B$9="inferior",D4483&lt;-$B$10)),"Rechazar H0","No rechazar H0")</f>
        <v>Rechazar H0</v>
      </c>
      <c r="F4483" s="0" t="str">
        <f aca="false">IF(AND(B4483="H0 verdadera",E4483="Rechazar H0"),"Error tipo I",IF(AND(B4483="Ha verdadera",E4483="No rechazar H0"),"Error tipo II","Decisión correcta"))</f>
        <v>Decisión correcta</v>
      </c>
    </row>
    <row r="4484" customFormat="false" ht="15" hidden="false" customHeight="false" outlineLevel="0" collapsed="false">
      <c r="A4484" s="0" t="n">
        <v>4463</v>
      </c>
      <c r="B4484" s="0" t="s">
        <v>85</v>
      </c>
      <c r="C4484" s="17" t="n">
        <v>-0.352502311360844</v>
      </c>
      <c r="D4484" s="17" t="n">
        <f aca="false">(C4484-$B$4)/($B$6/SQRT($B$7))</f>
        <v>-1.76251155680422</v>
      </c>
      <c r="E4484" s="0" t="str">
        <f aca="false">IF(OR(AND($B$9="superior",D4484&gt;$B$10),AND($B$9="inferior",D4484&lt;-$B$10)),"Rechazar H0","No rechazar H0")</f>
        <v>Rechazar H0</v>
      </c>
      <c r="F4484" s="0" t="str">
        <f aca="false">IF(AND(B4484="H0 verdadera",E4484="Rechazar H0"),"Error tipo I",IF(AND(B4484="Ha verdadera",E4484="No rechazar H0"),"Error tipo II","Decisión correcta"))</f>
        <v>Error tipo I</v>
      </c>
    </row>
    <row r="4485" customFormat="false" ht="15" hidden="false" customHeight="false" outlineLevel="0" collapsed="false">
      <c r="A4485" s="0" t="n">
        <v>4464</v>
      </c>
      <c r="B4485" s="0" t="s">
        <v>85</v>
      </c>
      <c r="C4485" s="17" t="n">
        <v>0.141037751733608</v>
      </c>
      <c r="D4485" s="17" t="n">
        <f aca="false">(C4485-$B$4)/($B$6/SQRT($B$7))</f>
        <v>0.705188758668038</v>
      </c>
      <c r="E4485" s="0" t="str">
        <f aca="false">IF(OR(AND($B$9="superior",D4485&gt;$B$10),AND($B$9="inferior",D4485&lt;-$B$10)),"Rechazar H0","No rechazar H0")</f>
        <v>No rechazar H0</v>
      </c>
      <c r="F4485" s="0" t="str">
        <f aca="false">IF(AND(B4485="H0 verdadera",E4485="Rechazar H0"),"Error tipo I",IF(AND(B4485="Ha verdadera",E4485="No rechazar H0"),"Error tipo II","Decisión correcta"))</f>
        <v>Decisión correcta</v>
      </c>
    </row>
    <row r="4486" customFormat="false" ht="15" hidden="false" customHeight="false" outlineLevel="0" collapsed="false">
      <c r="A4486" s="0" t="n">
        <v>4465</v>
      </c>
      <c r="B4486" s="0" t="s">
        <v>86</v>
      </c>
      <c r="C4486" s="17" t="n">
        <v>-0.381318119721615</v>
      </c>
      <c r="D4486" s="17" t="n">
        <f aca="false">(C4486-$B$4)/($B$6/SQRT($B$7))</f>
        <v>-1.90659059860808</v>
      </c>
      <c r="E4486" s="0" t="str">
        <f aca="false">IF(OR(AND($B$9="superior",D4486&gt;$B$10),AND($B$9="inferior",D4486&lt;-$B$10)),"Rechazar H0","No rechazar H0")</f>
        <v>Rechazar H0</v>
      </c>
      <c r="F4486" s="0" t="str">
        <f aca="false">IF(AND(B4486="H0 verdadera",E4486="Rechazar H0"),"Error tipo I",IF(AND(B4486="Ha verdadera",E4486="No rechazar H0"),"Error tipo II","Decisión correcta"))</f>
        <v>Decisión correcta</v>
      </c>
    </row>
    <row r="4487" customFormat="false" ht="15" hidden="false" customHeight="false" outlineLevel="0" collapsed="false">
      <c r="A4487" s="0" t="n">
        <v>4466</v>
      </c>
      <c r="B4487" s="0" t="s">
        <v>85</v>
      </c>
      <c r="C4487" s="17" t="n">
        <v>-0.133747649321876</v>
      </c>
      <c r="D4487" s="17" t="n">
        <f aca="false">(C4487-$B$4)/($B$6/SQRT($B$7))</f>
        <v>-0.668738246609378</v>
      </c>
      <c r="E4487" s="0" t="str">
        <f aca="false">IF(OR(AND($B$9="superior",D4487&gt;$B$10),AND($B$9="inferior",D4487&lt;-$B$10)),"Rechazar H0","No rechazar H0")</f>
        <v>No rechazar H0</v>
      </c>
      <c r="F4487" s="0" t="str">
        <f aca="false">IF(AND(B4487="H0 verdadera",E4487="Rechazar H0"),"Error tipo I",IF(AND(B4487="Ha verdadera",E4487="No rechazar H0"),"Error tipo II","Decisión correcta"))</f>
        <v>Decisión correcta</v>
      </c>
    </row>
    <row r="4488" customFormat="false" ht="15" hidden="false" customHeight="false" outlineLevel="0" collapsed="false">
      <c r="A4488" s="0" t="n">
        <v>4467</v>
      </c>
      <c r="B4488" s="0" t="s">
        <v>85</v>
      </c>
      <c r="C4488" s="17" t="n">
        <v>0.0462331822416402</v>
      </c>
      <c r="D4488" s="17" t="n">
        <f aca="false">(C4488-$B$4)/($B$6/SQRT($B$7))</f>
        <v>0.231165911208201</v>
      </c>
      <c r="E4488" s="0" t="str">
        <f aca="false">IF(OR(AND($B$9="superior",D4488&gt;$B$10),AND($B$9="inferior",D4488&lt;-$B$10)),"Rechazar H0","No rechazar H0")</f>
        <v>No rechazar H0</v>
      </c>
      <c r="F4488" s="0" t="str">
        <f aca="false">IF(AND(B4488="H0 verdadera",E4488="Rechazar H0"),"Error tipo I",IF(AND(B4488="Ha verdadera",E4488="No rechazar H0"),"Error tipo II","Decisión correcta"))</f>
        <v>Decisión correcta</v>
      </c>
    </row>
    <row r="4489" customFormat="false" ht="15" hidden="false" customHeight="false" outlineLevel="0" collapsed="false">
      <c r="A4489" s="0" t="n">
        <v>4468</v>
      </c>
      <c r="B4489" s="0" t="s">
        <v>86</v>
      </c>
      <c r="C4489" s="17" t="n">
        <v>-0.495309490928739</v>
      </c>
      <c r="D4489" s="17" t="n">
        <f aca="false">(C4489-$B$4)/($B$6/SQRT($B$7))</f>
        <v>-2.4765474546437</v>
      </c>
      <c r="E4489" s="0" t="str">
        <f aca="false">IF(OR(AND($B$9="superior",D4489&gt;$B$10),AND($B$9="inferior",D4489&lt;-$B$10)),"Rechazar H0","No rechazar H0")</f>
        <v>Rechazar H0</v>
      </c>
      <c r="F4489" s="0" t="str">
        <f aca="false">IF(AND(B4489="H0 verdadera",E4489="Rechazar H0"),"Error tipo I",IF(AND(B4489="Ha verdadera",E4489="No rechazar H0"),"Error tipo II","Decisión correcta"))</f>
        <v>Decisión correcta</v>
      </c>
    </row>
    <row r="4490" customFormat="false" ht="15" hidden="false" customHeight="false" outlineLevel="0" collapsed="false">
      <c r="A4490" s="0" t="n">
        <v>4469</v>
      </c>
      <c r="B4490" s="0" t="s">
        <v>85</v>
      </c>
      <c r="C4490" s="17" t="n">
        <v>0.200804080876755</v>
      </c>
      <c r="D4490" s="17" t="n">
        <f aca="false">(C4490-$B$4)/($B$6/SQRT($B$7))</f>
        <v>1.00402040438378</v>
      </c>
      <c r="E4490" s="0" t="str">
        <f aca="false">IF(OR(AND($B$9="superior",D4490&gt;$B$10),AND($B$9="inferior",D4490&lt;-$B$10)),"Rechazar H0","No rechazar H0")</f>
        <v>No rechazar H0</v>
      </c>
      <c r="F4490" s="0" t="str">
        <f aca="false">IF(AND(B4490="H0 verdadera",E4490="Rechazar H0"),"Error tipo I",IF(AND(B4490="Ha verdadera",E4490="No rechazar H0"),"Error tipo II","Decisión correcta"))</f>
        <v>Decisión correcta</v>
      </c>
    </row>
    <row r="4491" customFormat="false" ht="15" hidden="false" customHeight="false" outlineLevel="0" collapsed="false">
      <c r="A4491" s="0" t="n">
        <v>4470</v>
      </c>
      <c r="B4491" s="0" t="s">
        <v>86</v>
      </c>
      <c r="C4491" s="17" t="n">
        <v>-0.318514669066802</v>
      </c>
      <c r="D4491" s="17" t="n">
        <f aca="false">(C4491-$B$4)/($B$6/SQRT($B$7))</f>
        <v>-1.59257334533401</v>
      </c>
      <c r="E4491" s="0" t="str">
        <f aca="false">IF(OR(AND($B$9="superior",D4491&gt;$B$10),AND($B$9="inferior",D4491&lt;-$B$10)),"Rechazar H0","No rechazar H0")</f>
        <v>No rechazar H0</v>
      </c>
      <c r="F4491" s="0" t="str">
        <f aca="false">IF(AND(B4491="H0 verdadera",E4491="Rechazar H0"),"Error tipo I",IF(AND(B4491="Ha verdadera",E4491="No rechazar H0"),"Error tipo II","Decisión correcta"))</f>
        <v>Error tipo II</v>
      </c>
    </row>
    <row r="4492" customFormat="false" ht="15" hidden="false" customHeight="false" outlineLevel="0" collapsed="false">
      <c r="A4492" s="0" t="n">
        <v>4471</v>
      </c>
      <c r="B4492" s="0" t="s">
        <v>85</v>
      </c>
      <c r="C4492" s="17" t="n">
        <v>0.00816750786734908</v>
      </c>
      <c r="D4492" s="17" t="n">
        <f aca="false">(C4492-$B$4)/($B$6/SQRT($B$7))</f>
        <v>0.0408375393367454</v>
      </c>
      <c r="E4492" s="0" t="str">
        <f aca="false">IF(OR(AND($B$9="superior",D4492&gt;$B$10),AND($B$9="inferior",D4492&lt;-$B$10)),"Rechazar H0","No rechazar H0")</f>
        <v>No rechazar H0</v>
      </c>
      <c r="F4492" s="0" t="str">
        <f aca="false">IF(AND(B4492="H0 verdadera",E4492="Rechazar H0"),"Error tipo I",IF(AND(B4492="Ha verdadera",E4492="No rechazar H0"),"Error tipo II","Decisión correcta"))</f>
        <v>Decisión correcta</v>
      </c>
    </row>
    <row r="4493" customFormat="false" ht="15" hidden="false" customHeight="false" outlineLevel="0" collapsed="false">
      <c r="A4493" s="0" t="n">
        <v>4472</v>
      </c>
      <c r="B4493" s="0" t="s">
        <v>86</v>
      </c>
      <c r="C4493" s="17" t="n">
        <v>-0.338496018990745</v>
      </c>
      <c r="D4493" s="17" t="n">
        <f aca="false">(C4493-$B$4)/($B$6/SQRT($B$7))</f>
        <v>-1.69248009495373</v>
      </c>
      <c r="E4493" s="0" t="str">
        <f aca="false">IF(OR(AND($B$9="superior",D4493&gt;$B$10),AND($B$9="inferior",D4493&lt;-$B$10)),"Rechazar H0","No rechazar H0")</f>
        <v>Rechazar H0</v>
      </c>
      <c r="F4493" s="0" t="str">
        <f aca="false">IF(AND(B4493="H0 verdadera",E4493="Rechazar H0"),"Error tipo I",IF(AND(B4493="Ha verdadera",E4493="No rechazar H0"),"Error tipo II","Decisión correcta"))</f>
        <v>Decisión correcta</v>
      </c>
    </row>
    <row r="4494" customFormat="false" ht="15" hidden="false" customHeight="false" outlineLevel="0" collapsed="false">
      <c r="A4494" s="0" t="n">
        <v>4473</v>
      </c>
      <c r="B4494" s="0" t="s">
        <v>86</v>
      </c>
      <c r="C4494" s="17" t="n">
        <v>-0.322650689390898</v>
      </c>
      <c r="D4494" s="17" t="n">
        <f aca="false">(C4494-$B$4)/($B$6/SQRT($B$7))</f>
        <v>-1.61325344695449</v>
      </c>
      <c r="E4494" s="0" t="str">
        <f aca="false">IF(OR(AND($B$9="superior",D4494&gt;$B$10),AND($B$9="inferior",D4494&lt;-$B$10)),"Rechazar H0","No rechazar H0")</f>
        <v>No rechazar H0</v>
      </c>
      <c r="F4494" s="0" t="str">
        <f aca="false">IF(AND(B4494="H0 verdadera",E4494="Rechazar H0"),"Error tipo I",IF(AND(B4494="Ha verdadera",E4494="No rechazar H0"),"Error tipo II","Decisión correcta"))</f>
        <v>Error tipo II</v>
      </c>
    </row>
    <row r="4495" customFormat="false" ht="15" hidden="false" customHeight="false" outlineLevel="0" collapsed="false">
      <c r="A4495" s="0" t="n">
        <v>4474</v>
      </c>
      <c r="B4495" s="0" t="s">
        <v>86</v>
      </c>
      <c r="C4495" s="17" t="n">
        <v>-0.719857991923708</v>
      </c>
      <c r="D4495" s="17" t="n">
        <f aca="false">(C4495-$B$4)/($B$6/SQRT($B$7))</f>
        <v>-3.59928995961854</v>
      </c>
      <c r="E4495" s="0" t="str">
        <f aca="false">IF(OR(AND($B$9="superior",D4495&gt;$B$10),AND($B$9="inferior",D4495&lt;-$B$10)),"Rechazar H0","No rechazar H0")</f>
        <v>Rechazar H0</v>
      </c>
      <c r="F4495" s="0" t="str">
        <f aca="false">IF(AND(B4495="H0 verdadera",E4495="Rechazar H0"),"Error tipo I",IF(AND(B4495="Ha verdadera",E4495="No rechazar H0"),"Error tipo II","Decisión correcta"))</f>
        <v>Decisión correcta</v>
      </c>
    </row>
    <row r="4496" customFormat="false" ht="15" hidden="false" customHeight="false" outlineLevel="0" collapsed="false">
      <c r="A4496" s="0" t="n">
        <v>4475</v>
      </c>
      <c r="B4496" s="0" t="s">
        <v>86</v>
      </c>
      <c r="C4496" s="17" t="n">
        <v>-0.312282230247515</v>
      </c>
      <c r="D4496" s="17" t="n">
        <f aca="false">(C4496-$B$4)/($B$6/SQRT($B$7))</f>
        <v>-1.56141115123757</v>
      </c>
      <c r="E4496" s="0" t="str">
        <f aca="false">IF(OR(AND($B$9="superior",D4496&gt;$B$10),AND($B$9="inferior",D4496&lt;-$B$10)),"Rechazar H0","No rechazar H0")</f>
        <v>No rechazar H0</v>
      </c>
      <c r="F4496" s="0" t="str">
        <f aca="false">IF(AND(B4496="H0 verdadera",E4496="Rechazar H0"),"Error tipo I",IF(AND(B4496="Ha verdadera",E4496="No rechazar H0"),"Error tipo II","Decisión correcta"))</f>
        <v>Error tipo II</v>
      </c>
    </row>
    <row r="4497" customFormat="false" ht="15" hidden="false" customHeight="false" outlineLevel="0" collapsed="false">
      <c r="A4497" s="0" t="n">
        <v>4476</v>
      </c>
      <c r="B4497" s="0" t="s">
        <v>86</v>
      </c>
      <c r="C4497" s="17" t="n">
        <v>-0.554673320568342</v>
      </c>
      <c r="D4497" s="17" t="n">
        <f aca="false">(C4497-$B$4)/($B$6/SQRT($B$7))</f>
        <v>-2.77336660284171</v>
      </c>
      <c r="E4497" s="0" t="str">
        <f aca="false">IF(OR(AND($B$9="superior",D4497&gt;$B$10),AND($B$9="inferior",D4497&lt;-$B$10)),"Rechazar H0","No rechazar H0")</f>
        <v>Rechazar H0</v>
      </c>
      <c r="F4497" s="0" t="str">
        <f aca="false">IF(AND(B4497="H0 verdadera",E4497="Rechazar H0"),"Error tipo I",IF(AND(B4497="Ha verdadera",E4497="No rechazar H0"),"Error tipo II","Decisión correcta"))</f>
        <v>Decisión correcta</v>
      </c>
    </row>
    <row r="4498" customFormat="false" ht="15" hidden="false" customHeight="false" outlineLevel="0" collapsed="false">
      <c r="A4498" s="0" t="n">
        <v>4477</v>
      </c>
      <c r="B4498" s="0" t="s">
        <v>86</v>
      </c>
      <c r="C4498" s="17" t="n">
        <v>-0.136161263256151</v>
      </c>
      <c r="D4498" s="17" t="n">
        <f aca="false">(C4498-$B$4)/($B$6/SQRT($B$7))</f>
        <v>-0.680806316280753</v>
      </c>
      <c r="E4498" s="0" t="str">
        <f aca="false">IF(OR(AND($B$9="superior",D4498&gt;$B$10),AND($B$9="inferior",D4498&lt;-$B$10)),"Rechazar H0","No rechazar H0")</f>
        <v>No rechazar H0</v>
      </c>
      <c r="F4498" s="0" t="str">
        <f aca="false">IF(AND(B4498="H0 verdadera",E4498="Rechazar H0"),"Error tipo I",IF(AND(B4498="Ha verdadera",E4498="No rechazar H0"),"Error tipo II","Decisión correcta"))</f>
        <v>Error tipo II</v>
      </c>
    </row>
    <row r="4499" customFormat="false" ht="15" hidden="false" customHeight="false" outlineLevel="0" collapsed="false">
      <c r="A4499" s="0" t="n">
        <v>4478</v>
      </c>
      <c r="B4499" s="0" t="s">
        <v>86</v>
      </c>
      <c r="C4499" s="17" t="n">
        <v>-0.507212963249825</v>
      </c>
      <c r="D4499" s="17" t="n">
        <f aca="false">(C4499-$B$4)/($B$6/SQRT($B$7))</f>
        <v>-2.53606481624913</v>
      </c>
      <c r="E4499" s="0" t="str">
        <f aca="false">IF(OR(AND($B$9="superior",D4499&gt;$B$10),AND($B$9="inferior",D4499&lt;-$B$10)),"Rechazar H0","No rechazar H0")</f>
        <v>Rechazar H0</v>
      </c>
      <c r="F4499" s="0" t="str">
        <f aca="false">IF(AND(B4499="H0 verdadera",E4499="Rechazar H0"),"Error tipo I",IF(AND(B4499="Ha verdadera",E4499="No rechazar H0"),"Error tipo II","Decisión correcta"))</f>
        <v>Decisión correcta</v>
      </c>
    </row>
    <row r="4500" customFormat="false" ht="15" hidden="false" customHeight="false" outlineLevel="0" collapsed="false">
      <c r="A4500" s="0" t="n">
        <v>4479</v>
      </c>
      <c r="B4500" s="0" t="s">
        <v>86</v>
      </c>
      <c r="C4500" s="17" t="n">
        <v>-0.256165479734713</v>
      </c>
      <c r="D4500" s="17" t="n">
        <f aca="false">(C4500-$B$4)/($B$6/SQRT($B$7))</f>
        <v>-1.28082739867357</v>
      </c>
      <c r="E4500" s="0" t="str">
        <f aca="false">IF(OR(AND($B$9="superior",D4500&gt;$B$10),AND($B$9="inferior",D4500&lt;-$B$10)),"Rechazar H0","No rechazar H0")</f>
        <v>No rechazar H0</v>
      </c>
      <c r="F4500" s="0" t="str">
        <f aca="false">IF(AND(B4500="H0 verdadera",E4500="Rechazar H0"),"Error tipo I",IF(AND(B4500="Ha verdadera",E4500="No rechazar H0"),"Error tipo II","Decisión correcta"))</f>
        <v>Error tipo II</v>
      </c>
    </row>
    <row r="4501" customFormat="false" ht="15" hidden="false" customHeight="false" outlineLevel="0" collapsed="false">
      <c r="A4501" s="0" t="n">
        <v>4480</v>
      </c>
      <c r="B4501" s="0" t="s">
        <v>86</v>
      </c>
      <c r="C4501" s="17" t="n">
        <v>-0.302101694538695</v>
      </c>
      <c r="D4501" s="17" t="n">
        <f aca="false">(C4501-$B$4)/($B$6/SQRT($B$7))</f>
        <v>-1.51050847269347</v>
      </c>
      <c r="E4501" s="0" t="str">
        <f aca="false">IF(OR(AND($B$9="superior",D4501&gt;$B$10),AND($B$9="inferior",D4501&lt;-$B$10)),"Rechazar H0","No rechazar H0")</f>
        <v>No rechazar H0</v>
      </c>
      <c r="F4501" s="0" t="str">
        <f aca="false">IF(AND(B4501="H0 verdadera",E4501="Rechazar H0"),"Error tipo I",IF(AND(B4501="Ha verdadera",E4501="No rechazar H0"),"Error tipo II","Decisión correcta"))</f>
        <v>Error tipo II</v>
      </c>
    </row>
    <row r="4502" customFormat="false" ht="15" hidden="false" customHeight="false" outlineLevel="0" collapsed="false">
      <c r="A4502" s="0" t="n">
        <v>4481</v>
      </c>
      <c r="B4502" s="0" t="s">
        <v>86</v>
      </c>
      <c r="C4502" s="17" t="n">
        <v>-0.539806543151131</v>
      </c>
      <c r="D4502" s="17" t="n">
        <f aca="false">(C4502-$B$4)/($B$6/SQRT($B$7))</f>
        <v>-2.69903271575565</v>
      </c>
      <c r="E4502" s="0" t="str">
        <f aca="false">IF(OR(AND($B$9="superior",D4502&gt;$B$10),AND($B$9="inferior",D4502&lt;-$B$10)),"Rechazar H0","No rechazar H0")</f>
        <v>Rechazar H0</v>
      </c>
      <c r="F4502" s="0" t="str">
        <f aca="false">IF(AND(B4502="H0 verdadera",E4502="Rechazar H0"),"Error tipo I",IF(AND(B4502="Ha verdadera",E4502="No rechazar H0"),"Error tipo II","Decisión correcta"))</f>
        <v>Decisión correcta</v>
      </c>
    </row>
    <row r="4503" customFormat="false" ht="15" hidden="false" customHeight="false" outlineLevel="0" collapsed="false">
      <c r="A4503" s="0" t="n">
        <v>4482</v>
      </c>
      <c r="B4503" s="0" t="s">
        <v>86</v>
      </c>
      <c r="C4503" s="17" t="n">
        <v>-0.131582254044004</v>
      </c>
      <c r="D4503" s="17" t="n">
        <f aca="false">(C4503-$B$4)/($B$6/SQRT($B$7))</f>
        <v>-0.657911270220022</v>
      </c>
      <c r="E4503" s="0" t="str">
        <f aca="false">IF(OR(AND($B$9="superior",D4503&gt;$B$10),AND($B$9="inferior",D4503&lt;-$B$10)),"Rechazar H0","No rechazar H0")</f>
        <v>No rechazar H0</v>
      </c>
      <c r="F4503" s="0" t="str">
        <f aca="false">IF(AND(B4503="H0 verdadera",E4503="Rechazar H0"),"Error tipo I",IF(AND(B4503="Ha verdadera",E4503="No rechazar H0"),"Error tipo II","Decisión correcta"))</f>
        <v>Error tipo II</v>
      </c>
    </row>
    <row r="4504" customFormat="false" ht="15" hidden="false" customHeight="false" outlineLevel="0" collapsed="false">
      <c r="A4504" s="0" t="n">
        <v>4483</v>
      </c>
      <c r="B4504" s="0" t="s">
        <v>86</v>
      </c>
      <c r="C4504" s="17" t="n">
        <v>-0.338611823623431</v>
      </c>
      <c r="D4504" s="17" t="n">
        <f aca="false">(C4504-$B$4)/($B$6/SQRT($B$7))</f>
        <v>-1.69305911811716</v>
      </c>
      <c r="E4504" s="0" t="str">
        <f aca="false">IF(OR(AND($B$9="superior",D4504&gt;$B$10),AND($B$9="inferior",D4504&lt;-$B$10)),"Rechazar H0","No rechazar H0")</f>
        <v>Rechazar H0</v>
      </c>
      <c r="F4504" s="0" t="str">
        <f aca="false">IF(AND(B4504="H0 verdadera",E4504="Rechazar H0"),"Error tipo I",IF(AND(B4504="Ha verdadera",E4504="No rechazar H0"),"Error tipo II","Decisión correcta"))</f>
        <v>Decisión correcta</v>
      </c>
    </row>
    <row r="4505" customFormat="false" ht="15" hidden="false" customHeight="false" outlineLevel="0" collapsed="false">
      <c r="A4505" s="0" t="n">
        <v>4484</v>
      </c>
      <c r="B4505" s="0" t="s">
        <v>85</v>
      </c>
      <c r="C4505" s="17" t="n">
        <v>-0.001185469201228</v>
      </c>
      <c r="D4505" s="17" t="n">
        <f aca="false">(C4505-$B$4)/($B$6/SQRT($B$7))</f>
        <v>-0.00592734600614</v>
      </c>
      <c r="E4505" s="0" t="str">
        <f aca="false">IF(OR(AND($B$9="superior",D4505&gt;$B$10),AND($B$9="inferior",D4505&lt;-$B$10)),"Rechazar H0","No rechazar H0")</f>
        <v>No rechazar H0</v>
      </c>
      <c r="F4505" s="0" t="str">
        <f aca="false">IF(AND(B4505="H0 verdadera",E4505="Rechazar H0"),"Error tipo I",IF(AND(B4505="Ha verdadera",E4505="No rechazar H0"),"Error tipo II","Decisión correcta"))</f>
        <v>Decisión correcta</v>
      </c>
    </row>
    <row r="4506" customFormat="false" ht="15" hidden="false" customHeight="false" outlineLevel="0" collapsed="false">
      <c r="A4506" s="0" t="n">
        <v>4485</v>
      </c>
      <c r="B4506" s="0" t="s">
        <v>85</v>
      </c>
      <c r="C4506" s="17" t="n">
        <v>0.0945465873155599</v>
      </c>
      <c r="D4506" s="17" t="n">
        <f aca="false">(C4506-$B$4)/($B$6/SQRT($B$7))</f>
        <v>0.4727329365778</v>
      </c>
      <c r="E4506" s="0" t="str">
        <f aca="false">IF(OR(AND($B$9="superior",D4506&gt;$B$10),AND($B$9="inferior",D4506&lt;-$B$10)),"Rechazar H0","No rechazar H0")</f>
        <v>No rechazar H0</v>
      </c>
      <c r="F4506" s="0" t="str">
        <f aca="false">IF(AND(B4506="H0 verdadera",E4506="Rechazar H0"),"Error tipo I",IF(AND(B4506="Ha verdadera",E4506="No rechazar H0"),"Error tipo II","Decisión correcta"))</f>
        <v>Decisión correcta</v>
      </c>
    </row>
    <row r="4507" customFormat="false" ht="15" hidden="false" customHeight="false" outlineLevel="0" collapsed="false">
      <c r="A4507" s="0" t="n">
        <v>4486</v>
      </c>
      <c r="B4507" s="0" t="s">
        <v>85</v>
      </c>
      <c r="C4507" s="17" t="n">
        <v>0.022707265057786</v>
      </c>
      <c r="D4507" s="17" t="n">
        <f aca="false">(C4507-$B$4)/($B$6/SQRT($B$7))</f>
        <v>0.11353632528893</v>
      </c>
      <c r="E4507" s="0" t="str">
        <f aca="false">IF(OR(AND($B$9="superior",D4507&gt;$B$10),AND($B$9="inferior",D4507&lt;-$B$10)),"Rechazar H0","No rechazar H0")</f>
        <v>No rechazar H0</v>
      </c>
      <c r="F4507" s="0" t="str">
        <f aca="false">IF(AND(B4507="H0 verdadera",E4507="Rechazar H0"),"Error tipo I",IF(AND(B4507="Ha verdadera",E4507="No rechazar H0"),"Error tipo II","Decisión correcta"))</f>
        <v>Decisión correcta</v>
      </c>
    </row>
    <row r="4508" customFormat="false" ht="15" hidden="false" customHeight="false" outlineLevel="0" collapsed="false">
      <c r="A4508" s="0" t="n">
        <v>4487</v>
      </c>
      <c r="B4508" s="0" t="s">
        <v>85</v>
      </c>
      <c r="C4508" s="17" t="n">
        <v>-0.258761180569295</v>
      </c>
      <c r="D4508" s="17" t="n">
        <f aca="false">(C4508-$B$4)/($B$6/SQRT($B$7))</f>
        <v>-1.29380590284647</v>
      </c>
      <c r="E4508" s="0" t="str">
        <f aca="false">IF(OR(AND($B$9="superior",D4508&gt;$B$10),AND($B$9="inferior",D4508&lt;-$B$10)),"Rechazar H0","No rechazar H0")</f>
        <v>No rechazar H0</v>
      </c>
      <c r="F4508" s="0" t="str">
        <f aca="false">IF(AND(B4508="H0 verdadera",E4508="Rechazar H0"),"Error tipo I",IF(AND(B4508="Ha verdadera",E4508="No rechazar H0"),"Error tipo II","Decisión correcta"))</f>
        <v>Decisión correcta</v>
      </c>
    </row>
    <row r="4509" customFormat="false" ht="15" hidden="false" customHeight="false" outlineLevel="0" collapsed="false">
      <c r="A4509" s="0" t="n">
        <v>4488</v>
      </c>
      <c r="B4509" s="0" t="s">
        <v>85</v>
      </c>
      <c r="C4509" s="17" t="n">
        <v>-0.128139866468127</v>
      </c>
      <c r="D4509" s="17" t="n">
        <f aca="false">(C4509-$B$4)/($B$6/SQRT($B$7))</f>
        <v>-0.640699332340635</v>
      </c>
      <c r="E4509" s="0" t="str">
        <f aca="false">IF(OR(AND($B$9="superior",D4509&gt;$B$10),AND($B$9="inferior",D4509&lt;-$B$10)),"Rechazar H0","No rechazar H0")</f>
        <v>No rechazar H0</v>
      </c>
      <c r="F4509" s="0" t="str">
        <f aca="false">IF(AND(B4509="H0 verdadera",E4509="Rechazar H0"),"Error tipo I",IF(AND(B4509="Ha verdadera",E4509="No rechazar H0"),"Error tipo II","Decisión correcta"))</f>
        <v>Decisión correcta</v>
      </c>
    </row>
    <row r="4510" customFormat="false" ht="15" hidden="false" customHeight="false" outlineLevel="0" collapsed="false">
      <c r="A4510" s="0" t="n">
        <v>4489</v>
      </c>
      <c r="B4510" s="0" t="s">
        <v>86</v>
      </c>
      <c r="C4510" s="17" t="n">
        <v>-0.690786249396889</v>
      </c>
      <c r="D4510" s="17" t="n">
        <f aca="false">(C4510-$B$4)/($B$6/SQRT($B$7))</f>
        <v>-3.45393124698445</v>
      </c>
      <c r="E4510" s="0" t="str">
        <f aca="false">IF(OR(AND($B$9="superior",D4510&gt;$B$10),AND($B$9="inferior",D4510&lt;-$B$10)),"Rechazar H0","No rechazar H0")</f>
        <v>Rechazar H0</v>
      </c>
      <c r="F4510" s="0" t="str">
        <f aca="false">IF(AND(B4510="H0 verdadera",E4510="Rechazar H0"),"Error tipo I",IF(AND(B4510="Ha verdadera",E4510="No rechazar H0"),"Error tipo II","Decisión correcta"))</f>
        <v>Decisión correcta</v>
      </c>
    </row>
    <row r="4511" customFormat="false" ht="15" hidden="false" customHeight="false" outlineLevel="0" collapsed="false">
      <c r="A4511" s="0" t="n">
        <v>4490</v>
      </c>
      <c r="B4511" s="0" t="s">
        <v>86</v>
      </c>
      <c r="C4511" s="17" t="n">
        <v>-0.329586974273839</v>
      </c>
      <c r="D4511" s="17" t="n">
        <f aca="false">(C4511-$B$4)/($B$6/SQRT($B$7))</f>
        <v>-1.64793487136919</v>
      </c>
      <c r="E4511" s="0" t="str">
        <f aca="false">IF(OR(AND($B$9="superior",D4511&gt;$B$10),AND($B$9="inferior",D4511&lt;-$B$10)),"Rechazar H0","No rechazar H0")</f>
        <v>Rechazar H0</v>
      </c>
      <c r="F4511" s="0" t="str">
        <f aca="false">IF(AND(B4511="H0 verdadera",E4511="Rechazar H0"),"Error tipo I",IF(AND(B4511="Ha verdadera",E4511="No rechazar H0"),"Error tipo II","Decisión correcta"))</f>
        <v>Decisión correcta</v>
      </c>
    </row>
    <row r="4512" customFormat="false" ht="15" hidden="false" customHeight="false" outlineLevel="0" collapsed="false">
      <c r="A4512" s="0" t="n">
        <v>4491</v>
      </c>
      <c r="B4512" s="0" t="s">
        <v>86</v>
      </c>
      <c r="C4512" s="17" t="n">
        <v>-0.474152099933745</v>
      </c>
      <c r="D4512" s="17" t="n">
        <f aca="false">(C4512-$B$4)/($B$6/SQRT($B$7))</f>
        <v>-2.37076049966873</v>
      </c>
      <c r="E4512" s="0" t="str">
        <f aca="false">IF(OR(AND($B$9="superior",D4512&gt;$B$10),AND($B$9="inferior",D4512&lt;-$B$10)),"Rechazar H0","No rechazar H0")</f>
        <v>Rechazar H0</v>
      </c>
      <c r="F4512" s="0" t="str">
        <f aca="false">IF(AND(B4512="H0 verdadera",E4512="Rechazar H0"),"Error tipo I",IF(AND(B4512="Ha verdadera",E4512="No rechazar H0"),"Error tipo II","Decisión correcta"))</f>
        <v>Decisión correcta</v>
      </c>
    </row>
    <row r="4513" customFormat="false" ht="15" hidden="false" customHeight="false" outlineLevel="0" collapsed="false">
      <c r="A4513" s="0" t="n">
        <v>4492</v>
      </c>
      <c r="B4513" s="0" t="s">
        <v>86</v>
      </c>
      <c r="C4513" s="17" t="n">
        <v>-0.250230052988768</v>
      </c>
      <c r="D4513" s="17" t="n">
        <f aca="false">(C4513-$B$4)/($B$6/SQRT($B$7))</f>
        <v>-1.25115026494384</v>
      </c>
      <c r="E4513" s="0" t="str">
        <f aca="false">IF(OR(AND($B$9="superior",D4513&gt;$B$10),AND($B$9="inferior",D4513&lt;-$B$10)),"Rechazar H0","No rechazar H0")</f>
        <v>No rechazar H0</v>
      </c>
      <c r="F4513" s="0" t="str">
        <f aca="false">IF(AND(B4513="H0 verdadera",E4513="Rechazar H0"),"Error tipo I",IF(AND(B4513="Ha verdadera",E4513="No rechazar H0"),"Error tipo II","Decisión correcta"))</f>
        <v>Error tipo II</v>
      </c>
    </row>
    <row r="4514" customFormat="false" ht="15" hidden="false" customHeight="false" outlineLevel="0" collapsed="false">
      <c r="A4514" s="0" t="n">
        <v>4493</v>
      </c>
      <c r="B4514" s="0" t="s">
        <v>85</v>
      </c>
      <c r="C4514" s="17" t="n">
        <v>0.180580371759573</v>
      </c>
      <c r="D4514" s="17" t="n">
        <f aca="false">(C4514-$B$4)/($B$6/SQRT($B$7))</f>
        <v>0.902901858797867</v>
      </c>
      <c r="E4514" s="0" t="str">
        <f aca="false">IF(OR(AND($B$9="superior",D4514&gt;$B$10),AND($B$9="inferior",D4514&lt;-$B$10)),"Rechazar H0","No rechazar H0")</f>
        <v>No rechazar H0</v>
      </c>
      <c r="F4514" s="0" t="str">
        <f aca="false">IF(AND(B4514="H0 verdadera",E4514="Rechazar H0"),"Error tipo I",IF(AND(B4514="Ha verdadera",E4514="No rechazar H0"),"Error tipo II","Decisión correcta"))</f>
        <v>Decisión correcta</v>
      </c>
    </row>
    <row r="4515" customFormat="false" ht="15" hidden="false" customHeight="false" outlineLevel="0" collapsed="false">
      <c r="A4515" s="0" t="n">
        <v>4494</v>
      </c>
      <c r="B4515" s="0" t="s">
        <v>86</v>
      </c>
      <c r="C4515" s="17" t="n">
        <v>-0.220866298350426</v>
      </c>
      <c r="D4515" s="17" t="n">
        <f aca="false">(C4515-$B$4)/($B$6/SQRT($B$7))</f>
        <v>-1.10433149175213</v>
      </c>
      <c r="E4515" s="0" t="str">
        <f aca="false">IF(OR(AND($B$9="superior",D4515&gt;$B$10),AND($B$9="inferior",D4515&lt;-$B$10)),"Rechazar H0","No rechazar H0")</f>
        <v>No rechazar H0</v>
      </c>
      <c r="F4515" s="0" t="str">
        <f aca="false">IF(AND(B4515="H0 verdadera",E4515="Rechazar H0"),"Error tipo I",IF(AND(B4515="Ha verdadera",E4515="No rechazar H0"),"Error tipo II","Decisión correcta"))</f>
        <v>Error tipo II</v>
      </c>
    </row>
    <row r="4516" customFormat="false" ht="15" hidden="false" customHeight="false" outlineLevel="0" collapsed="false">
      <c r="A4516" s="0" t="n">
        <v>4495</v>
      </c>
      <c r="B4516" s="0" t="s">
        <v>85</v>
      </c>
      <c r="C4516" s="17" t="n">
        <v>-0.149636279597767</v>
      </c>
      <c r="D4516" s="17" t="n">
        <f aca="false">(C4516-$B$4)/($B$6/SQRT($B$7))</f>
        <v>-0.748181397988836</v>
      </c>
      <c r="E4516" s="0" t="str">
        <f aca="false">IF(OR(AND($B$9="superior",D4516&gt;$B$10),AND($B$9="inferior",D4516&lt;-$B$10)),"Rechazar H0","No rechazar H0")</f>
        <v>No rechazar H0</v>
      </c>
      <c r="F4516" s="0" t="str">
        <f aca="false">IF(AND(B4516="H0 verdadera",E4516="Rechazar H0"),"Error tipo I",IF(AND(B4516="Ha verdadera",E4516="No rechazar H0"),"Error tipo II","Decisión correcta"))</f>
        <v>Decisión correcta</v>
      </c>
    </row>
    <row r="4517" customFormat="false" ht="15" hidden="false" customHeight="false" outlineLevel="0" collapsed="false">
      <c r="A4517" s="0" t="n">
        <v>4496</v>
      </c>
      <c r="B4517" s="0" t="s">
        <v>85</v>
      </c>
      <c r="C4517" s="17" t="n">
        <v>-0.0371889924494978</v>
      </c>
      <c r="D4517" s="17" t="n">
        <f aca="false">(C4517-$B$4)/($B$6/SQRT($B$7))</f>
        <v>-0.185944962247489</v>
      </c>
      <c r="E4517" s="0" t="str">
        <f aca="false">IF(OR(AND($B$9="superior",D4517&gt;$B$10),AND($B$9="inferior",D4517&lt;-$B$10)),"Rechazar H0","No rechazar H0")</f>
        <v>No rechazar H0</v>
      </c>
      <c r="F4517" s="0" t="str">
        <f aca="false">IF(AND(B4517="H0 verdadera",E4517="Rechazar H0"),"Error tipo I",IF(AND(B4517="Ha verdadera",E4517="No rechazar H0"),"Error tipo II","Decisión correcta"))</f>
        <v>Decisión correcta</v>
      </c>
    </row>
    <row r="4518" customFormat="false" ht="15" hidden="false" customHeight="false" outlineLevel="0" collapsed="false">
      <c r="A4518" s="0" t="n">
        <v>4497</v>
      </c>
      <c r="B4518" s="0" t="s">
        <v>85</v>
      </c>
      <c r="C4518" s="17" t="n">
        <v>-0.0530994098049599</v>
      </c>
      <c r="D4518" s="17" t="n">
        <f aca="false">(C4518-$B$4)/($B$6/SQRT($B$7))</f>
        <v>-0.265497049024799</v>
      </c>
      <c r="E4518" s="0" t="str">
        <f aca="false">IF(OR(AND($B$9="superior",D4518&gt;$B$10),AND($B$9="inferior",D4518&lt;-$B$10)),"Rechazar H0","No rechazar H0")</f>
        <v>No rechazar H0</v>
      </c>
      <c r="F4518" s="0" t="str">
        <f aca="false">IF(AND(B4518="H0 verdadera",E4518="Rechazar H0"),"Error tipo I",IF(AND(B4518="Ha verdadera",E4518="No rechazar H0"),"Error tipo II","Decisión correcta"))</f>
        <v>Decisión correcta</v>
      </c>
    </row>
    <row r="4519" customFormat="false" ht="15" hidden="false" customHeight="false" outlineLevel="0" collapsed="false">
      <c r="A4519" s="0" t="n">
        <v>4498</v>
      </c>
      <c r="B4519" s="0" t="s">
        <v>86</v>
      </c>
      <c r="C4519" s="17" t="n">
        <v>-0.267694526718668</v>
      </c>
      <c r="D4519" s="17" t="n">
        <f aca="false">(C4519-$B$4)/($B$6/SQRT($B$7))</f>
        <v>-1.33847263359334</v>
      </c>
      <c r="E4519" s="0" t="str">
        <f aca="false">IF(OR(AND($B$9="superior",D4519&gt;$B$10),AND($B$9="inferior",D4519&lt;-$B$10)),"Rechazar H0","No rechazar H0")</f>
        <v>No rechazar H0</v>
      </c>
      <c r="F4519" s="0" t="str">
        <f aca="false">IF(AND(B4519="H0 verdadera",E4519="Rechazar H0"),"Error tipo I",IF(AND(B4519="Ha verdadera",E4519="No rechazar H0"),"Error tipo II","Decisión correcta"))</f>
        <v>Error tipo II</v>
      </c>
    </row>
    <row r="4520" customFormat="false" ht="15" hidden="false" customHeight="false" outlineLevel="0" collapsed="false">
      <c r="A4520" s="0" t="n">
        <v>4499</v>
      </c>
      <c r="B4520" s="0" t="s">
        <v>86</v>
      </c>
      <c r="C4520" s="17" t="n">
        <v>0.0119876293973383</v>
      </c>
      <c r="D4520" s="17" t="n">
        <f aca="false">(C4520-$B$4)/($B$6/SQRT($B$7))</f>
        <v>0.0599381469866916</v>
      </c>
      <c r="E4520" s="0" t="str">
        <f aca="false">IF(OR(AND($B$9="superior",D4520&gt;$B$10),AND($B$9="inferior",D4520&lt;-$B$10)),"Rechazar H0","No rechazar H0")</f>
        <v>No rechazar H0</v>
      </c>
      <c r="F4520" s="0" t="str">
        <f aca="false">IF(AND(B4520="H0 verdadera",E4520="Rechazar H0"),"Error tipo I",IF(AND(B4520="Ha verdadera",E4520="No rechazar H0"),"Error tipo II","Decisión correcta"))</f>
        <v>Error tipo II</v>
      </c>
    </row>
    <row r="4521" customFormat="false" ht="15" hidden="false" customHeight="false" outlineLevel="0" collapsed="false">
      <c r="A4521" s="0" t="n">
        <v>4500</v>
      </c>
      <c r="B4521" s="0" t="s">
        <v>85</v>
      </c>
      <c r="C4521" s="17" t="n">
        <v>0.230992715295942</v>
      </c>
      <c r="D4521" s="17" t="n">
        <f aca="false">(C4521-$B$4)/($B$6/SQRT($B$7))</f>
        <v>1.15496357647971</v>
      </c>
      <c r="E4521" s="0" t="str">
        <f aca="false">IF(OR(AND($B$9="superior",D4521&gt;$B$10),AND($B$9="inferior",D4521&lt;-$B$10)),"Rechazar H0","No rechazar H0")</f>
        <v>No rechazar H0</v>
      </c>
      <c r="F4521" s="0" t="str">
        <f aca="false">IF(AND(B4521="H0 verdadera",E4521="Rechazar H0"),"Error tipo I",IF(AND(B4521="Ha verdadera",E4521="No rechazar H0"),"Error tipo II","Decisión correcta"))</f>
        <v>Decisión correcta</v>
      </c>
    </row>
    <row r="4522" customFormat="false" ht="15" hidden="false" customHeight="false" outlineLevel="0" collapsed="false">
      <c r="A4522" s="0" t="n">
        <v>4501</v>
      </c>
      <c r="B4522" s="0" t="s">
        <v>86</v>
      </c>
      <c r="C4522" s="17" t="n">
        <v>-0.324976114465671</v>
      </c>
      <c r="D4522" s="17" t="n">
        <f aca="false">(C4522-$B$4)/($B$6/SQRT($B$7))</f>
        <v>-1.62488057232835</v>
      </c>
      <c r="E4522" s="0" t="str">
        <f aca="false">IF(OR(AND($B$9="superior",D4522&gt;$B$10),AND($B$9="inferior",D4522&lt;-$B$10)),"Rechazar H0","No rechazar H0")</f>
        <v>No rechazar H0</v>
      </c>
      <c r="F4522" s="0" t="str">
        <f aca="false">IF(AND(B4522="H0 verdadera",E4522="Rechazar H0"),"Error tipo I",IF(AND(B4522="Ha verdadera",E4522="No rechazar H0"),"Error tipo II","Decisión correcta"))</f>
        <v>Error tipo II</v>
      </c>
    </row>
    <row r="4523" customFormat="false" ht="15" hidden="false" customHeight="false" outlineLevel="0" collapsed="false">
      <c r="A4523" s="0" t="n">
        <v>4502</v>
      </c>
      <c r="B4523" s="0" t="s">
        <v>85</v>
      </c>
      <c r="C4523" s="17" t="n">
        <v>0.198296435331633</v>
      </c>
      <c r="D4523" s="17" t="n">
        <f aca="false">(C4523-$B$4)/($B$6/SQRT($B$7))</f>
        <v>0.991482176658167</v>
      </c>
      <c r="E4523" s="0" t="str">
        <f aca="false">IF(OR(AND($B$9="superior",D4523&gt;$B$10),AND($B$9="inferior",D4523&lt;-$B$10)),"Rechazar H0","No rechazar H0")</f>
        <v>No rechazar H0</v>
      </c>
      <c r="F4523" s="0" t="str">
        <f aca="false">IF(AND(B4523="H0 verdadera",E4523="Rechazar H0"),"Error tipo I",IF(AND(B4523="Ha verdadera",E4523="No rechazar H0"),"Error tipo II","Decisión correcta"))</f>
        <v>Decisión correcta</v>
      </c>
    </row>
    <row r="4524" customFormat="false" ht="15" hidden="false" customHeight="false" outlineLevel="0" collapsed="false">
      <c r="A4524" s="0" t="n">
        <v>4503</v>
      </c>
      <c r="B4524" s="0" t="s">
        <v>85</v>
      </c>
      <c r="C4524" s="17" t="n">
        <v>0.562932649369428</v>
      </c>
      <c r="D4524" s="17" t="n">
        <f aca="false">(C4524-$B$4)/($B$6/SQRT($B$7))</f>
        <v>2.81466324684714</v>
      </c>
      <c r="E4524" s="0" t="str">
        <f aca="false">IF(OR(AND($B$9="superior",D4524&gt;$B$10),AND($B$9="inferior",D4524&lt;-$B$10)),"Rechazar H0","No rechazar H0")</f>
        <v>No rechazar H0</v>
      </c>
      <c r="F4524" s="0" t="str">
        <f aca="false">IF(AND(B4524="H0 verdadera",E4524="Rechazar H0"),"Error tipo I",IF(AND(B4524="Ha verdadera",E4524="No rechazar H0"),"Error tipo II","Decisión correcta"))</f>
        <v>Decisión correcta</v>
      </c>
    </row>
    <row r="4525" customFormat="false" ht="15" hidden="false" customHeight="false" outlineLevel="0" collapsed="false">
      <c r="A4525" s="0" t="n">
        <v>4504</v>
      </c>
      <c r="B4525" s="0" t="s">
        <v>86</v>
      </c>
      <c r="C4525" s="17" t="n">
        <v>-0.329374074259536</v>
      </c>
      <c r="D4525" s="17" t="n">
        <f aca="false">(C4525-$B$4)/($B$6/SQRT($B$7))</f>
        <v>-1.64687037129768</v>
      </c>
      <c r="E4525" s="0" t="str">
        <f aca="false">IF(OR(AND($B$9="superior",D4525&gt;$B$10),AND($B$9="inferior",D4525&lt;-$B$10)),"Rechazar H0","No rechazar H0")</f>
        <v>Rechazar H0</v>
      </c>
      <c r="F4525" s="0" t="str">
        <f aca="false">IF(AND(B4525="H0 verdadera",E4525="Rechazar H0"),"Error tipo I",IF(AND(B4525="Ha verdadera",E4525="No rechazar H0"),"Error tipo II","Decisión correcta"))</f>
        <v>Decisión correcta</v>
      </c>
    </row>
    <row r="4526" customFormat="false" ht="15" hidden="false" customHeight="false" outlineLevel="0" collapsed="false">
      <c r="A4526" s="0" t="n">
        <v>4505</v>
      </c>
      <c r="B4526" s="0" t="s">
        <v>86</v>
      </c>
      <c r="C4526" s="17" t="n">
        <v>-0.50234762415591</v>
      </c>
      <c r="D4526" s="17" t="n">
        <f aca="false">(C4526-$B$4)/($B$6/SQRT($B$7))</f>
        <v>-2.51173812077955</v>
      </c>
      <c r="E4526" s="0" t="str">
        <f aca="false">IF(OR(AND($B$9="superior",D4526&gt;$B$10),AND($B$9="inferior",D4526&lt;-$B$10)),"Rechazar H0","No rechazar H0")</f>
        <v>Rechazar H0</v>
      </c>
      <c r="F4526" s="0" t="str">
        <f aca="false">IF(AND(B4526="H0 verdadera",E4526="Rechazar H0"),"Error tipo I",IF(AND(B4526="Ha verdadera",E4526="No rechazar H0"),"Error tipo II","Decisión correcta"))</f>
        <v>Decisión correcta</v>
      </c>
    </row>
    <row r="4527" customFormat="false" ht="15" hidden="false" customHeight="false" outlineLevel="0" collapsed="false">
      <c r="A4527" s="0" t="n">
        <v>4506</v>
      </c>
      <c r="B4527" s="0" t="s">
        <v>85</v>
      </c>
      <c r="C4527" s="17" t="n">
        <v>0.0701787464854912</v>
      </c>
      <c r="D4527" s="17" t="n">
        <f aca="false">(C4527-$B$4)/($B$6/SQRT($B$7))</f>
        <v>0.350893732427456</v>
      </c>
      <c r="E4527" s="0" t="str">
        <f aca="false">IF(OR(AND($B$9="superior",D4527&gt;$B$10),AND($B$9="inferior",D4527&lt;-$B$10)),"Rechazar H0","No rechazar H0")</f>
        <v>No rechazar H0</v>
      </c>
      <c r="F4527" s="0" t="str">
        <f aca="false">IF(AND(B4527="H0 verdadera",E4527="Rechazar H0"),"Error tipo I",IF(AND(B4527="Ha verdadera",E4527="No rechazar H0"),"Error tipo II","Decisión correcta"))</f>
        <v>Decisión correcta</v>
      </c>
    </row>
    <row r="4528" customFormat="false" ht="15" hidden="false" customHeight="false" outlineLevel="0" collapsed="false">
      <c r="A4528" s="0" t="n">
        <v>4507</v>
      </c>
      <c r="B4528" s="0" t="s">
        <v>86</v>
      </c>
      <c r="C4528" s="17" t="n">
        <v>-0.148141333684526</v>
      </c>
      <c r="D4528" s="17" t="n">
        <f aca="false">(C4528-$B$4)/($B$6/SQRT($B$7))</f>
        <v>-0.740706668422628</v>
      </c>
      <c r="E4528" s="0" t="str">
        <f aca="false">IF(OR(AND($B$9="superior",D4528&gt;$B$10),AND($B$9="inferior",D4528&lt;-$B$10)),"Rechazar H0","No rechazar H0")</f>
        <v>No rechazar H0</v>
      </c>
      <c r="F4528" s="0" t="str">
        <f aca="false">IF(AND(B4528="H0 verdadera",E4528="Rechazar H0"),"Error tipo I",IF(AND(B4528="Ha verdadera",E4528="No rechazar H0"),"Error tipo II","Decisión correcta"))</f>
        <v>Error tipo II</v>
      </c>
    </row>
    <row r="4529" customFormat="false" ht="15" hidden="false" customHeight="false" outlineLevel="0" collapsed="false">
      <c r="A4529" s="0" t="n">
        <v>4508</v>
      </c>
      <c r="B4529" s="0" t="s">
        <v>86</v>
      </c>
      <c r="C4529" s="17" t="n">
        <v>-0.461421784712806</v>
      </c>
      <c r="D4529" s="17" t="n">
        <f aca="false">(C4529-$B$4)/($B$6/SQRT($B$7))</f>
        <v>-2.30710892356403</v>
      </c>
      <c r="E4529" s="0" t="str">
        <f aca="false">IF(OR(AND($B$9="superior",D4529&gt;$B$10),AND($B$9="inferior",D4529&lt;-$B$10)),"Rechazar H0","No rechazar H0")</f>
        <v>Rechazar H0</v>
      </c>
      <c r="F4529" s="0" t="str">
        <f aca="false">IF(AND(B4529="H0 verdadera",E4529="Rechazar H0"),"Error tipo I",IF(AND(B4529="Ha verdadera",E4529="No rechazar H0"),"Error tipo II","Decisión correcta"))</f>
        <v>Decisión correcta</v>
      </c>
    </row>
    <row r="4530" customFormat="false" ht="15" hidden="false" customHeight="false" outlineLevel="0" collapsed="false">
      <c r="A4530" s="0" t="n">
        <v>4509</v>
      </c>
      <c r="B4530" s="0" t="s">
        <v>86</v>
      </c>
      <c r="C4530" s="17" t="n">
        <v>-0.650237111868788</v>
      </c>
      <c r="D4530" s="17" t="n">
        <f aca="false">(C4530-$B$4)/($B$6/SQRT($B$7))</f>
        <v>-3.25118555934394</v>
      </c>
      <c r="E4530" s="0" t="str">
        <f aca="false">IF(OR(AND($B$9="superior",D4530&gt;$B$10),AND($B$9="inferior",D4530&lt;-$B$10)),"Rechazar H0","No rechazar H0")</f>
        <v>Rechazar H0</v>
      </c>
      <c r="F4530" s="0" t="str">
        <f aca="false">IF(AND(B4530="H0 verdadera",E4530="Rechazar H0"),"Error tipo I",IF(AND(B4530="Ha verdadera",E4530="No rechazar H0"),"Error tipo II","Decisión correcta"))</f>
        <v>Decisión correcta</v>
      </c>
    </row>
    <row r="4531" customFormat="false" ht="15" hidden="false" customHeight="false" outlineLevel="0" collapsed="false">
      <c r="A4531" s="0" t="n">
        <v>4510</v>
      </c>
      <c r="B4531" s="0" t="s">
        <v>86</v>
      </c>
      <c r="C4531" s="17" t="n">
        <v>-0.336657540565047</v>
      </c>
      <c r="D4531" s="17" t="n">
        <f aca="false">(C4531-$B$4)/($B$6/SQRT($B$7))</f>
        <v>-1.68328770282523</v>
      </c>
      <c r="E4531" s="0" t="str">
        <f aca="false">IF(OR(AND($B$9="superior",D4531&gt;$B$10),AND($B$9="inferior",D4531&lt;-$B$10)),"Rechazar H0","No rechazar H0")</f>
        <v>Rechazar H0</v>
      </c>
      <c r="F4531" s="0" t="str">
        <f aca="false">IF(AND(B4531="H0 verdadera",E4531="Rechazar H0"),"Error tipo I",IF(AND(B4531="Ha verdadera",E4531="No rechazar H0"),"Error tipo II","Decisión correcta"))</f>
        <v>Decisión correcta</v>
      </c>
    </row>
    <row r="4532" customFormat="false" ht="15" hidden="false" customHeight="false" outlineLevel="0" collapsed="false">
      <c r="A4532" s="0" t="n">
        <v>4511</v>
      </c>
      <c r="B4532" s="0" t="s">
        <v>85</v>
      </c>
      <c r="C4532" s="17" t="n">
        <v>0.117105286771851</v>
      </c>
      <c r="D4532" s="17" t="n">
        <f aca="false">(C4532-$B$4)/($B$6/SQRT($B$7))</f>
        <v>0.585526433859256</v>
      </c>
      <c r="E4532" s="0" t="str">
        <f aca="false">IF(OR(AND($B$9="superior",D4532&gt;$B$10),AND($B$9="inferior",D4532&lt;-$B$10)),"Rechazar H0","No rechazar H0")</f>
        <v>No rechazar H0</v>
      </c>
      <c r="F4532" s="0" t="str">
        <f aca="false">IF(AND(B4532="H0 verdadera",E4532="Rechazar H0"),"Error tipo I",IF(AND(B4532="Ha verdadera",E4532="No rechazar H0"),"Error tipo II","Decisión correcta"))</f>
        <v>Decisión correcta</v>
      </c>
    </row>
    <row r="4533" customFormat="false" ht="15" hidden="false" customHeight="false" outlineLevel="0" collapsed="false">
      <c r="A4533" s="0" t="n">
        <v>4512</v>
      </c>
      <c r="B4533" s="0" t="s">
        <v>85</v>
      </c>
      <c r="C4533" s="17" t="n">
        <v>-0.0412346377503238</v>
      </c>
      <c r="D4533" s="17" t="n">
        <f aca="false">(C4533-$B$4)/($B$6/SQRT($B$7))</f>
        <v>-0.206173188751619</v>
      </c>
      <c r="E4533" s="0" t="str">
        <f aca="false">IF(OR(AND($B$9="superior",D4533&gt;$B$10),AND($B$9="inferior",D4533&lt;-$B$10)),"Rechazar H0","No rechazar H0")</f>
        <v>No rechazar H0</v>
      </c>
      <c r="F4533" s="0" t="str">
        <f aca="false">IF(AND(B4533="H0 verdadera",E4533="Rechazar H0"),"Error tipo I",IF(AND(B4533="Ha verdadera",E4533="No rechazar H0"),"Error tipo II","Decisión correcta"))</f>
        <v>Decisión correcta</v>
      </c>
    </row>
    <row r="4534" customFormat="false" ht="15" hidden="false" customHeight="false" outlineLevel="0" collapsed="false">
      <c r="A4534" s="0" t="n">
        <v>4513</v>
      </c>
      <c r="B4534" s="0" t="s">
        <v>85</v>
      </c>
      <c r="C4534" s="17" t="n">
        <v>0.0883120672396516</v>
      </c>
      <c r="D4534" s="17" t="n">
        <f aca="false">(C4534-$B$4)/($B$6/SQRT($B$7))</f>
        <v>0.441560336198258</v>
      </c>
      <c r="E4534" s="0" t="str">
        <f aca="false">IF(OR(AND($B$9="superior",D4534&gt;$B$10),AND($B$9="inferior",D4534&lt;-$B$10)),"Rechazar H0","No rechazar H0")</f>
        <v>No rechazar H0</v>
      </c>
      <c r="F4534" s="0" t="str">
        <f aca="false">IF(AND(B4534="H0 verdadera",E4534="Rechazar H0"),"Error tipo I",IF(AND(B4534="Ha verdadera",E4534="No rechazar H0"),"Error tipo II","Decisión correcta"))</f>
        <v>Decisión correcta</v>
      </c>
    </row>
    <row r="4535" customFormat="false" ht="15" hidden="false" customHeight="false" outlineLevel="0" collapsed="false">
      <c r="A4535" s="0" t="n">
        <v>4514</v>
      </c>
      <c r="B4535" s="0" t="s">
        <v>85</v>
      </c>
      <c r="C4535" s="17" t="n">
        <v>-0.0768670127059803</v>
      </c>
      <c r="D4535" s="17" t="n">
        <f aca="false">(C4535-$B$4)/($B$6/SQRT($B$7))</f>
        <v>-0.384335063529902</v>
      </c>
      <c r="E4535" s="0" t="str">
        <f aca="false">IF(OR(AND($B$9="superior",D4535&gt;$B$10),AND($B$9="inferior",D4535&lt;-$B$10)),"Rechazar H0","No rechazar H0")</f>
        <v>No rechazar H0</v>
      </c>
      <c r="F4535" s="0" t="str">
        <f aca="false">IF(AND(B4535="H0 verdadera",E4535="Rechazar H0"),"Error tipo I",IF(AND(B4535="Ha verdadera",E4535="No rechazar H0"),"Error tipo II","Decisión correcta"))</f>
        <v>Decisión correcta</v>
      </c>
    </row>
    <row r="4536" customFormat="false" ht="15" hidden="false" customHeight="false" outlineLevel="0" collapsed="false">
      <c r="A4536" s="0" t="n">
        <v>4515</v>
      </c>
      <c r="B4536" s="0" t="s">
        <v>85</v>
      </c>
      <c r="C4536" s="17" t="n">
        <v>-0.318225005842517</v>
      </c>
      <c r="D4536" s="17" t="n">
        <f aca="false">(C4536-$B$4)/($B$6/SQRT($B$7))</f>
        <v>-1.59112502921258</v>
      </c>
      <c r="E4536" s="0" t="str">
        <f aca="false">IF(OR(AND($B$9="superior",D4536&gt;$B$10),AND($B$9="inferior",D4536&lt;-$B$10)),"Rechazar H0","No rechazar H0")</f>
        <v>No rechazar H0</v>
      </c>
      <c r="F4536" s="0" t="str">
        <f aca="false">IF(AND(B4536="H0 verdadera",E4536="Rechazar H0"),"Error tipo I",IF(AND(B4536="Ha verdadera",E4536="No rechazar H0"),"Error tipo II","Decisión correcta"))</f>
        <v>Decisión correcta</v>
      </c>
    </row>
    <row r="4537" customFormat="false" ht="15" hidden="false" customHeight="false" outlineLevel="0" collapsed="false">
      <c r="A4537" s="0" t="n">
        <v>4516</v>
      </c>
      <c r="B4537" s="0" t="s">
        <v>85</v>
      </c>
      <c r="C4537" s="17" t="n">
        <v>0.0134398734237255</v>
      </c>
      <c r="D4537" s="17" t="n">
        <f aca="false">(C4537-$B$4)/($B$6/SQRT($B$7))</f>
        <v>0.0671993671186275</v>
      </c>
      <c r="E4537" s="0" t="str">
        <f aca="false">IF(OR(AND($B$9="superior",D4537&gt;$B$10),AND($B$9="inferior",D4537&lt;-$B$10)),"Rechazar H0","No rechazar H0")</f>
        <v>No rechazar H0</v>
      </c>
      <c r="F4537" s="0" t="str">
        <f aca="false">IF(AND(B4537="H0 verdadera",E4537="Rechazar H0"),"Error tipo I",IF(AND(B4537="Ha verdadera",E4537="No rechazar H0"),"Error tipo II","Decisión correcta"))</f>
        <v>Decisión correcta</v>
      </c>
    </row>
    <row r="4538" customFormat="false" ht="15" hidden="false" customHeight="false" outlineLevel="0" collapsed="false">
      <c r="A4538" s="0" t="n">
        <v>4517</v>
      </c>
      <c r="B4538" s="0" t="s">
        <v>86</v>
      </c>
      <c r="C4538" s="17" t="n">
        <v>-0.254278174989254</v>
      </c>
      <c r="D4538" s="17" t="n">
        <f aca="false">(C4538-$B$4)/($B$6/SQRT($B$7))</f>
        <v>-1.27139087494627</v>
      </c>
      <c r="E4538" s="0" t="str">
        <f aca="false">IF(OR(AND($B$9="superior",D4538&gt;$B$10),AND($B$9="inferior",D4538&lt;-$B$10)),"Rechazar H0","No rechazar H0")</f>
        <v>No rechazar H0</v>
      </c>
      <c r="F4538" s="0" t="str">
        <f aca="false">IF(AND(B4538="H0 verdadera",E4538="Rechazar H0"),"Error tipo I",IF(AND(B4538="Ha verdadera",E4538="No rechazar H0"),"Error tipo II","Decisión correcta"))</f>
        <v>Error tipo II</v>
      </c>
    </row>
    <row r="4539" customFormat="false" ht="15" hidden="false" customHeight="false" outlineLevel="0" collapsed="false">
      <c r="A4539" s="0" t="n">
        <v>4518</v>
      </c>
      <c r="B4539" s="0" t="s">
        <v>86</v>
      </c>
      <c r="C4539" s="17" t="n">
        <v>-0.371975524314431</v>
      </c>
      <c r="D4539" s="17" t="n">
        <f aca="false">(C4539-$B$4)/($B$6/SQRT($B$7))</f>
        <v>-1.85987762157216</v>
      </c>
      <c r="E4539" s="0" t="str">
        <f aca="false">IF(OR(AND($B$9="superior",D4539&gt;$B$10),AND($B$9="inferior",D4539&lt;-$B$10)),"Rechazar H0","No rechazar H0")</f>
        <v>Rechazar H0</v>
      </c>
      <c r="F4539" s="0" t="str">
        <f aca="false">IF(AND(B4539="H0 verdadera",E4539="Rechazar H0"),"Error tipo I",IF(AND(B4539="Ha verdadera",E4539="No rechazar H0"),"Error tipo II","Decisión correcta"))</f>
        <v>Decisión correcta</v>
      </c>
    </row>
    <row r="4540" customFormat="false" ht="15" hidden="false" customHeight="false" outlineLevel="0" collapsed="false">
      <c r="A4540" s="0" t="n">
        <v>4519</v>
      </c>
      <c r="B4540" s="0" t="s">
        <v>86</v>
      </c>
      <c r="C4540" s="17" t="n">
        <v>-0.00989548796854404</v>
      </c>
      <c r="D4540" s="17" t="n">
        <f aca="false">(C4540-$B$4)/($B$6/SQRT($B$7))</f>
        <v>-0.0494774398427202</v>
      </c>
      <c r="E4540" s="0" t="str">
        <f aca="false">IF(OR(AND($B$9="superior",D4540&gt;$B$10),AND($B$9="inferior",D4540&lt;-$B$10)),"Rechazar H0","No rechazar H0")</f>
        <v>No rechazar H0</v>
      </c>
      <c r="F4540" s="0" t="str">
        <f aca="false">IF(AND(B4540="H0 verdadera",E4540="Rechazar H0"),"Error tipo I",IF(AND(B4540="Ha verdadera",E4540="No rechazar H0"),"Error tipo II","Decisión correcta"))</f>
        <v>Error tipo II</v>
      </c>
    </row>
    <row r="4541" customFormat="false" ht="15" hidden="false" customHeight="false" outlineLevel="0" collapsed="false">
      <c r="A4541" s="0" t="n">
        <v>4520</v>
      </c>
      <c r="B4541" s="0" t="s">
        <v>85</v>
      </c>
      <c r="C4541" s="17" t="n">
        <v>0.0878343176530613</v>
      </c>
      <c r="D4541" s="17" t="n">
        <f aca="false">(C4541-$B$4)/($B$6/SQRT($B$7))</f>
        <v>0.439171588265306</v>
      </c>
      <c r="E4541" s="0" t="str">
        <f aca="false">IF(OR(AND($B$9="superior",D4541&gt;$B$10),AND($B$9="inferior",D4541&lt;-$B$10)),"Rechazar H0","No rechazar H0")</f>
        <v>No rechazar H0</v>
      </c>
      <c r="F4541" s="0" t="str">
        <f aca="false">IF(AND(B4541="H0 verdadera",E4541="Rechazar H0"),"Error tipo I",IF(AND(B4541="Ha verdadera",E4541="No rechazar H0"),"Error tipo II","Decisión correcta"))</f>
        <v>Decisión correcta</v>
      </c>
    </row>
    <row r="4542" customFormat="false" ht="15" hidden="false" customHeight="false" outlineLevel="0" collapsed="false">
      <c r="A4542" s="0" t="n">
        <v>4521</v>
      </c>
      <c r="B4542" s="0" t="s">
        <v>85</v>
      </c>
      <c r="C4542" s="17" t="n">
        <v>0.431386091063443</v>
      </c>
      <c r="D4542" s="17" t="n">
        <f aca="false">(C4542-$B$4)/($B$6/SQRT($B$7))</f>
        <v>2.15693045531721</v>
      </c>
      <c r="E4542" s="0" t="str">
        <f aca="false">IF(OR(AND($B$9="superior",D4542&gt;$B$10),AND($B$9="inferior",D4542&lt;-$B$10)),"Rechazar H0","No rechazar H0")</f>
        <v>No rechazar H0</v>
      </c>
      <c r="F4542" s="0" t="str">
        <f aca="false">IF(AND(B4542="H0 verdadera",E4542="Rechazar H0"),"Error tipo I",IF(AND(B4542="Ha verdadera",E4542="No rechazar H0"),"Error tipo II","Decisión correcta"))</f>
        <v>Decisión correcta</v>
      </c>
    </row>
    <row r="4543" customFormat="false" ht="15" hidden="false" customHeight="false" outlineLevel="0" collapsed="false">
      <c r="A4543" s="0" t="n">
        <v>4522</v>
      </c>
      <c r="B4543" s="0" t="s">
        <v>85</v>
      </c>
      <c r="C4543" s="17" t="n">
        <v>0.353537689885045</v>
      </c>
      <c r="D4543" s="17" t="n">
        <f aca="false">(C4543-$B$4)/($B$6/SQRT($B$7))</f>
        <v>1.76768844942522</v>
      </c>
      <c r="E4543" s="0" t="str">
        <f aca="false">IF(OR(AND($B$9="superior",D4543&gt;$B$10),AND($B$9="inferior",D4543&lt;-$B$10)),"Rechazar H0","No rechazar H0")</f>
        <v>No rechazar H0</v>
      </c>
      <c r="F4543" s="0" t="str">
        <f aca="false">IF(AND(B4543="H0 verdadera",E4543="Rechazar H0"),"Error tipo I",IF(AND(B4543="Ha verdadera",E4543="No rechazar H0"),"Error tipo II","Decisión correcta"))</f>
        <v>Decisión correcta</v>
      </c>
    </row>
    <row r="4544" customFormat="false" ht="15" hidden="false" customHeight="false" outlineLevel="0" collapsed="false">
      <c r="A4544" s="0" t="n">
        <v>4523</v>
      </c>
      <c r="B4544" s="0" t="s">
        <v>86</v>
      </c>
      <c r="C4544" s="17" t="n">
        <v>-0.40732178204929</v>
      </c>
      <c r="D4544" s="17" t="n">
        <f aca="false">(C4544-$B$4)/($B$6/SQRT($B$7))</f>
        <v>-2.03660891024645</v>
      </c>
      <c r="E4544" s="0" t="str">
        <f aca="false">IF(OR(AND($B$9="superior",D4544&gt;$B$10),AND($B$9="inferior",D4544&lt;-$B$10)),"Rechazar H0","No rechazar H0")</f>
        <v>Rechazar H0</v>
      </c>
      <c r="F4544" s="0" t="str">
        <f aca="false">IF(AND(B4544="H0 verdadera",E4544="Rechazar H0"),"Error tipo I",IF(AND(B4544="Ha verdadera",E4544="No rechazar H0"),"Error tipo II","Decisión correcta"))</f>
        <v>Decisión correcta</v>
      </c>
    </row>
    <row r="4545" customFormat="false" ht="15" hidden="false" customHeight="false" outlineLevel="0" collapsed="false">
      <c r="A4545" s="0" t="n">
        <v>4524</v>
      </c>
      <c r="B4545" s="0" t="s">
        <v>86</v>
      </c>
      <c r="C4545" s="17" t="n">
        <v>-0.523568185477932</v>
      </c>
      <c r="D4545" s="17" t="n">
        <f aca="false">(C4545-$B$4)/($B$6/SQRT($B$7))</f>
        <v>-2.61784092738966</v>
      </c>
      <c r="E4545" s="0" t="str">
        <f aca="false">IF(OR(AND($B$9="superior",D4545&gt;$B$10),AND($B$9="inferior",D4545&lt;-$B$10)),"Rechazar H0","No rechazar H0")</f>
        <v>Rechazar H0</v>
      </c>
      <c r="F4545" s="0" t="str">
        <f aca="false">IF(AND(B4545="H0 verdadera",E4545="Rechazar H0"),"Error tipo I",IF(AND(B4545="Ha verdadera",E4545="No rechazar H0"),"Error tipo II","Decisión correcta"))</f>
        <v>Decisión correcta</v>
      </c>
    </row>
    <row r="4546" customFormat="false" ht="15" hidden="false" customHeight="false" outlineLevel="0" collapsed="false">
      <c r="A4546" s="0" t="n">
        <v>4525</v>
      </c>
      <c r="B4546" s="0" t="s">
        <v>86</v>
      </c>
      <c r="C4546" s="17" t="n">
        <v>-0.303385251140686</v>
      </c>
      <c r="D4546" s="17" t="n">
        <f aca="false">(C4546-$B$4)/($B$6/SQRT($B$7))</f>
        <v>-1.51692625570343</v>
      </c>
      <c r="E4546" s="0" t="str">
        <f aca="false">IF(OR(AND($B$9="superior",D4546&gt;$B$10),AND($B$9="inferior",D4546&lt;-$B$10)),"Rechazar H0","No rechazar H0")</f>
        <v>No rechazar H0</v>
      </c>
      <c r="F4546" s="0" t="str">
        <f aca="false">IF(AND(B4546="H0 verdadera",E4546="Rechazar H0"),"Error tipo I",IF(AND(B4546="Ha verdadera",E4546="No rechazar H0"),"Error tipo II","Decisión correcta"))</f>
        <v>Error tipo II</v>
      </c>
    </row>
    <row r="4547" customFormat="false" ht="15" hidden="false" customHeight="false" outlineLevel="0" collapsed="false">
      <c r="A4547" s="0" t="n">
        <v>4526</v>
      </c>
      <c r="B4547" s="0" t="s">
        <v>86</v>
      </c>
      <c r="C4547" s="17" t="n">
        <v>-0.527497397230143</v>
      </c>
      <c r="D4547" s="17" t="n">
        <f aca="false">(C4547-$B$4)/($B$6/SQRT($B$7))</f>
        <v>-2.63748698615072</v>
      </c>
      <c r="E4547" s="0" t="str">
        <f aca="false">IF(OR(AND($B$9="superior",D4547&gt;$B$10),AND($B$9="inferior",D4547&lt;-$B$10)),"Rechazar H0","No rechazar H0")</f>
        <v>Rechazar H0</v>
      </c>
      <c r="F4547" s="0" t="str">
        <f aca="false">IF(AND(B4547="H0 verdadera",E4547="Rechazar H0"),"Error tipo I",IF(AND(B4547="Ha verdadera",E4547="No rechazar H0"),"Error tipo II","Decisión correcta"))</f>
        <v>Decisión correcta</v>
      </c>
    </row>
    <row r="4548" customFormat="false" ht="15" hidden="false" customHeight="false" outlineLevel="0" collapsed="false">
      <c r="A4548" s="0" t="n">
        <v>4527</v>
      </c>
      <c r="B4548" s="0" t="s">
        <v>85</v>
      </c>
      <c r="C4548" s="17" t="n">
        <v>0.0773890129635197</v>
      </c>
      <c r="D4548" s="17" t="n">
        <f aca="false">(C4548-$B$4)/($B$6/SQRT($B$7))</f>
        <v>0.386945064817599</v>
      </c>
      <c r="E4548" s="0" t="str">
        <f aca="false">IF(OR(AND($B$9="superior",D4548&gt;$B$10),AND($B$9="inferior",D4548&lt;-$B$10)),"Rechazar H0","No rechazar H0")</f>
        <v>No rechazar H0</v>
      </c>
      <c r="F4548" s="0" t="str">
        <f aca="false">IF(AND(B4548="H0 verdadera",E4548="Rechazar H0"),"Error tipo I",IF(AND(B4548="Ha verdadera",E4548="No rechazar H0"),"Error tipo II","Decisión correcta"))</f>
        <v>Decisión correcta</v>
      </c>
    </row>
    <row r="4549" customFormat="false" ht="15" hidden="false" customHeight="false" outlineLevel="0" collapsed="false">
      <c r="A4549" s="0" t="n">
        <v>4528</v>
      </c>
      <c r="B4549" s="0" t="s">
        <v>86</v>
      </c>
      <c r="C4549" s="17" t="n">
        <v>-0.773217025392207</v>
      </c>
      <c r="D4549" s="17" t="n">
        <f aca="false">(C4549-$B$4)/($B$6/SQRT($B$7))</f>
        <v>-3.86608512696104</v>
      </c>
      <c r="E4549" s="0" t="str">
        <f aca="false">IF(OR(AND($B$9="superior",D4549&gt;$B$10),AND($B$9="inferior",D4549&lt;-$B$10)),"Rechazar H0","No rechazar H0")</f>
        <v>Rechazar H0</v>
      </c>
      <c r="F4549" s="0" t="str">
        <f aca="false">IF(AND(B4549="H0 verdadera",E4549="Rechazar H0"),"Error tipo I",IF(AND(B4549="Ha verdadera",E4549="No rechazar H0"),"Error tipo II","Decisión correcta"))</f>
        <v>Decisión correcta</v>
      </c>
    </row>
    <row r="4550" customFormat="false" ht="15" hidden="false" customHeight="false" outlineLevel="0" collapsed="false">
      <c r="A4550" s="0" t="n">
        <v>4529</v>
      </c>
      <c r="B4550" s="0" t="s">
        <v>85</v>
      </c>
      <c r="C4550" s="17" t="n">
        <v>-0.282125464043349</v>
      </c>
      <c r="D4550" s="17" t="n">
        <f aca="false">(C4550-$B$4)/($B$6/SQRT($B$7))</f>
        <v>-1.41062732021674</v>
      </c>
      <c r="E4550" s="0" t="str">
        <f aca="false">IF(OR(AND($B$9="superior",D4550&gt;$B$10),AND($B$9="inferior",D4550&lt;-$B$10)),"Rechazar H0","No rechazar H0")</f>
        <v>No rechazar H0</v>
      </c>
      <c r="F4550" s="0" t="str">
        <f aca="false">IF(AND(B4550="H0 verdadera",E4550="Rechazar H0"),"Error tipo I",IF(AND(B4550="Ha verdadera",E4550="No rechazar H0"),"Error tipo II","Decisión correcta"))</f>
        <v>Decisión correcta</v>
      </c>
    </row>
    <row r="4551" customFormat="false" ht="15" hidden="false" customHeight="false" outlineLevel="0" collapsed="false">
      <c r="A4551" s="0" t="n">
        <v>4530</v>
      </c>
      <c r="B4551" s="0" t="s">
        <v>86</v>
      </c>
      <c r="C4551" s="17" t="n">
        <v>-0.29274090079007</v>
      </c>
      <c r="D4551" s="17" t="n">
        <f aca="false">(C4551-$B$4)/($B$6/SQRT($B$7))</f>
        <v>-1.46370450395035</v>
      </c>
      <c r="E4551" s="0" t="str">
        <f aca="false">IF(OR(AND($B$9="superior",D4551&gt;$B$10),AND($B$9="inferior",D4551&lt;-$B$10)),"Rechazar H0","No rechazar H0")</f>
        <v>No rechazar H0</v>
      </c>
      <c r="F4551" s="0" t="str">
        <f aca="false">IF(AND(B4551="H0 verdadera",E4551="Rechazar H0"),"Error tipo I",IF(AND(B4551="Ha verdadera",E4551="No rechazar H0"),"Error tipo II","Decisión correcta"))</f>
        <v>Error tipo II</v>
      </c>
    </row>
    <row r="4552" customFormat="false" ht="15" hidden="false" customHeight="false" outlineLevel="0" collapsed="false">
      <c r="A4552" s="0" t="n">
        <v>4531</v>
      </c>
      <c r="B4552" s="0" t="s">
        <v>86</v>
      </c>
      <c r="C4552" s="17" t="n">
        <v>-0.452119382175841</v>
      </c>
      <c r="D4552" s="17" t="n">
        <f aca="false">(C4552-$B$4)/($B$6/SQRT($B$7))</f>
        <v>-2.2605969108792</v>
      </c>
      <c r="E4552" s="0" t="str">
        <f aca="false">IF(OR(AND($B$9="superior",D4552&gt;$B$10),AND($B$9="inferior",D4552&lt;-$B$10)),"Rechazar H0","No rechazar H0")</f>
        <v>Rechazar H0</v>
      </c>
      <c r="F4552" s="0" t="str">
        <f aca="false">IF(AND(B4552="H0 verdadera",E4552="Rechazar H0"),"Error tipo I",IF(AND(B4552="Ha verdadera",E4552="No rechazar H0"),"Error tipo II","Decisión correcta"))</f>
        <v>Decisión correcta</v>
      </c>
    </row>
    <row r="4553" customFormat="false" ht="15" hidden="false" customHeight="false" outlineLevel="0" collapsed="false">
      <c r="A4553" s="0" t="n">
        <v>4532</v>
      </c>
      <c r="B4553" s="0" t="s">
        <v>85</v>
      </c>
      <c r="C4553" s="17" t="n">
        <v>0.0632175485302626</v>
      </c>
      <c r="D4553" s="17" t="n">
        <f aca="false">(C4553-$B$4)/($B$6/SQRT($B$7))</f>
        <v>0.316087742651313</v>
      </c>
      <c r="E4553" s="0" t="str">
        <f aca="false">IF(OR(AND($B$9="superior",D4553&gt;$B$10),AND($B$9="inferior",D4553&lt;-$B$10)),"Rechazar H0","No rechazar H0")</f>
        <v>No rechazar H0</v>
      </c>
      <c r="F4553" s="0" t="str">
        <f aca="false">IF(AND(B4553="H0 verdadera",E4553="Rechazar H0"),"Error tipo I",IF(AND(B4553="Ha verdadera",E4553="No rechazar H0"),"Error tipo II","Decisión correcta"))</f>
        <v>Decisión correcta</v>
      </c>
    </row>
    <row r="4554" customFormat="false" ht="15" hidden="false" customHeight="false" outlineLevel="0" collapsed="false">
      <c r="A4554" s="0" t="n">
        <v>4533</v>
      </c>
      <c r="B4554" s="0" t="s">
        <v>86</v>
      </c>
      <c r="C4554" s="17" t="n">
        <v>-0.551879275254048</v>
      </c>
      <c r="D4554" s="17" t="n">
        <f aca="false">(C4554-$B$4)/($B$6/SQRT($B$7))</f>
        <v>-2.75939637627024</v>
      </c>
      <c r="E4554" s="0" t="str">
        <f aca="false">IF(OR(AND($B$9="superior",D4554&gt;$B$10),AND($B$9="inferior",D4554&lt;-$B$10)),"Rechazar H0","No rechazar H0")</f>
        <v>Rechazar H0</v>
      </c>
      <c r="F4554" s="0" t="str">
        <f aca="false">IF(AND(B4554="H0 verdadera",E4554="Rechazar H0"),"Error tipo I",IF(AND(B4554="Ha verdadera",E4554="No rechazar H0"),"Error tipo II","Decisión correcta"))</f>
        <v>Decisión correcta</v>
      </c>
    </row>
    <row r="4555" customFormat="false" ht="15" hidden="false" customHeight="false" outlineLevel="0" collapsed="false">
      <c r="A4555" s="0" t="n">
        <v>4534</v>
      </c>
      <c r="B4555" s="0" t="s">
        <v>85</v>
      </c>
      <c r="C4555" s="17" t="n">
        <v>-0.0495257799798642</v>
      </c>
      <c r="D4555" s="17" t="n">
        <f aca="false">(C4555-$B$4)/($B$6/SQRT($B$7))</f>
        <v>-0.247628899899321</v>
      </c>
      <c r="E4555" s="0" t="str">
        <f aca="false">IF(OR(AND($B$9="superior",D4555&gt;$B$10),AND($B$9="inferior",D4555&lt;-$B$10)),"Rechazar H0","No rechazar H0")</f>
        <v>No rechazar H0</v>
      </c>
      <c r="F4555" s="0" t="str">
        <f aca="false">IF(AND(B4555="H0 verdadera",E4555="Rechazar H0"),"Error tipo I",IF(AND(B4555="Ha verdadera",E4555="No rechazar H0"),"Error tipo II","Decisión correcta"))</f>
        <v>Decisión correcta</v>
      </c>
    </row>
    <row r="4556" customFormat="false" ht="15" hidden="false" customHeight="false" outlineLevel="0" collapsed="false">
      <c r="A4556" s="0" t="n">
        <v>4535</v>
      </c>
      <c r="B4556" s="0" t="s">
        <v>85</v>
      </c>
      <c r="C4556" s="17" t="n">
        <v>-0.135462978545946</v>
      </c>
      <c r="D4556" s="17" t="n">
        <f aca="false">(C4556-$B$4)/($B$6/SQRT($B$7))</f>
        <v>-0.677314892729728</v>
      </c>
      <c r="E4556" s="0" t="str">
        <f aca="false">IF(OR(AND($B$9="superior",D4556&gt;$B$10),AND($B$9="inferior",D4556&lt;-$B$10)),"Rechazar H0","No rechazar H0")</f>
        <v>No rechazar H0</v>
      </c>
      <c r="F4556" s="0" t="str">
        <f aca="false">IF(AND(B4556="H0 verdadera",E4556="Rechazar H0"),"Error tipo I",IF(AND(B4556="Ha verdadera",E4556="No rechazar H0"),"Error tipo II","Decisión correcta"))</f>
        <v>Decisión correcta</v>
      </c>
    </row>
    <row r="4557" customFormat="false" ht="15" hidden="false" customHeight="false" outlineLevel="0" collapsed="false">
      <c r="A4557" s="0" t="n">
        <v>4536</v>
      </c>
      <c r="B4557" s="0" t="s">
        <v>86</v>
      </c>
      <c r="C4557" s="17" t="n">
        <v>-0.383577779948091</v>
      </c>
      <c r="D4557" s="17" t="n">
        <f aca="false">(C4557-$B$4)/($B$6/SQRT($B$7))</f>
        <v>-1.91788889974046</v>
      </c>
      <c r="E4557" s="0" t="str">
        <f aca="false">IF(OR(AND($B$9="superior",D4557&gt;$B$10),AND($B$9="inferior",D4557&lt;-$B$10)),"Rechazar H0","No rechazar H0")</f>
        <v>Rechazar H0</v>
      </c>
      <c r="F4557" s="0" t="str">
        <f aca="false">IF(AND(B4557="H0 verdadera",E4557="Rechazar H0"),"Error tipo I",IF(AND(B4557="Ha verdadera",E4557="No rechazar H0"),"Error tipo II","Decisión correcta"))</f>
        <v>Decisión correcta</v>
      </c>
    </row>
    <row r="4558" customFormat="false" ht="15" hidden="false" customHeight="false" outlineLevel="0" collapsed="false">
      <c r="A4558" s="0" t="n">
        <v>4537</v>
      </c>
      <c r="B4558" s="0" t="s">
        <v>86</v>
      </c>
      <c r="C4558" s="17" t="n">
        <v>-0.471942415184661</v>
      </c>
      <c r="D4558" s="17" t="n">
        <f aca="false">(C4558-$B$4)/($B$6/SQRT($B$7))</f>
        <v>-2.35971207592331</v>
      </c>
      <c r="E4558" s="0" t="str">
        <f aca="false">IF(OR(AND($B$9="superior",D4558&gt;$B$10),AND($B$9="inferior",D4558&lt;-$B$10)),"Rechazar H0","No rechazar H0")</f>
        <v>Rechazar H0</v>
      </c>
      <c r="F4558" s="0" t="str">
        <f aca="false">IF(AND(B4558="H0 verdadera",E4558="Rechazar H0"),"Error tipo I",IF(AND(B4558="Ha verdadera",E4558="No rechazar H0"),"Error tipo II","Decisión correcta"))</f>
        <v>Decisión correcta</v>
      </c>
    </row>
    <row r="4559" customFormat="false" ht="15" hidden="false" customHeight="false" outlineLevel="0" collapsed="false">
      <c r="A4559" s="0" t="n">
        <v>4538</v>
      </c>
      <c r="B4559" s="0" t="s">
        <v>86</v>
      </c>
      <c r="C4559" s="17" t="n">
        <v>-0.349980559298381</v>
      </c>
      <c r="D4559" s="17" t="n">
        <f aca="false">(C4559-$B$4)/($B$6/SQRT($B$7))</f>
        <v>-1.7499027964919</v>
      </c>
      <c r="E4559" s="0" t="str">
        <f aca="false">IF(OR(AND($B$9="superior",D4559&gt;$B$10),AND($B$9="inferior",D4559&lt;-$B$10)),"Rechazar H0","No rechazar H0")</f>
        <v>Rechazar H0</v>
      </c>
      <c r="F4559" s="0" t="str">
        <f aca="false">IF(AND(B4559="H0 verdadera",E4559="Rechazar H0"),"Error tipo I",IF(AND(B4559="Ha verdadera",E4559="No rechazar H0"),"Error tipo II","Decisión correcta"))</f>
        <v>Decisión correcta</v>
      </c>
    </row>
    <row r="4560" customFormat="false" ht="15" hidden="false" customHeight="false" outlineLevel="0" collapsed="false">
      <c r="A4560" s="0" t="n">
        <v>4539</v>
      </c>
      <c r="B4560" s="0" t="s">
        <v>85</v>
      </c>
      <c r="C4560" s="17" t="n">
        <v>0.373216441549156</v>
      </c>
      <c r="D4560" s="17" t="n">
        <f aca="false">(C4560-$B$4)/($B$6/SQRT($B$7))</f>
        <v>1.86608220774578</v>
      </c>
      <c r="E4560" s="0" t="str">
        <f aca="false">IF(OR(AND($B$9="superior",D4560&gt;$B$10),AND($B$9="inferior",D4560&lt;-$B$10)),"Rechazar H0","No rechazar H0")</f>
        <v>No rechazar H0</v>
      </c>
      <c r="F4560" s="0" t="str">
        <f aca="false">IF(AND(B4560="H0 verdadera",E4560="Rechazar H0"),"Error tipo I",IF(AND(B4560="Ha verdadera",E4560="No rechazar H0"),"Error tipo II","Decisión correcta"))</f>
        <v>Decisión correcta</v>
      </c>
    </row>
    <row r="4561" customFormat="false" ht="15" hidden="false" customHeight="false" outlineLevel="0" collapsed="false">
      <c r="A4561" s="0" t="n">
        <v>4540</v>
      </c>
      <c r="B4561" s="0" t="s">
        <v>86</v>
      </c>
      <c r="C4561" s="17" t="n">
        <v>-0.374029208213007</v>
      </c>
      <c r="D4561" s="17" t="n">
        <f aca="false">(C4561-$B$4)/($B$6/SQRT($B$7))</f>
        <v>-1.87014604106504</v>
      </c>
      <c r="E4561" s="0" t="str">
        <f aca="false">IF(OR(AND($B$9="superior",D4561&gt;$B$10),AND($B$9="inferior",D4561&lt;-$B$10)),"Rechazar H0","No rechazar H0")</f>
        <v>Rechazar H0</v>
      </c>
      <c r="F4561" s="0" t="str">
        <f aca="false">IF(AND(B4561="H0 verdadera",E4561="Rechazar H0"),"Error tipo I",IF(AND(B4561="Ha verdadera",E4561="No rechazar H0"),"Error tipo II","Decisión correcta"))</f>
        <v>Decisión correcta</v>
      </c>
    </row>
    <row r="4562" customFormat="false" ht="15" hidden="false" customHeight="false" outlineLevel="0" collapsed="false">
      <c r="A4562" s="0" t="n">
        <v>4541</v>
      </c>
      <c r="B4562" s="0" t="s">
        <v>85</v>
      </c>
      <c r="C4562" s="17" t="n">
        <v>-0.0846191135829798</v>
      </c>
      <c r="D4562" s="17" t="n">
        <f aca="false">(C4562-$B$4)/($B$6/SQRT($B$7))</f>
        <v>-0.423095567914899</v>
      </c>
      <c r="E4562" s="0" t="str">
        <f aca="false">IF(OR(AND($B$9="superior",D4562&gt;$B$10),AND($B$9="inferior",D4562&lt;-$B$10)),"Rechazar H0","No rechazar H0")</f>
        <v>No rechazar H0</v>
      </c>
      <c r="F4562" s="0" t="str">
        <f aca="false">IF(AND(B4562="H0 verdadera",E4562="Rechazar H0"),"Error tipo I",IF(AND(B4562="Ha verdadera",E4562="No rechazar H0"),"Error tipo II","Decisión correcta"))</f>
        <v>Decisión correcta</v>
      </c>
    </row>
    <row r="4563" customFormat="false" ht="15" hidden="false" customHeight="false" outlineLevel="0" collapsed="false">
      <c r="A4563" s="0" t="n">
        <v>4542</v>
      </c>
      <c r="B4563" s="0" t="s">
        <v>85</v>
      </c>
      <c r="C4563" s="17" t="n">
        <v>-0.0140749741655167</v>
      </c>
      <c r="D4563" s="17" t="n">
        <f aca="false">(C4563-$B$4)/($B$6/SQRT($B$7))</f>
        <v>-0.0703748708275837</v>
      </c>
      <c r="E4563" s="0" t="str">
        <f aca="false">IF(OR(AND($B$9="superior",D4563&gt;$B$10),AND($B$9="inferior",D4563&lt;-$B$10)),"Rechazar H0","No rechazar H0")</f>
        <v>No rechazar H0</v>
      </c>
      <c r="F4563" s="0" t="str">
        <f aca="false">IF(AND(B4563="H0 verdadera",E4563="Rechazar H0"),"Error tipo I",IF(AND(B4563="Ha verdadera",E4563="No rechazar H0"),"Error tipo II","Decisión correcta"))</f>
        <v>Decisión correcta</v>
      </c>
    </row>
    <row r="4564" customFormat="false" ht="15" hidden="false" customHeight="false" outlineLevel="0" collapsed="false">
      <c r="A4564" s="0" t="n">
        <v>4543</v>
      </c>
      <c r="B4564" s="0" t="s">
        <v>86</v>
      </c>
      <c r="C4564" s="17" t="n">
        <v>-0.245909706875214</v>
      </c>
      <c r="D4564" s="17" t="n">
        <f aca="false">(C4564-$B$4)/($B$6/SQRT($B$7))</f>
        <v>-1.22954853437607</v>
      </c>
      <c r="E4564" s="0" t="str">
        <f aca="false">IF(OR(AND($B$9="superior",D4564&gt;$B$10),AND($B$9="inferior",D4564&lt;-$B$10)),"Rechazar H0","No rechazar H0")</f>
        <v>No rechazar H0</v>
      </c>
      <c r="F4564" s="0" t="str">
        <f aca="false">IF(AND(B4564="H0 verdadera",E4564="Rechazar H0"),"Error tipo I",IF(AND(B4564="Ha verdadera",E4564="No rechazar H0"),"Error tipo II","Decisión correcta"))</f>
        <v>Error tipo II</v>
      </c>
    </row>
    <row r="4565" customFormat="false" ht="15" hidden="false" customHeight="false" outlineLevel="0" collapsed="false">
      <c r="A4565" s="0" t="n">
        <v>4544</v>
      </c>
      <c r="B4565" s="0" t="s">
        <v>85</v>
      </c>
      <c r="C4565" s="17" t="n">
        <v>0.343317126536474</v>
      </c>
      <c r="D4565" s="17" t="n">
        <f aca="false">(C4565-$B$4)/($B$6/SQRT($B$7))</f>
        <v>1.71658563268237</v>
      </c>
      <c r="E4565" s="0" t="str">
        <f aca="false">IF(OR(AND($B$9="superior",D4565&gt;$B$10),AND($B$9="inferior",D4565&lt;-$B$10)),"Rechazar H0","No rechazar H0")</f>
        <v>No rechazar H0</v>
      </c>
      <c r="F4565" s="0" t="str">
        <f aca="false">IF(AND(B4565="H0 verdadera",E4565="Rechazar H0"),"Error tipo I",IF(AND(B4565="Ha verdadera",E4565="No rechazar H0"),"Error tipo II","Decisión correcta"))</f>
        <v>Decisión correcta</v>
      </c>
    </row>
    <row r="4566" customFormat="false" ht="15" hidden="false" customHeight="false" outlineLevel="0" collapsed="false">
      <c r="A4566" s="0" t="n">
        <v>4545</v>
      </c>
      <c r="B4566" s="0" t="s">
        <v>85</v>
      </c>
      <c r="C4566" s="17" t="n">
        <v>-0.243931746115387</v>
      </c>
      <c r="D4566" s="17" t="n">
        <f aca="false">(C4566-$B$4)/($B$6/SQRT($B$7))</f>
        <v>-1.21965873057694</v>
      </c>
      <c r="E4566" s="0" t="str">
        <f aca="false">IF(OR(AND($B$9="superior",D4566&gt;$B$10),AND($B$9="inferior",D4566&lt;-$B$10)),"Rechazar H0","No rechazar H0")</f>
        <v>No rechazar H0</v>
      </c>
      <c r="F4566" s="0" t="str">
        <f aca="false">IF(AND(B4566="H0 verdadera",E4566="Rechazar H0"),"Error tipo I",IF(AND(B4566="Ha verdadera",E4566="No rechazar H0"),"Error tipo II","Decisión correcta"))</f>
        <v>Decisión correcta</v>
      </c>
    </row>
    <row r="4567" customFormat="false" ht="15" hidden="false" customHeight="false" outlineLevel="0" collapsed="false">
      <c r="A4567" s="0" t="n">
        <v>4546</v>
      </c>
      <c r="B4567" s="0" t="s">
        <v>85</v>
      </c>
      <c r="C4567" s="17" t="n">
        <v>-0.0404838067783127</v>
      </c>
      <c r="D4567" s="17" t="n">
        <f aca="false">(C4567-$B$4)/($B$6/SQRT($B$7))</f>
        <v>-0.202419033891563</v>
      </c>
      <c r="E4567" s="0" t="str">
        <f aca="false">IF(OR(AND($B$9="superior",D4567&gt;$B$10),AND($B$9="inferior",D4567&lt;-$B$10)),"Rechazar H0","No rechazar H0")</f>
        <v>No rechazar H0</v>
      </c>
      <c r="F4567" s="0" t="str">
        <f aca="false">IF(AND(B4567="H0 verdadera",E4567="Rechazar H0"),"Error tipo I",IF(AND(B4567="Ha verdadera",E4567="No rechazar H0"),"Error tipo II","Decisión correcta"))</f>
        <v>Decisión correcta</v>
      </c>
    </row>
    <row r="4568" customFormat="false" ht="15" hidden="false" customHeight="false" outlineLevel="0" collapsed="false">
      <c r="A4568" s="0" t="n">
        <v>4547</v>
      </c>
      <c r="B4568" s="0" t="s">
        <v>86</v>
      </c>
      <c r="C4568" s="17" t="n">
        <v>-0.266247801345353</v>
      </c>
      <c r="D4568" s="17" t="n">
        <f aca="false">(C4568-$B$4)/($B$6/SQRT($B$7))</f>
        <v>-1.33123900672676</v>
      </c>
      <c r="E4568" s="0" t="str">
        <f aca="false">IF(OR(AND($B$9="superior",D4568&gt;$B$10),AND($B$9="inferior",D4568&lt;-$B$10)),"Rechazar H0","No rechazar H0")</f>
        <v>No rechazar H0</v>
      </c>
      <c r="F4568" s="0" t="str">
        <f aca="false">IF(AND(B4568="H0 verdadera",E4568="Rechazar H0"),"Error tipo I",IF(AND(B4568="Ha verdadera",E4568="No rechazar H0"),"Error tipo II","Decisión correcta"))</f>
        <v>Error tipo II</v>
      </c>
    </row>
    <row r="4569" customFormat="false" ht="15" hidden="false" customHeight="false" outlineLevel="0" collapsed="false">
      <c r="A4569" s="0" t="n">
        <v>4548</v>
      </c>
      <c r="B4569" s="0" t="s">
        <v>86</v>
      </c>
      <c r="C4569" s="17" t="n">
        <v>-0.177224961660397</v>
      </c>
      <c r="D4569" s="17" t="n">
        <f aca="false">(C4569-$B$4)/($B$6/SQRT($B$7))</f>
        <v>-0.886124808301983</v>
      </c>
      <c r="E4569" s="0" t="str">
        <f aca="false">IF(OR(AND($B$9="superior",D4569&gt;$B$10),AND($B$9="inferior",D4569&lt;-$B$10)),"Rechazar H0","No rechazar H0")</f>
        <v>No rechazar H0</v>
      </c>
      <c r="F4569" s="0" t="str">
        <f aca="false">IF(AND(B4569="H0 verdadera",E4569="Rechazar H0"),"Error tipo I",IF(AND(B4569="Ha verdadera",E4569="No rechazar H0"),"Error tipo II","Decisión correcta"))</f>
        <v>Error tipo II</v>
      </c>
    </row>
    <row r="4570" customFormat="false" ht="15" hidden="false" customHeight="false" outlineLevel="0" collapsed="false">
      <c r="A4570" s="0" t="n">
        <v>4549</v>
      </c>
      <c r="B4570" s="0" t="s">
        <v>86</v>
      </c>
      <c r="C4570" s="17" t="n">
        <v>-0.729331782850369</v>
      </c>
      <c r="D4570" s="17" t="n">
        <f aca="false">(C4570-$B$4)/($B$6/SQRT($B$7))</f>
        <v>-3.64665891425185</v>
      </c>
      <c r="E4570" s="0" t="str">
        <f aca="false">IF(OR(AND($B$9="superior",D4570&gt;$B$10),AND($B$9="inferior",D4570&lt;-$B$10)),"Rechazar H0","No rechazar H0")</f>
        <v>Rechazar H0</v>
      </c>
      <c r="F4570" s="0" t="str">
        <f aca="false">IF(AND(B4570="H0 verdadera",E4570="Rechazar H0"),"Error tipo I",IF(AND(B4570="Ha verdadera",E4570="No rechazar H0"),"Error tipo II","Decisión correcta"))</f>
        <v>Decisión correcta</v>
      </c>
    </row>
    <row r="4571" customFormat="false" ht="15" hidden="false" customHeight="false" outlineLevel="0" collapsed="false">
      <c r="A4571" s="0" t="n">
        <v>4550</v>
      </c>
      <c r="B4571" s="0" t="s">
        <v>86</v>
      </c>
      <c r="C4571" s="17" t="n">
        <v>-0.587045392884544</v>
      </c>
      <c r="D4571" s="17" t="n">
        <f aca="false">(C4571-$B$4)/($B$6/SQRT($B$7))</f>
        <v>-2.93522696442272</v>
      </c>
      <c r="E4571" s="0" t="str">
        <f aca="false">IF(OR(AND($B$9="superior",D4571&gt;$B$10),AND($B$9="inferior",D4571&lt;-$B$10)),"Rechazar H0","No rechazar H0")</f>
        <v>Rechazar H0</v>
      </c>
      <c r="F4571" s="0" t="str">
        <f aca="false">IF(AND(B4571="H0 verdadera",E4571="Rechazar H0"),"Error tipo I",IF(AND(B4571="Ha verdadera",E4571="No rechazar H0"),"Error tipo II","Decisión correcta"))</f>
        <v>Decisión correcta</v>
      </c>
    </row>
    <row r="4572" customFormat="false" ht="15" hidden="false" customHeight="false" outlineLevel="0" collapsed="false">
      <c r="A4572" s="0" t="n">
        <v>4551</v>
      </c>
      <c r="B4572" s="0" t="s">
        <v>86</v>
      </c>
      <c r="C4572" s="17" t="n">
        <v>-0.605113734874404</v>
      </c>
      <c r="D4572" s="17" t="n">
        <f aca="false">(C4572-$B$4)/($B$6/SQRT($B$7))</f>
        <v>-3.02556867437202</v>
      </c>
      <c r="E4572" s="0" t="str">
        <f aca="false">IF(OR(AND($B$9="superior",D4572&gt;$B$10),AND($B$9="inferior",D4572&lt;-$B$10)),"Rechazar H0","No rechazar H0")</f>
        <v>Rechazar H0</v>
      </c>
      <c r="F4572" s="0" t="str">
        <f aca="false">IF(AND(B4572="H0 verdadera",E4572="Rechazar H0"),"Error tipo I",IF(AND(B4572="Ha verdadera",E4572="No rechazar H0"),"Error tipo II","Decisión correcta"))</f>
        <v>Decisión correcta</v>
      </c>
    </row>
    <row r="4573" customFormat="false" ht="15" hidden="false" customHeight="false" outlineLevel="0" collapsed="false">
      <c r="A4573" s="0" t="n">
        <v>4552</v>
      </c>
      <c r="B4573" s="0" t="s">
        <v>86</v>
      </c>
      <c r="C4573" s="17" t="n">
        <v>-0.644381954963422</v>
      </c>
      <c r="D4573" s="17" t="n">
        <f aca="false">(C4573-$B$4)/($B$6/SQRT($B$7))</f>
        <v>-3.22190977481711</v>
      </c>
      <c r="E4573" s="0" t="str">
        <f aca="false">IF(OR(AND($B$9="superior",D4573&gt;$B$10),AND($B$9="inferior",D4573&lt;-$B$10)),"Rechazar H0","No rechazar H0")</f>
        <v>Rechazar H0</v>
      </c>
      <c r="F4573" s="0" t="str">
        <f aca="false">IF(AND(B4573="H0 verdadera",E4573="Rechazar H0"),"Error tipo I",IF(AND(B4573="Ha verdadera",E4573="No rechazar H0"),"Error tipo II","Decisión correcta"))</f>
        <v>Decisión correcta</v>
      </c>
    </row>
    <row r="4574" customFormat="false" ht="15" hidden="false" customHeight="false" outlineLevel="0" collapsed="false">
      <c r="A4574" s="0" t="n">
        <v>4553</v>
      </c>
      <c r="B4574" s="0" t="s">
        <v>86</v>
      </c>
      <c r="C4574" s="17" t="n">
        <v>-0.416466030791368</v>
      </c>
      <c r="D4574" s="17" t="n">
        <f aca="false">(C4574-$B$4)/($B$6/SQRT($B$7))</f>
        <v>-2.08233015395684</v>
      </c>
      <c r="E4574" s="0" t="str">
        <f aca="false">IF(OR(AND($B$9="superior",D4574&gt;$B$10),AND($B$9="inferior",D4574&lt;-$B$10)),"Rechazar H0","No rechazar H0")</f>
        <v>Rechazar H0</v>
      </c>
      <c r="F4574" s="0" t="str">
        <f aca="false">IF(AND(B4574="H0 verdadera",E4574="Rechazar H0"),"Error tipo I",IF(AND(B4574="Ha verdadera",E4574="No rechazar H0"),"Error tipo II","Decisión correcta"))</f>
        <v>Decisión correcta</v>
      </c>
    </row>
    <row r="4575" customFormat="false" ht="15" hidden="false" customHeight="false" outlineLevel="0" collapsed="false">
      <c r="A4575" s="0" t="n">
        <v>4554</v>
      </c>
      <c r="B4575" s="0" t="s">
        <v>86</v>
      </c>
      <c r="C4575" s="17" t="n">
        <v>-0.168853402226769</v>
      </c>
      <c r="D4575" s="17" t="n">
        <f aca="false">(C4575-$B$4)/($B$6/SQRT($B$7))</f>
        <v>-0.844267011133843</v>
      </c>
      <c r="E4575" s="0" t="str">
        <f aca="false">IF(OR(AND($B$9="superior",D4575&gt;$B$10),AND($B$9="inferior",D4575&lt;-$B$10)),"Rechazar H0","No rechazar H0")</f>
        <v>No rechazar H0</v>
      </c>
      <c r="F4575" s="0" t="str">
        <f aca="false">IF(AND(B4575="H0 verdadera",E4575="Rechazar H0"),"Error tipo I",IF(AND(B4575="Ha verdadera",E4575="No rechazar H0"),"Error tipo II","Decisión correcta"))</f>
        <v>Error tipo II</v>
      </c>
    </row>
    <row r="4576" customFormat="false" ht="15" hidden="false" customHeight="false" outlineLevel="0" collapsed="false">
      <c r="A4576" s="0" t="n">
        <v>4555</v>
      </c>
      <c r="B4576" s="0" t="s">
        <v>86</v>
      </c>
      <c r="C4576" s="17" t="n">
        <v>-0.290237227473415</v>
      </c>
      <c r="D4576" s="17" t="n">
        <f aca="false">(C4576-$B$4)/($B$6/SQRT($B$7))</f>
        <v>-1.45118613736707</v>
      </c>
      <c r="E4576" s="0" t="str">
        <f aca="false">IF(OR(AND($B$9="superior",D4576&gt;$B$10),AND($B$9="inferior",D4576&lt;-$B$10)),"Rechazar H0","No rechazar H0")</f>
        <v>No rechazar H0</v>
      </c>
      <c r="F4576" s="0" t="str">
        <f aca="false">IF(AND(B4576="H0 verdadera",E4576="Rechazar H0"),"Error tipo I",IF(AND(B4576="Ha verdadera",E4576="No rechazar H0"),"Error tipo II","Decisión correcta"))</f>
        <v>Error tipo II</v>
      </c>
    </row>
    <row r="4577" customFormat="false" ht="15" hidden="false" customHeight="false" outlineLevel="0" collapsed="false">
      <c r="A4577" s="0" t="n">
        <v>4556</v>
      </c>
      <c r="B4577" s="0" t="s">
        <v>85</v>
      </c>
      <c r="C4577" s="17" t="n">
        <v>-0.0237746378369246</v>
      </c>
      <c r="D4577" s="17" t="n">
        <f aca="false">(C4577-$B$4)/($B$6/SQRT($B$7))</f>
        <v>-0.118873189184623</v>
      </c>
      <c r="E4577" s="0" t="str">
        <f aca="false">IF(OR(AND($B$9="superior",D4577&gt;$B$10),AND($B$9="inferior",D4577&lt;-$B$10)),"Rechazar H0","No rechazar H0")</f>
        <v>No rechazar H0</v>
      </c>
      <c r="F4577" s="0" t="str">
        <f aca="false">IF(AND(B4577="H0 verdadera",E4577="Rechazar H0"),"Error tipo I",IF(AND(B4577="Ha verdadera",E4577="No rechazar H0"),"Error tipo II","Decisión correcta"))</f>
        <v>Decisión correcta</v>
      </c>
    </row>
    <row r="4578" customFormat="false" ht="15" hidden="false" customHeight="false" outlineLevel="0" collapsed="false">
      <c r="A4578" s="0" t="n">
        <v>4557</v>
      </c>
      <c r="B4578" s="0" t="s">
        <v>86</v>
      </c>
      <c r="C4578" s="17" t="n">
        <v>-0.286250716869616</v>
      </c>
      <c r="D4578" s="17" t="n">
        <f aca="false">(C4578-$B$4)/($B$6/SQRT($B$7))</f>
        <v>-1.43125358434808</v>
      </c>
      <c r="E4578" s="0" t="str">
        <f aca="false">IF(OR(AND($B$9="superior",D4578&gt;$B$10),AND($B$9="inferior",D4578&lt;-$B$10)),"Rechazar H0","No rechazar H0")</f>
        <v>No rechazar H0</v>
      </c>
      <c r="F4578" s="0" t="str">
        <f aca="false">IF(AND(B4578="H0 verdadera",E4578="Rechazar H0"),"Error tipo I",IF(AND(B4578="Ha verdadera",E4578="No rechazar H0"),"Error tipo II","Decisión correcta"))</f>
        <v>Error tipo II</v>
      </c>
    </row>
    <row r="4579" customFormat="false" ht="15" hidden="false" customHeight="false" outlineLevel="0" collapsed="false">
      <c r="A4579" s="0" t="n">
        <v>4558</v>
      </c>
      <c r="B4579" s="0" t="s">
        <v>85</v>
      </c>
      <c r="C4579" s="17" t="n">
        <v>-0.083863723771269</v>
      </c>
      <c r="D4579" s="17" t="n">
        <f aca="false">(C4579-$B$4)/($B$6/SQRT($B$7))</f>
        <v>-0.419318618856345</v>
      </c>
      <c r="E4579" s="0" t="str">
        <f aca="false">IF(OR(AND($B$9="superior",D4579&gt;$B$10),AND($B$9="inferior",D4579&lt;-$B$10)),"Rechazar H0","No rechazar H0")</f>
        <v>No rechazar H0</v>
      </c>
      <c r="F4579" s="0" t="str">
        <f aca="false">IF(AND(B4579="H0 verdadera",E4579="Rechazar H0"),"Error tipo I",IF(AND(B4579="Ha verdadera",E4579="No rechazar H0"),"Error tipo II","Decisión correcta"))</f>
        <v>Decisión correcta</v>
      </c>
    </row>
    <row r="4580" customFormat="false" ht="15" hidden="false" customHeight="false" outlineLevel="0" collapsed="false">
      <c r="A4580" s="0" t="n">
        <v>4559</v>
      </c>
      <c r="B4580" s="0" t="s">
        <v>85</v>
      </c>
      <c r="C4580" s="17" t="n">
        <v>0.329245494099211</v>
      </c>
      <c r="D4580" s="17" t="n">
        <f aca="false">(C4580-$B$4)/($B$6/SQRT($B$7))</f>
        <v>1.64622747049606</v>
      </c>
      <c r="E4580" s="0" t="str">
        <f aca="false">IF(OR(AND($B$9="superior",D4580&gt;$B$10),AND($B$9="inferior",D4580&lt;-$B$10)),"Rechazar H0","No rechazar H0")</f>
        <v>No rechazar H0</v>
      </c>
      <c r="F4580" s="0" t="str">
        <f aca="false">IF(AND(B4580="H0 verdadera",E4580="Rechazar H0"),"Error tipo I",IF(AND(B4580="Ha verdadera",E4580="No rechazar H0"),"Error tipo II","Decisión correcta"))</f>
        <v>Decisión correcta</v>
      </c>
    </row>
    <row r="4581" customFormat="false" ht="15" hidden="false" customHeight="false" outlineLevel="0" collapsed="false">
      <c r="A4581" s="0" t="n">
        <v>4560</v>
      </c>
      <c r="B4581" s="0" t="s">
        <v>85</v>
      </c>
      <c r="C4581" s="17" t="n">
        <v>0.467206021287039</v>
      </c>
      <c r="D4581" s="17" t="n">
        <f aca="false">(C4581-$B$4)/($B$6/SQRT($B$7))</f>
        <v>2.3360301064352</v>
      </c>
      <c r="E4581" s="0" t="str">
        <f aca="false">IF(OR(AND($B$9="superior",D4581&gt;$B$10),AND($B$9="inferior",D4581&lt;-$B$10)),"Rechazar H0","No rechazar H0")</f>
        <v>No rechazar H0</v>
      </c>
      <c r="F4581" s="0" t="str">
        <f aca="false">IF(AND(B4581="H0 verdadera",E4581="Rechazar H0"),"Error tipo I",IF(AND(B4581="Ha verdadera",E4581="No rechazar H0"),"Error tipo II","Decisión correcta"))</f>
        <v>Decisión correcta</v>
      </c>
    </row>
    <row r="4582" customFormat="false" ht="15" hidden="false" customHeight="false" outlineLevel="0" collapsed="false">
      <c r="A4582" s="0" t="n">
        <v>4561</v>
      </c>
      <c r="B4582" s="0" t="s">
        <v>85</v>
      </c>
      <c r="C4582" s="17" t="n">
        <v>0.282043678306339</v>
      </c>
      <c r="D4582" s="17" t="n">
        <f aca="false">(C4582-$B$4)/($B$6/SQRT($B$7))</f>
        <v>1.4102183915317</v>
      </c>
      <c r="E4582" s="0" t="str">
        <f aca="false">IF(OR(AND($B$9="superior",D4582&gt;$B$10),AND($B$9="inferior",D4582&lt;-$B$10)),"Rechazar H0","No rechazar H0")</f>
        <v>No rechazar H0</v>
      </c>
      <c r="F4582" s="0" t="str">
        <f aca="false">IF(AND(B4582="H0 verdadera",E4582="Rechazar H0"),"Error tipo I",IF(AND(B4582="Ha verdadera",E4582="No rechazar H0"),"Error tipo II","Decisión correcta"))</f>
        <v>Decisión correcta</v>
      </c>
    </row>
    <row r="4583" customFormat="false" ht="15" hidden="false" customHeight="false" outlineLevel="0" collapsed="false">
      <c r="A4583" s="0" t="n">
        <v>4562</v>
      </c>
      <c r="B4583" s="0" t="s">
        <v>85</v>
      </c>
      <c r="C4583" s="17" t="n">
        <v>0.0670569942264795</v>
      </c>
      <c r="D4583" s="17" t="n">
        <f aca="false">(C4583-$B$4)/($B$6/SQRT($B$7))</f>
        <v>0.335284971132397</v>
      </c>
      <c r="E4583" s="0" t="str">
        <f aca="false">IF(OR(AND($B$9="superior",D4583&gt;$B$10),AND($B$9="inferior",D4583&lt;-$B$10)),"Rechazar H0","No rechazar H0")</f>
        <v>No rechazar H0</v>
      </c>
      <c r="F4583" s="0" t="str">
        <f aca="false">IF(AND(B4583="H0 verdadera",E4583="Rechazar H0"),"Error tipo I",IF(AND(B4583="Ha verdadera",E4583="No rechazar H0"),"Error tipo II","Decisión correcta"))</f>
        <v>Decisión correcta</v>
      </c>
    </row>
    <row r="4584" customFormat="false" ht="15" hidden="false" customHeight="false" outlineLevel="0" collapsed="false">
      <c r="A4584" s="0" t="n">
        <v>4563</v>
      </c>
      <c r="B4584" s="0" t="s">
        <v>85</v>
      </c>
      <c r="C4584" s="17" t="n">
        <v>0.0480412455930259</v>
      </c>
      <c r="D4584" s="17" t="n">
        <f aca="false">(C4584-$B$4)/($B$6/SQRT($B$7))</f>
        <v>0.240206227965129</v>
      </c>
      <c r="E4584" s="0" t="str">
        <f aca="false">IF(OR(AND($B$9="superior",D4584&gt;$B$10),AND($B$9="inferior",D4584&lt;-$B$10)),"Rechazar H0","No rechazar H0")</f>
        <v>No rechazar H0</v>
      </c>
      <c r="F4584" s="0" t="str">
        <f aca="false">IF(AND(B4584="H0 verdadera",E4584="Rechazar H0"),"Error tipo I",IF(AND(B4584="Ha verdadera",E4584="No rechazar H0"),"Error tipo II","Decisión correcta"))</f>
        <v>Decisión correcta</v>
      </c>
    </row>
    <row r="4585" customFormat="false" ht="15" hidden="false" customHeight="false" outlineLevel="0" collapsed="false">
      <c r="A4585" s="0" t="n">
        <v>4564</v>
      </c>
      <c r="B4585" s="0" t="s">
        <v>86</v>
      </c>
      <c r="C4585" s="17" t="n">
        <v>-0.1234390355851</v>
      </c>
      <c r="D4585" s="17" t="n">
        <f aca="false">(C4585-$B$4)/($B$6/SQRT($B$7))</f>
        <v>-0.617195177925498</v>
      </c>
      <c r="E4585" s="0" t="str">
        <f aca="false">IF(OR(AND($B$9="superior",D4585&gt;$B$10),AND($B$9="inferior",D4585&lt;-$B$10)),"Rechazar H0","No rechazar H0")</f>
        <v>No rechazar H0</v>
      </c>
      <c r="F4585" s="0" t="str">
        <f aca="false">IF(AND(B4585="H0 verdadera",E4585="Rechazar H0"),"Error tipo I",IF(AND(B4585="Ha verdadera",E4585="No rechazar H0"),"Error tipo II","Decisión correcta"))</f>
        <v>Error tipo II</v>
      </c>
    </row>
    <row r="4586" customFormat="false" ht="15" hidden="false" customHeight="false" outlineLevel="0" collapsed="false">
      <c r="A4586" s="0" t="n">
        <v>4565</v>
      </c>
      <c r="B4586" s="0" t="s">
        <v>85</v>
      </c>
      <c r="C4586" s="17" t="n">
        <v>-0.0154247812497589</v>
      </c>
      <c r="D4586" s="17" t="n">
        <f aca="false">(C4586-$B$4)/($B$6/SQRT($B$7))</f>
        <v>-0.0771239062487944</v>
      </c>
      <c r="E4586" s="0" t="str">
        <f aca="false">IF(OR(AND($B$9="superior",D4586&gt;$B$10),AND($B$9="inferior",D4586&lt;-$B$10)),"Rechazar H0","No rechazar H0")</f>
        <v>No rechazar H0</v>
      </c>
      <c r="F4586" s="0" t="str">
        <f aca="false">IF(AND(B4586="H0 verdadera",E4586="Rechazar H0"),"Error tipo I",IF(AND(B4586="Ha verdadera",E4586="No rechazar H0"),"Error tipo II","Decisión correcta"))</f>
        <v>Decisión correcta</v>
      </c>
    </row>
    <row r="4587" customFormat="false" ht="15" hidden="false" customHeight="false" outlineLevel="0" collapsed="false">
      <c r="A4587" s="0" t="n">
        <v>4566</v>
      </c>
      <c r="B4587" s="0" t="s">
        <v>85</v>
      </c>
      <c r="C4587" s="17" t="n">
        <v>-0.151923977777464</v>
      </c>
      <c r="D4587" s="17" t="n">
        <f aca="false">(C4587-$B$4)/($B$6/SQRT($B$7))</f>
        <v>-0.759619888887321</v>
      </c>
      <c r="E4587" s="0" t="str">
        <f aca="false">IF(OR(AND($B$9="superior",D4587&gt;$B$10),AND($B$9="inferior",D4587&lt;-$B$10)),"Rechazar H0","No rechazar H0")</f>
        <v>No rechazar H0</v>
      </c>
      <c r="F4587" s="0" t="str">
        <f aca="false">IF(AND(B4587="H0 verdadera",E4587="Rechazar H0"),"Error tipo I",IF(AND(B4587="Ha verdadera",E4587="No rechazar H0"),"Error tipo II","Decisión correcta"))</f>
        <v>Decisión correcta</v>
      </c>
    </row>
    <row r="4588" customFormat="false" ht="15" hidden="false" customHeight="false" outlineLevel="0" collapsed="false">
      <c r="A4588" s="0" t="n">
        <v>4567</v>
      </c>
      <c r="B4588" s="0" t="s">
        <v>86</v>
      </c>
      <c r="C4588" s="17" t="n">
        <v>-0.116926941444834</v>
      </c>
      <c r="D4588" s="17" t="n">
        <f aca="false">(C4588-$B$4)/($B$6/SQRT($B$7))</f>
        <v>-0.584634707224168</v>
      </c>
      <c r="E4588" s="0" t="str">
        <f aca="false">IF(OR(AND($B$9="superior",D4588&gt;$B$10),AND($B$9="inferior",D4588&lt;-$B$10)),"Rechazar H0","No rechazar H0")</f>
        <v>No rechazar H0</v>
      </c>
      <c r="F4588" s="0" t="str">
        <f aca="false">IF(AND(B4588="H0 verdadera",E4588="Rechazar H0"),"Error tipo I",IF(AND(B4588="Ha verdadera",E4588="No rechazar H0"),"Error tipo II","Decisión correcta"))</f>
        <v>Error tipo II</v>
      </c>
    </row>
    <row r="4589" customFormat="false" ht="15" hidden="false" customHeight="false" outlineLevel="0" collapsed="false">
      <c r="A4589" s="0" t="n">
        <v>4568</v>
      </c>
      <c r="B4589" s="0" t="s">
        <v>85</v>
      </c>
      <c r="C4589" s="17" t="n">
        <v>-0.134488451071511</v>
      </c>
      <c r="D4589" s="17" t="n">
        <f aca="false">(C4589-$B$4)/($B$6/SQRT($B$7))</f>
        <v>-0.672442255357556</v>
      </c>
      <c r="E4589" s="0" t="str">
        <f aca="false">IF(OR(AND($B$9="superior",D4589&gt;$B$10),AND($B$9="inferior",D4589&lt;-$B$10)),"Rechazar H0","No rechazar H0")</f>
        <v>No rechazar H0</v>
      </c>
      <c r="F4589" s="0" t="str">
        <f aca="false">IF(AND(B4589="H0 verdadera",E4589="Rechazar H0"),"Error tipo I",IF(AND(B4589="Ha verdadera",E4589="No rechazar H0"),"Error tipo II","Decisión correcta"))</f>
        <v>Decisión correcta</v>
      </c>
    </row>
    <row r="4590" customFormat="false" ht="15" hidden="false" customHeight="false" outlineLevel="0" collapsed="false">
      <c r="A4590" s="0" t="n">
        <v>4569</v>
      </c>
      <c r="B4590" s="0" t="s">
        <v>85</v>
      </c>
      <c r="C4590" s="17" t="n">
        <v>-0.331856563473804</v>
      </c>
      <c r="D4590" s="17" t="n">
        <f aca="false">(C4590-$B$4)/($B$6/SQRT($B$7))</f>
        <v>-1.65928281736902</v>
      </c>
      <c r="E4590" s="0" t="str">
        <f aca="false">IF(OR(AND($B$9="superior",D4590&gt;$B$10),AND($B$9="inferior",D4590&lt;-$B$10)),"Rechazar H0","No rechazar H0")</f>
        <v>Rechazar H0</v>
      </c>
      <c r="F4590" s="0" t="str">
        <f aca="false">IF(AND(B4590="H0 verdadera",E4590="Rechazar H0"),"Error tipo I",IF(AND(B4590="Ha verdadera",E4590="No rechazar H0"),"Error tipo II","Decisión correcta"))</f>
        <v>Error tipo I</v>
      </c>
    </row>
    <row r="4591" customFormat="false" ht="15" hidden="false" customHeight="false" outlineLevel="0" collapsed="false">
      <c r="A4591" s="0" t="n">
        <v>4570</v>
      </c>
      <c r="B4591" s="0" t="s">
        <v>85</v>
      </c>
      <c r="C4591" s="17" t="n">
        <v>-0.117966140667362</v>
      </c>
      <c r="D4591" s="17" t="n">
        <f aca="false">(C4591-$B$4)/($B$6/SQRT($B$7))</f>
        <v>-0.589830703336809</v>
      </c>
      <c r="E4591" s="0" t="str">
        <f aca="false">IF(OR(AND($B$9="superior",D4591&gt;$B$10),AND($B$9="inferior",D4591&lt;-$B$10)),"Rechazar H0","No rechazar H0")</f>
        <v>No rechazar H0</v>
      </c>
      <c r="F4591" s="0" t="str">
        <f aca="false">IF(AND(B4591="H0 verdadera",E4591="Rechazar H0"),"Error tipo I",IF(AND(B4591="Ha verdadera",E4591="No rechazar H0"),"Error tipo II","Decisión correcta"))</f>
        <v>Decisión correcta</v>
      </c>
    </row>
    <row r="4592" customFormat="false" ht="15" hidden="false" customHeight="false" outlineLevel="0" collapsed="false">
      <c r="A4592" s="0" t="n">
        <v>4571</v>
      </c>
      <c r="B4592" s="0" t="s">
        <v>86</v>
      </c>
      <c r="C4592" s="17" t="n">
        <v>-0.00385247610109795</v>
      </c>
      <c r="D4592" s="17" t="n">
        <f aca="false">(C4592-$B$4)/($B$6/SQRT($B$7))</f>
        <v>-0.0192623805054897</v>
      </c>
      <c r="E4592" s="0" t="str">
        <f aca="false">IF(OR(AND($B$9="superior",D4592&gt;$B$10),AND($B$9="inferior",D4592&lt;-$B$10)),"Rechazar H0","No rechazar H0")</f>
        <v>No rechazar H0</v>
      </c>
      <c r="F4592" s="0" t="str">
        <f aca="false">IF(AND(B4592="H0 verdadera",E4592="Rechazar H0"),"Error tipo I",IF(AND(B4592="Ha verdadera",E4592="No rechazar H0"),"Error tipo II","Decisión correcta"))</f>
        <v>Error tipo II</v>
      </c>
    </row>
    <row r="4593" customFormat="false" ht="15" hidden="false" customHeight="false" outlineLevel="0" collapsed="false">
      <c r="A4593" s="0" t="n">
        <v>4572</v>
      </c>
      <c r="B4593" s="0" t="s">
        <v>86</v>
      </c>
      <c r="C4593" s="17" t="n">
        <v>-0.0825977477712994</v>
      </c>
      <c r="D4593" s="17" t="n">
        <f aca="false">(C4593-$B$4)/($B$6/SQRT($B$7))</f>
        <v>-0.412988738856497</v>
      </c>
      <c r="E4593" s="0" t="str">
        <f aca="false">IF(OR(AND($B$9="superior",D4593&gt;$B$10),AND($B$9="inferior",D4593&lt;-$B$10)),"Rechazar H0","No rechazar H0")</f>
        <v>No rechazar H0</v>
      </c>
      <c r="F4593" s="0" t="str">
        <f aca="false">IF(AND(B4593="H0 verdadera",E4593="Rechazar H0"),"Error tipo I",IF(AND(B4593="Ha verdadera",E4593="No rechazar H0"),"Error tipo II","Decisión correcta"))</f>
        <v>Error tipo II</v>
      </c>
    </row>
    <row r="4594" customFormat="false" ht="15" hidden="false" customHeight="false" outlineLevel="0" collapsed="false">
      <c r="A4594" s="0" t="n">
        <v>4573</v>
      </c>
      <c r="B4594" s="0" t="s">
        <v>85</v>
      </c>
      <c r="C4594" s="17" t="n">
        <v>0.187115117471076</v>
      </c>
      <c r="D4594" s="17" t="n">
        <f aca="false">(C4594-$B$4)/($B$6/SQRT($B$7))</f>
        <v>0.935575587355382</v>
      </c>
      <c r="E4594" s="0" t="str">
        <f aca="false">IF(OR(AND($B$9="superior",D4594&gt;$B$10),AND($B$9="inferior",D4594&lt;-$B$10)),"Rechazar H0","No rechazar H0")</f>
        <v>No rechazar H0</v>
      </c>
      <c r="F4594" s="0" t="str">
        <f aca="false">IF(AND(B4594="H0 verdadera",E4594="Rechazar H0"),"Error tipo I",IF(AND(B4594="Ha verdadera",E4594="No rechazar H0"),"Error tipo II","Decisión correcta"))</f>
        <v>Decisión correcta</v>
      </c>
    </row>
    <row r="4595" customFormat="false" ht="15" hidden="false" customHeight="false" outlineLevel="0" collapsed="false">
      <c r="A4595" s="0" t="n">
        <v>4574</v>
      </c>
      <c r="B4595" s="0" t="s">
        <v>86</v>
      </c>
      <c r="C4595" s="17" t="n">
        <v>-0.322559836725163</v>
      </c>
      <c r="D4595" s="17" t="n">
        <f aca="false">(C4595-$B$4)/($B$6/SQRT($B$7))</f>
        <v>-1.61279918362581</v>
      </c>
      <c r="E4595" s="0" t="str">
        <f aca="false">IF(OR(AND($B$9="superior",D4595&gt;$B$10),AND($B$9="inferior",D4595&lt;-$B$10)),"Rechazar H0","No rechazar H0")</f>
        <v>No rechazar H0</v>
      </c>
      <c r="F4595" s="0" t="str">
        <f aca="false">IF(AND(B4595="H0 verdadera",E4595="Rechazar H0"),"Error tipo I",IF(AND(B4595="Ha verdadera",E4595="No rechazar H0"),"Error tipo II","Decisión correcta"))</f>
        <v>Error tipo II</v>
      </c>
    </row>
    <row r="4596" customFormat="false" ht="15" hidden="false" customHeight="false" outlineLevel="0" collapsed="false">
      <c r="A4596" s="0" t="n">
        <v>4575</v>
      </c>
      <c r="B4596" s="0" t="s">
        <v>85</v>
      </c>
      <c r="C4596" s="17" t="n">
        <v>0.299443008271446</v>
      </c>
      <c r="D4596" s="17" t="n">
        <f aca="false">(C4596-$B$4)/($B$6/SQRT($B$7))</f>
        <v>1.49721504135723</v>
      </c>
      <c r="E4596" s="0" t="str">
        <f aca="false">IF(OR(AND($B$9="superior",D4596&gt;$B$10),AND($B$9="inferior",D4596&lt;-$B$10)),"Rechazar H0","No rechazar H0")</f>
        <v>No rechazar H0</v>
      </c>
      <c r="F4596" s="0" t="str">
        <f aca="false">IF(AND(B4596="H0 verdadera",E4596="Rechazar H0"),"Error tipo I",IF(AND(B4596="Ha verdadera",E4596="No rechazar H0"),"Error tipo II","Decisión correcta"))</f>
        <v>Decisión correcta</v>
      </c>
    </row>
    <row r="4597" customFormat="false" ht="15" hidden="false" customHeight="false" outlineLevel="0" collapsed="false">
      <c r="A4597" s="0" t="n">
        <v>4576</v>
      </c>
      <c r="B4597" s="0" t="s">
        <v>86</v>
      </c>
      <c r="C4597" s="17" t="n">
        <v>-0.259124874912747</v>
      </c>
      <c r="D4597" s="17" t="n">
        <f aca="false">(C4597-$B$4)/($B$6/SQRT($B$7))</f>
        <v>-1.29562437456373</v>
      </c>
      <c r="E4597" s="0" t="str">
        <f aca="false">IF(OR(AND($B$9="superior",D4597&gt;$B$10),AND($B$9="inferior",D4597&lt;-$B$10)),"Rechazar H0","No rechazar H0")</f>
        <v>No rechazar H0</v>
      </c>
      <c r="F4597" s="0" t="str">
        <f aca="false">IF(AND(B4597="H0 verdadera",E4597="Rechazar H0"),"Error tipo I",IF(AND(B4597="Ha verdadera",E4597="No rechazar H0"),"Error tipo II","Decisión correcta"))</f>
        <v>Error tipo II</v>
      </c>
    </row>
    <row r="4598" customFormat="false" ht="15" hidden="false" customHeight="false" outlineLevel="0" collapsed="false">
      <c r="A4598" s="0" t="n">
        <v>4577</v>
      </c>
      <c r="B4598" s="0" t="s">
        <v>85</v>
      </c>
      <c r="C4598" s="17" t="n">
        <v>-0.10581287774034</v>
      </c>
      <c r="D4598" s="17" t="n">
        <f aca="false">(C4598-$B$4)/($B$6/SQRT($B$7))</f>
        <v>-0.5290643887017</v>
      </c>
      <c r="E4598" s="0" t="str">
        <f aca="false">IF(OR(AND($B$9="superior",D4598&gt;$B$10),AND($B$9="inferior",D4598&lt;-$B$10)),"Rechazar H0","No rechazar H0")</f>
        <v>No rechazar H0</v>
      </c>
      <c r="F4598" s="0" t="str">
        <f aca="false">IF(AND(B4598="H0 verdadera",E4598="Rechazar H0"),"Error tipo I",IF(AND(B4598="Ha verdadera",E4598="No rechazar H0"),"Error tipo II","Decisión correcta"))</f>
        <v>Decisión correcta</v>
      </c>
    </row>
    <row r="4599" customFormat="false" ht="15" hidden="false" customHeight="false" outlineLevel="0" collapsed="false">
      <c r="A4599" s="0" t="n">
        <v>4578</v>
      </c>
      <c r="B4599" s="0" t="s">
        <v>86</v>
      </c>
      <c r="C4599" s="17" t="n">
        <v>-0.40098178511661</v>
      </c>
      <c r="D4599" s="17" t="n">
        <f aca="false">(C4599-$B$4)/($B$6/SQRT($B$7))</f>
        <v>-2.00490892558305</v>
      </c>
      <c r="E4599" s="0" t="str">
        <f aca="false">IF(OR(AND($B$9="superior",D4599&gt;$B$10),AND($B$9="inferior",D4599&lt;-$B$10)),"Rechazar H0","No rechazar H0")</f>
        <v>Rechazar H0</v>
      </c>
      <c r="F4599" s="0" t="str">
        <f aca="false">IF(AND(B4599="H0 verdadera",E4599="Rechazar H0"),"Error tipo I",IF(AND(B4599="Ha verdadera",E4599="No rechazar H0"),"Error tipo II","Decisión correcta"))</f>
        <v>Decisión correcta</v>
      </c>
    </row>
    <row r="4600" customFormat="false" ht="15" hidden="false" customHeight="false" outlineLevel="0" collapsed="false">
      <c r="A4600" s="0" t="n">
        <v>4579</v>
      </c>
      <c r="B4600" s="0" t="s">
        <v>86</v>
      </c>
      <c r="C4600" s="17" t="n">
        <v>-0.436761041029014</v>
      </c>
      <c r="D4600" s="17" t="n">
        <f aca="false">(C4600-$B$4)/($B$6/SQRT($B$7))</f>
        <v>-2.18380520514507</v>
      </c>
      <c r="E4600" s="0" t="str">
        <f aca="false">IF(OR(AND($B$9="superior",D4600&gt;$B$10),AND($B$9="inferior",D4600&lt;-$B$10)),"Rechazar H0","No rechazar H0")</f>
        <v>Rechazar H0</v>
      </c>
      <c r="F4600" s="0" t="str">
        <f aca="false">IF(AND(B4600="H0 verdadera",E4600="Rechazar H0"),"Error tipo I",IF(AND(B4600="Ha verdadera",E4600="No rechazar H0"),"Error tipo II","Decisión correcta"))</f>
        <v>Decisión correcta</v>
      </c>
    </row>
    <row r="4601" customFormat="false" ht="15" hidden="false" customHeight="false" outlineLevel="0" collapsed="false">
      <c r="A4601" s="0" t="n">
        <v>4580</v>
      </c>
      <c r="B4601" s="0" t="s">
        <v>85</v>
      </c>
      <c r="C4601" s="17" t="n">
        <v>0.278708303153211</v>
      </c>
      <c r="D4601" s="17" t="n">
        <f aca="false">(C4601-$B$4)/($B$6/SQRT($B$7))</f>
        <v>1.39354151576605</v>
      </c>
      <c r="E4601" s="0" t="str">
        <f aca="false">IF(OR(AND($B$9="superior",D4601&gt;$B$10),AND($B$9="inferior",D4601&lt;-$B$10)),"Rechazar H0","No rechazar H0")</f>
        <v>No rechazar H0</v>
      </c>
      <c r="F4601" s="0" t="str">
        <f aca="false">IF(AND(B4601="H0 verdadera",E4601="Rechazar H0"),"Error tipo I",IF(AND(B4601="Ha verdadera",E4601="No rechazar H0"),"Error tipo II","Decisión correcta"))</f>
        <v>Decisión correcta</v>
      </c>
    </row>
    <row r="4602" customFormat="false" ht="15" hidden="false" customHeight="false" outlineLevel="0" collapsed="false">
      <c r="A4602" s="0" t="n">
        <v>4581</v>
      </c>
      <c r="B4602" s="0" t="s">
        <v>86</v>
      </c>
      <c r="C4602" s="17" t="n">
        <v>-0.242271336895284</v>
      </c>
      <c r="D4602" s="17" t="n">
        <f aca="false">(C4602-$B$4)/($B$6/SQRT($B$7))</f>
        <v>-1.21135668447642</v>
      </c>
      <c r="E4602" s="0" t="str">
        <f aca="false">IF(OR(AND($B$9="superior",D4602&gt;$B$10),AND($B$9="inferior",D4602&lt;-$B$10)),"Rechazar H0","No rechazar H0")</f>
        <v>No rechazar H0</v>
      </c>
      <c r="F4602" s="0" t="str">
        <f aca="false">IF(AND(B4602="H0 verdadera",E4602="Rechazar H0"),"Error tipo I",IF(AND(B4602="Ha verdadera",E4602="No rechazar H0"),"Error tipo II","Decisión correcta"))</f>
        <v>Error tipo II</v>
      </c>
    </row>
    <row r="4603" customFormat="false" ht="15" hidden="false" customHeight="false" outlineLevel="0" collapsed="false">
      <c r="A4603" s="0" t="n">
        <v>4582</v>
      </c>
      <c r="B4603" s="0" t="s">
        <v>86</v>
      </c>
      <c r="C4603" s="17" t="n">
        <v>-0.407263218357158</v>
      </c>
      <c r="D4603" s="17" t="n">
        <f aca="false">(C4603-$B$4)/($B$6/SQRT($B$7))</f>
        <v>-2.03631609178579</v>
      </c>
      <c r="E4603" s="0" t="str">
        <f aca="false">IF(OR(AND($B$9="superior",D4603&gt;$B$10),AND($B$9="inferior",D4603&lt;-$B$10)),"Rechazar H0","No rechazar H0")</f>
        <v>Rechazar H0</v>
      </c>
      <c r="F4603" s="0" t="str">
        <f aca="false">IF(AND(B4603="H0 verdadera",E4603="Rechazar H0"),"Error tipo I",IF(AND(B4603="Ha verdadera",E4603="No rechazar H0"),"Error tipo II","Decisión correcta"))</f>
        <v>Decisión correcta</v>
      </c>
    </row>
    <row r="4604" customFormat="false" ht="15" hidden="false" customHeight="false" outlineLevel="0" collapsed="false">
      <c r="A4604" s="0" t="n">
        <v>4583</v>
      </c>
      <c r="B4604" s="0" t="s">
        <v>86</v>
      </c>
      <c r="C4604" s="17" t="n">
        <v>-0.733657486425262</v>
      </c>
      <c r="D4604" s="17" t="n">
        <f aca="false">(C4604-$B$4)/($B$6/SQRT($B$7))</f>
        <v>-3.66828743212631</v>
      </c>
      <c r="E4604" s="0" t="str">
        <f aca="false">IF(OR(AND($B$9="superior",D4604&gt;$B$10),AND($B$9="inferior",D4604&lt;-$B$10)),"Rechazar H0","No rechazar H0")</f>
        <v>Rechazar H0</v>
      </c>
      <c r="F4604" s="0" t="str">
        <f aca="false">IF(AND(B4604="H0 verdadera",E4604="Rechazar H0"),"Error tipo I",IF(AND(B4604="Ha verdadera",E4604="No rechazar H0"),"Error tipo II","Decisión correcta"))</f>
        <v>Decisión correcta</v>
      </c>
    </row>
    <row r="4605" customFormat="false" ht="15" hidden="false" customHeight="false" outlineLevel="0" collapsed="false">
      <c r="A4605" s="0" t="n">
        <v>4584</v>
      </c>
      <c r="B4605" s="0" t="s">
        <v>86</v>
      </c>
      <c r="C4605" s="17" t="n">
        <v>-0.347522652608253</v>
      </c>
      <c r="D4605" s="17" t="n">
        <f aca="false">(C4605-$B$4)/($B$6/SQRT($B$7))</f>
        <v>-1.73761326304126</v>
      </c>
      <c r="E4605" s="0" t="str">
        <f aca="false">IF(OR(AND($B$9="superior",D4605&gt;$B$10),AND($B$9="inferior",D4605&lt;-$B$10)),"Rechazar H0","No rechazar H0")</f>
        <v>Rechazar H0</v>
      </c>
      <c r="F4605" s="0" t="str">
        <f aca="false">IF(AND(B4605="H0 verdadera",E4605="Rechazar H0"),"Error tipo I",IF(AND(B4605="Ha verdadera",E4605="No rechazar H0"),"Error tipo II","Decisión correcta"))</f>
        <v>Decisión correcta</v>
      </c>
    </row>
    <row r="4606" customFormat="false" ht="15" hidden="false" customHeight="false" outlineLevel="0" collapsed="false">
      <c r="A4606" s="0" t="n">
        <v>4585</v>
      </c>
      <c r="B4606" s="0" t="s">
        <v>85</v>
      </c>
      <c r="C4606" s="17" t="n">
        <v>0.0238070234709274</v>
      </c>
      <c r="D4606" s="17" t="n">
        <f aca="false">(C4606-$B$4)/($B$6/SQRT($B$7))</f>
        <v>0.119035117354637</v>
      </c>
      <c r="E4606" s="0" t="str">
        <f aca="false">IF(OR(AND($B$9="superior",D4606&gt;$B$10),AND($B$9="inferior",D4606&lt;-$B$10)),"Rechazar H0","No rechazar H0")</f>
        <v>No rechazar H0</v>
      </c>
      <c r="F4606" s="0" t="str">
        <f aca="false">IF(AND(B4606="H0 verdadera",E4606="Rechazar H0"),"Error tipo I",IF(AND(B4606="Ha verdadera",E4606="No rechazar H0"),"Error tipo II","Decisión correcta"))</f>
        <v>Decisión correcta</v>
      </c>
    </row>
    <row r="4607" customFormat="false" ht="15" hidden="false" customHeight="false" outlineLevel="0" collapsed="false">
      <c r="A4607" s="0" t="n">
        <v>4586</v>
      </c>
      <c r="B4607" s="0" t="s">
        <v>85</v>
      </c>
      <c r="C4607" s="17" t="n">
        <v>-0.262057216233252</v>
      </c>
      <c r="D4607" s="17" t="n">
        <f aca="false">(C4607-$B$4)/($B$6/SQRT($B$7))</f>
        <v>-1.31028608116626</v>
      </c>
      <c r="E4607" s="0" t="str">
        <f aca="false">IF(OR(AND($B$9="superior",D4607&gt;$B$10),AND($B$9="inferior",D4607&lt;-$B$10)),"Rechazar H0","No rechazar H0")</f>
        <v>No rechazar H0</v>
      </c>
      <c r="F4607" s="0" t="str">
        <f aca="false">IF(AND(B4607="H0 verdadera",E4607="Rechazar H0"),"Error tipo I",IF(AND(B4607="Ha verdadera",E4607="No rechazar H0"),"Error tipo II","Decisión correcta"))</f>
        <v>Decisión correcta</v>
      </c>
    </row>
    <row r="4608" customFormat="false" ht="15" hidden="false" customHeight="false" outlineLevel="0" collapsed="false">
      <c r="A4608" s="0" t="n">
        <v>4587</v>
      </c>
      <c r="B4608" s="0" t="s">
        <v>85</v>
      </c>
      <c r="C4608" s="17" t="n">
        <v>-0.0700840803188644</v>
      </c>
      <c r="D4608" s="17" t="n">
        <f aca="false">(C4608-$B$4)/($B$6/SQRT($B$7))</f>
        <v>-0.350420401594322</v>
      </c>
      <c r="E4608" s="0" t="str">
        <f aca="false">IF(OR(AND($B$9="superior",D4608&gt;$B$10),AND($B$9="inferior",D4608&lt;-$B$10)),"Rechazar H0","No rechazar H0")</f>
        <v>No rechazar H0</v>
      </c>
      <c r="F4608" s="0" t="str">
        <f aca="false">IF(AND(B4608="H0 verdadera",E4608="Rechazar H0"),"Error tipo I",IF(AND(B4608="Ha verdadera",E4608="No rechazar H0"),"Error tipo II","Decisión correcta"))</f>
        <v>Decisión correcta</v>
      </c>
    </row>
    <row r="4609" customFormat="false" ht="15" hidden="false" customHeight="false" outlineLevel="0" collapsed="false">
      <c r="A4609" s="0" t="n">
        <v>4588</v>
      </c>
      <c r="B4609" s="0" t="s">
        <v>85</v>
      </c>
      <c r="C4609" s="17" t="n">
        <v>0.106942831378601</v>
      </c>
      <c r="D4609" s="17" t="n">
        <f aca="false">(C4609-$B$4)/($B$6/SQRT($B$7))</f>
        <v>0.534714156893005</v>
      </c>
      <c r="E4609" s="0" t="str">
        <f aca="false">IF(OR(AND($B$9="superior",D4609&gt;$B$10),AND($B$9="inferior",D4609&lt;-$B$10)),"Rechazar H0","No rechazar H0")</f>
        <v>No rechazar H0</v>
      </c>
      <c r="F4609" s="0" t="str">
        <f aca="false">IF(AND(B4609="H0 verdadera",E4609="Rechazar H0"),"Error tipo I",IF(AND(B4609="Ha verdadera",E4609="No rechazar H0"),"Error tipo II","Decisión correcta"))</f>
        <v>Decisión correcta</v>
      </c>
    </row>
    <row r="4610" customFormat="false" ht="15" hidden="false" customHeight="false" outlineLevel="0" collapsed="false">
      <c r="A4610" s="0" t="n">
        <v>4589</v>
      </c>
      <c r="B4610" s="0" t="s">
        <v>85</v>
      </c>
      <c r="C4610" s="17" t="n">
        <v>0.0198252199162309</v>
      </c>
      <c r="D4610" s="17" t="n">
        <f aca="false">(C4610-$B$4)/($B$6/SQRT($B$7))</f>
        <v>0.0991260995811544</v>
      </c>
      <c r="E4610" s="0" t="str">
        <f aca="false">IF(OR(AND($B$9="superior",D4610&gt;$B$10),AND($B$9="inferior",D4610&lt;-$B$10)),"Rechazar H0","No rechazar H0")</f>
        <v>No rechazar H0</v>
      </c>
      <c r="F4610" s="0" t="str">
        <f aca="false">IF(AND(B4610="H0 verdadera",E4610="Rechazar H0"),"Error tipo I",IF(AND(B4610="Ha verdadera",E4610="No rechazar H0"),"Error tipo II","Decisión correcta"))</f>
        <v>Decisión correcta</v>
      </c>
    </row>
    <row r="4611" customFormat="false" ht="15" hidden="false" customHeight="false" outlineLevel="0" collapsed="false">
      <c r="A4611" s="0" t="n">
        <v>4590</v>
      </c>
      <c r="B4611" s="0" t="s">
        <v>86</v>
      </c>
      <c r="C4611" s="17" t="n">
        <v>-0.406384769037527</v>
      </c>
      <c r="D4611" s="17" t="n">
        <f aca="false">(C4611-$B$4)/($B$6/SQRT($B$7))</f>
        <v>-2.03192384518764</v>
      </c>
      <c r="E4611" s="0" t="str">
        <f aca="false">IF(OR(AND($B$9="superior",D4611&gt;$B$10),AND($B$9="inferior",D4611&lt;-$B$10)),"Rechazar H0","No rechazar H0")</f>
        <v>Rechazar H0</v>
      </c>
      <c r="F4611" s="0" t="str">
        <f aca="false">IF(AND(B4611="H0 verdadera",E4611="Rechazar H0"),"Error tipo I",IF(AND(B4611="Ha verdadera",E4611="No rechazar H0"),"Error tipo II","Decisión correcta"))</f>
        <v>Decisión correcta</v>
      </c>
    </row>
    <row r="4612" customFormat="false" ht="15" hidden="false" customHeight="false" outlineLevel="0" collapsed="false">
      <c r="A4612" s="0" t="n">
        <v>4591</v>
      </c>
      <c r="B4612" s="0" t="s">
        <v>86</v>
      </c>
      <c r="C4612" s="17" t="n">
        <v>-0.177994292102105</v>
      </c>
      <c r="D4612" s="17" t="n">
        <f aca="false">(C4612-$B$4)/($B$6/SQRT($B$7))</f>
        <v>-0.889971460510522</v>
      </c>
      <c r="E4612" s="0" t="str">
        <f aca="false">IF(OR(AND($B$9="superior",D4612&gt;$B$10),AND($B$9="inferior",D4612&lt;-$B$10)),"Rechazar H0","No rechazar H0")</f>
        <v>No rechazar H0</v>
      </c>
      <c r="F4612" s="0" t="str">
        <f aca="false">IF(AND(B4612="H0 verdadera",E4612="Rechazar H0"),"Error tipo I",IF(AND(B4612="Ha verdadera",E4612="No rechazar H0"),"Error tipo II","Decisión correcta"))</f>
        <v>Error tipo II</v>
      </c>
    </row>
    <row r="4613" customFormat="false" ht="15" hidden="false" customHeight="false" outlineLevel="0" collapsed="false">
      <c r="A4613" s="0" t="n">
        <v>4592</v>
      </c>
      <c r="B4613" s="0" t="s">
        <v>86</v>
      </c>
      <c r="C4613" s="17" t="n">
        <v>-0.508572573019464</v>
      </c>
      <c r="D4613" s="17" t="n">
        <f aca="false">(C4613-$B$4)/($B$6/SQRT($B$7))</f>
        <v>-2.54286286509732</v>
      </c>
      <c r="E4613" s="0" t="str">
        <f aca="false">IF(OR(AND($B$9="superior",D4613&gt;$B$10),AND($B$9="inferior",D4613&lt;-$B$10)),"Rechazar H0","No rechazar H0")</f>
        <v>Rechazar H0</v>
      </c>
      <c r="F4613" s="0" t="str">
        <f aca="false">IF(AND(B4613="H0 verdadera",E4613="Rechazar H0"),"Error tipo I",IF(AND(B4613="Ha verdadera",E4613="No rechazar H0"),"Error tipo II","Decisión correcta"))</f>
        <v>Decisión correcta</v>
      </c>
    </row>
    <row r="4614" customFormat="false" ht="15" hidden="false" customHeight="false" outlineLevel="0" collapsed="false">
      <c r="A4614" s="0" t="n">
        <v>4593</v>
      </c>
      <c r="B4614" s="0" t="s">
        <v>85</v>
      </c>
      <c r="C4614" s="17" t="n">
        <v>0.0731246490256542</v>
      </c>
      <c r="D4614" s="17" t="n">
        <f aca="false">(C4614-$B$4)/($B$6/SQRT($B$7))</f>
        <v>0.365623245128271</v>
      </c>
      <c r="E4614" s="0" t="str">
        <f aca="false">IF(OR(AND($B$9="superior",D4614&gt;$B$10),AND($B$9="inferior",D4614&lt;-$B$10)),"Rechazar H0","No rechazar H0")</f>
        <v>No rechazar H0</v>
      </c>
      <c r="F4614" s="0" t="str">
        <f aca="false">IF(AND(B4614="H0 verdadera",E4614="Rechazar H0"),"Error tipo I",IF(AND(B4614="Ha verdadera",E4614="No rechazar H0"),"Error tipo II","Decisión correcta"))</f>
        <v>Decisión correcta</v>
      </c>
    </row>
    <row r="4615" customFormat="false" ht="15" hidden="false" customHeight="false" outlineLevel="0" collapsed="false">
      <c r="A4615" s="0" t="n">
        <v>4594</v>
      </c>
      <c r="B4615" s="0" t="s">
        <v>85</v>
      </c>
      <c r="C4615" s="17" t="n">
        <v>-0.02730380075519</v>
      </c>
      <c r="D4615" s="17" t="n">
        <f aca="false">(C4615-$B$4)/($B$6/SQRT($B$7))</f>
        <v>-0.13651900377595</v>
      </c>
      <c r="E4615" s="0" t="str">
        <f aca="false">IF(OR(AND($B$9="superior",D4615&gt;$B$10),AND($B$9="inferior",D4615&lt;-$B$10)),"Rechazar H0","No rechazar H0")</f>
        <v>No rechazar H0</v>
      </c>
      <c r="F4615" s="0" t="str">
        <f aca="false">IF(AND(B4615="H0 verdadera",E4615="Rechazar H0"),"Error tipo I",IF(AND(B4615="Ha verdadera",E4615="No rechazar H0"),"Error tipo II","Decisión correcta"))</f>
        <v>Decisión correcta</v>
      </c>
    </row>
    <row r="4616" customFormat="false" ht="15" hidden="false" customHeight="false" outlineLevel="0" collapsed="false">
      <c r="A4616" s="0" t="n">
        <v>4595</v>
      </c>
      <c r="B4616" s="0" t="s">
        <v>86</v>
      </c>
      <c r="C4616" s="17" t="n">
        <v>-0.426758021990803</v>
      </c>
      <c r="D4616" s="17" t="n">
        <f aca="false">(C4616-$B$4)/($B$6/SQRT($B$7))</f>
        <v>-2.13379010995402</v>
      </c>
      <c r="E4616" s="0" t="str">
        <f aca="false">IF(OR(AND($B$9="superior",D4616&gt;$B$10),AND($B$9="inferior",D4616&lt;-$B$10)),"Rechazar H0","No rechazar H0")</f>
        <v>Rechazar H0</v>
      </c>
      <c r="F4616" s="0" t="str">
        <f aca="false">IF(AND(B4616="H0 verdadera",E4616="Rechazar H0"),"Error tipo I",IF(AND(B4616="Ha verdadera",E4616="No rechazar H0"),"Error tipo II","Decisión correcta"))</f>
        <v>Decisión correcta</v>
      </c>
    </row>
    <row r="4617" customFormat="false" ht="15" hidden="false" customHeight="false" outlineLevel="0" collapsed="false">
      <c r="A4617" s="0" t="n">
        <v>4596</v>
      </c>
      <c r="B4617" s="0" t="s">
        <v>85</v>
      </c>
      <c r="C4617" s="17" t="n">
        <v>0.389243029022633</v>
      </c>
      <c r="D4617" s="17" t="n">
        <f aca="false">(C4617-$B$4)/($B$6/SQRT($B$7))</f>
        <v>1.94621514511317</v>
      </c>
      <c r="E4617" s="0" t="str">
        <f aca="false">IF(OR(AND($B$9="superior",D4617&gt;$B$10),AND($B$9="inferior",D4617&lt;-$B$10)),"Rechazar H0","No rechazar H0")</f>
        <v>No rechazar H0</v>
      </c>
      <c r="F4617" s="0" t="str">
        <f aca="false">IF(AND(B4617="H0 verdadera",E4617="Rechazar H0"),"Error tipo I",IF(AND(B4617="Ha verdadera",E4617="No rechazar H0"),"Error tipo II","Decisión correcta"))</f>
        <v>Decisión correcta</v>
      </c>
    </row>
    <row r="4618" customFormat="false" ht="15" hidden="false" customHeight="false" outlineLevel="0" collapsed="false">
      <c r="A4618" s="0" t="n">
        <v>4597</v>
      </c>
      <c r="B4618" s="0" t="s">
        <v>85</v>
      </c>
      <c r="C4618" s="17" t="n">
        <v>-0.113208472874379</v>
      </c>
      <c r="D4618" s="17" t="n">
        <f aca="false">(C4618-$B$4)/($B$6/SQRT($B$7))</f>
        <v>-0.566042364371893</v>
      </c>
      <c r="E4618" s="0" t="str">
        <f aca="false">IF(OR(AND($B$9="superior",D4618&gt;$B$10),AND($B$9="inferior",D4618&lt;-$B$10)),"Rechazar H0","No rechazar H0")</f>
        <v>No rechazar H0</v>
      </c>
      <c r="F4618" s="0" t="str">
        <f aca="false">IF(AND(B4618="H0 verdadera",E4618="Rechazar H0"),"Error tipo I",IF(AND(B4618="Ha verdadera",E4618="No rechazar H0"),"Error tipo II","Decisión correcta"))</f>
        <v>Decisión correcta</v>
      </c>
    </row>
    <row r="4619" customFormat="false" ht="15" hidden="false" customHeight="false" outlineLevel="0" collapsed="false">
      <c r="A4619" s="0" t="n">
        <v>4598</v>
      </c>
      <c r="B4619" s="0" t="s">
        <v>85</v>
      </c>
      <c r="C4619" s="17" t="n">
        <v>0.094776884668965</v>
      </c>
      <c r="D4619" s="17" t="n">
        <f aca="false">(C4619-$B$4)/($B$6/SQRT($B$7))</f>
        <v>0.473884423344825</v>
      </c>
      <c r="E4619" s="0" t="str">
        <f aca="false">IF(OR(AND($B$9="superior",D4619&gt;$B$10),AND($B$9="inferior",D4619&lt;-$B$10)),"Rechazar H0","No rechazar H0")</f>
        <v>No rechazar H0</v>
      </c>
      <c r="F4619" s="0" t="str">
        <f aca="false">IF(AND(B4619="H0 verdadera",E4619="Rechazar H0"),"Error tipo I",IF(AND(B4619="Ha verdadera",E4619="No rechazar H0"),"Error tipo II","Decisión correcta"))</f>
        <v>Decisión correcta</v>
      </c>
    </row>
    <row r="4620" customFormat="false" ht="15" hidden="false" customHeight="false" outlineLevel="0" collapsed="false">
      <c r="A4620" s="0" t="n">
        <v>4599</v>
      </c>
      <c r="B4620" s="0" t="s">
        <v>86</v>
      </c>
      <c r="C4620" s="17" t="n">
        <v>-0.56744223637168</v>
      </c>
      <c r="D4620" s="17" t="n">
        <f aca="false">(C4620-$B$4)/($B$6/SQRT($B$7))</f>
        <v>-2.8372111818584</v>
      </c>
      <c r="E4620" s="0" t="str">
        <f aca="false">IF(OR(AND($B$9="superior",D4620&gt;$B$10),AND($B$9="inferior",D4620&lt;-$B$10)),"Rechazar H0","No rechazar H0")</f>
        <v>Rechazar H0</v>
      </c>
      <c r="F4620" s="0" t="str">
        <f aca="false">IF(AND(B4620="H0 verdadera",E4620="Rechazar H0"),"Error tipo I",IF(AND(B4620="Ha verdadera",E4620="No rechazar H0"),"Error tipo II","Decisión correcta"))</f>
        <v>Decisión correcta</v>
      </c>
    </row>
    <row r="4621" customFormat="false" ht="15" hidden="false" customHeight="false" outlineLevel="0" collapsed="false">
      <c r="A4621" s="0" t="n">
        <v>4600</v>
      </c>
      <c r="B4621" s="0" t="s">
        <v>86</v>
      </c>
      <c r="C4621" s="17" t="n">
        <v>-0.118755857049453</v>
      </c>
      <c r="D4621" s="17" t="n">
        <f aca="false">(C4621-$B$4)/($B$6/SQRT($B$7))</f>
        <v>-0.593779285247266</v>
      </c>
      <c r="E4621" s="0" t="str">
        <f aca="false">IF(OR(AND($B$9="superior",D4621&gt;$B$10),AND($B$9="inferior",D4621&lt;-$B$10)),"Rechazar H0","No rechazar H0")</f>
        <v>No rechazar H0</v>
      </c>
      <c r="F4621" s="0" t="str">
        <f aca="false">IF(AND(B4621="H0 verdadera",E4621="Rechazar H0"),"Error tipo I",IF(AND(B4621="Ha verdadera",E4621="No rechazar H0"),"Error tipo II","Decisión correcta"))</f>
        <v>Error tipo II</v>
      </c>
    </row>
    <row r="4622" customFormat="false" ht="15" hidden="false" customHeight="false" outlineLevel="0" collapsed="false">
      <c r="A4622" s="0" t="n">
        <v>4601</v>
      </c>
      <c r="B4622" s="0" t="s">
        <v>86</v>
      </c>
      <c r="C4622" s="17" t="n">
        <v>-0.607750183237505</v>
      </c>
      <c r="D4622" s="17" t="n">
        <f aca="false">(C4622-$B$4)/($B$6/SQRT($B$7))</f>
        <v>-3.03875091618752</v>
      </c>
      <c r="E4622" s="0" t="str">
        <f aca="false">IF(OR(AND($B$9="superior",D4622&gt;$B$10),AND($B$9="inferior",D4622&lt;-$B$10)),"Rechazar H0","No rechazar H0")</f>
        <v>Rechazar H0</v>
      </c>
      <c r="F4622" s="0" t="str">
        <f aca="false">IF(AND(B4622="H0 verdadera",E4622="Rechazar H0"),"Error tipo I",IF(AND(B4622="Ha verdadera",E4622="No rechazar H0"),"Error tipo II","Decisión correcta"))</f>
        <v>Decisión correcta</v>
      </c>
    </row>
    <row r="4623" customFormat="false" ht="15" hidden="false" customHeight="false" outlineLevel="0" collapsed="false">
      <c r="A4623" s="0" t="n">
        <v>4602</v>
      </c>
      <c r="B4623" s="0" t="s">
        <v>86</v>
      </c>
      <c r="C4623" s="17" t="n">
        <v>-0.163729656836954</v>
      </c>
      <c r="D4623" s="17" t="n">
        <f aca="false">(C4623-$B$4)/($B$6/SQRT($B$7))</f>
        <v>-0.818648284184769</v>
      </c>
      <c r="E4623" s="0" t="str">
        <f aca="false">IF(OR(AND($B$9="superior",D4623&gt;$B$10),AND($B$9="inferior",D4623&lt;-$B$10)),"Rechazar H0","No rechazar H0")</f>
        <v>No rechazar H0</v>
      </c>
      <c r="F4623" s="0" t="str">
        <f aca="false">IF(AND(B4623="H0 verdadera",E4623="Rechazar H0"),"Error tipo I",IF(AND(B4623="Ha verdadera",E4623="No rechazar H0"),"Error tipo II","Decisión correcta"))</f>
        <v>Error tipo II</v>
      </c>
    </row>
    <row r="4624" customFormat="false" ht="15" hidden="false" customHeight="false" outlineLevel="0" collapsed="false">
      <c r="A4624" s="0" t="n">
        <v>4603</v>
      </c>
      <c r="B4624" s="0" t="s">
        <v>85</v>
      </c>
      <c r="C4624" s="17" t="n">
        <v>0.339032336703131</v>
      </c>
      <c r="D4624" s="17" t="n">
        <f aca="false">(C4624-$B$4)/($B$6/SQRT($B$7))</f>
        <v>1.69516168351566</v>
      </c>
      <c r="E4624" s="0" t="str">
        <f aca="false">IF(OR(AND($B$9="superior",D4624&gt;$B$10),AND($B$9="inferior",D4624&lt;-$B$10)),"Rechazar H0","No rechazar H0")</f>
        <v>No rechazar H0</v>
      </c>
      <c r="F4624" s="0" t="str">
        <f aca="false">IF(AND(B4624="H0 verdadera",E4624="Rechazar H0"),"Error tipo I",IF(AND(B4624="Ha verdadera",E4624="No rechazar H0"),"Error tipo II","Decisión correcta"))</f>
        <v>Decisión correcta</v>
      </c>
    </row>
    <row r="4625" customFormat="false" ht="15" hidden="false" customHeight="false" outlineLevel="0" collapsed="false">
      <c r="A4625" s="0" t="n">
        <v>4604</v>
      </c>
      <c r="B4625" s="0" t="s">
        <v>85</v>
      </c>
      <c r="C4625" s="17" t="n">
        <v>0.0747473718571564</v>
      </c>
      <c r="D4625" s="17" t="n">
        <f aca="false">(C4625-$B$4)/($B$6/SQRT($B$7))</f>
        <v>0.373736859285782</v>
      </c>
      <c r="E4625" s="0" t="str">
        <f aca="false">IF(OR(AND($B$9="superior",D4625&gt;$B$10),AND($B$9="inferior",D4625&lt;-$B$10)),"Rechazar H0","No rechazar H0")</f>
        <v>No rechazar H0</v>
      </c>
      <c r="F4625" s="0" t="str">
        <f aca="false">IF(AND(B4625="H0 verdadera",E4625="Rechazar H0"),"Error tipo I",IF(AND(B4625="Ha verdadera",E4625="No rechazar H0"),"Error tipo II","Decisión correcta"))</f>
        <v>Decisión correcta</v>
      </c>
    </row>
    <row r="4626" customFormat="false" ht="15" hidden="false" customHeight="false" outlineLevel="0" collapsed="false">
      <c r="A4626" s="0" t="n">
        <v>4605</v>
      </c>
      <c r="B4626" s="0" t="s">
        <v>86</v>
      </c>
      <c r="C4626" s="17" t="n">
        <v>-0.386487072405138</v>
      </c>
      <c r="D4626" s="17" t="n">
        <f aca="false">(C4626-$B$4)/($B$6/SQRT($B$7))</f>
        <v>-1.93243536202569</v>
      </c>
      <c r="E4626" s="0" t="str">
        <f aca="false">IF(OR(AND($B$9="superior",D4626&gt;$B$10),AND($B$9="inferior",D4626&lt;-$B$10)),"Rechazar H0","No rechazar H0")</f>
        <v>Rechazar H0</v>
      </c>
      <c r="F4626" s="0" t="str">
        <f aca="false">IF(AND(B4626="H0 verdadera",E4626="Rechazar H0"),"Error tipo I",IF(AND(B4626="Ha verdadera",E4626="No rechazar H0"),"Error tipo II","Decisión correcta"))</f>
        <v>Decisión correcta</v>
      </c>
    </row>
    <row r="4627" customFormat="false" ht="15" hidden="false" customHeight="false" outlineLevel="0" collapsed="false">
      <c r="A4627" s="0" t="n">
        <v>4606</v>
      </c>
      <c r="B4627" s="0" t="s">
        <v>86</v>
      </c>
      <c r="C4627" s="17" t="n">
        <v>-0.304115264672008</v>
      </c>
      <c r="D4627" s="17" t="n">
        <f aca="false">(C4627-$B$4)/($B$6/SQRT($B$7))</f>
        <v>-1.52057632336004</v>
      </c>
      <c r="E4627" s="0" t="str">
        <f aca="false">IF(OR(AND($B$9="superior",D4627&gt;$B$10),AND($B$9="inferior",D4627&lt;-$B$10)),"Rechazar H0","No rechazar H0")</f>
        <v>No rechazar H0</v>
      </c>
      <c r="F4627" s="0" t="str">
        <f aca="false">IF(AND(B4627="H0 verdadera",E4627="Rechazar H0"),"Error tipo I",IF(AND(B4627="Ha verdadera",E4627="No rechazar H0"),"Error tipo II","Decisión correcta"))</f>
        <v>Error tipo II</v>
      </c>
    </row>
    <row r="4628" customFormat="false" ht="15" hidden="false" customHeight="false" outlineLevel="0" collapsed="false">
      <c r="A4628" s="0" t="n">
        <v>4607</v>
      </c>
      <c r="B4628" s="0" t="s">
        <v>86</v>
      </c>
      <c r="C4628" s="17" t="n">
        <v>-0.44410731837102</v>
      </c>
      <c r="D4628" s="17" t="n">
        <f aca="false">(C4628-$B$4)/($B$6/SQRT($B$7))</f>
        <v>-2.2205365918551</v>
      </c>
      <c r="E4628" s="0" t="str">
        <f aca="false">IF(OR(AND($B$9="superior",D4628&gt;$B$10),AND($B$9="inferior",D4628&lt;-$B$10)),"Rechazar H0","No rechazar H0")</f>
        <v>Rechazar H0</v>
      </c>
      <c r="F4628" s="0" t="str">
        <f aca="false">IF(AND(B4628="H0 verdadera",E4628="Rechazar H0"),"Error tipo I",IF(AND(B4628="Ha verdadera",E4628="No rechazar H0"),"Error tipo II","Decisión correcta"))</f>
        <v>Decisión correcta</v>
      </c>
    </row>
    <row r="4629" customFormat="false" ht="15" hidden="false" customHeight="false" outlineLevel="0" collapsed="false">
      <c r="A4629" s="0" t="n">
        <v>4608</v>
      </c>
      <c r="B4629" s="0" t="s">
        <v>85</v>
      </c>
      <c r="C4629" s="17" t="n">
        <v>-0.0694318856821142</v>
      </c>
      <c r="D4629" s="17" t="n">
        <f aca="false">(C4629-$B$4)/($B$6/SQRT($B$7))</f>
        <v>-0.347159428410571</v>
      </c>
      <c r="E4629" s="0" t="str">
        <f aca="false">IF(OR(AND($B$9="superior",D4629&gt;$B$10),AND($B$9="inferior",D4629&lt;-$B$10)),"Rechazar H0","No rechazar H0")</f>
        <v>No rechazar H0</v>
      </c>
      <c r="F4629" s="0" t="str">
        <f aca="false">IF(AND(B4629="H0 verdadera",E4629="Rechazar H0"),"Error tipo I",IF(AND(B4629="Ha verdadera",E4629="No rechazar H0"),"Error tipo II","Decisión correcta"))</f>
        <v>Decisión correcta</v>
      </c>
    </row>
    <row r="4630" customFormat="false" ht="15" hidden="false" customHeight="false" outlineLevel="0" collapsed="false">
      <c r="A4630" s="0" t="n">
        <v>4609</v>
      </c>
      <c r="B4630" s="0" t="s">
        <v>86</v>
      </c>
      <c r="C4630" s="17" t="n">
        <v>-0.509796824376701</v>
      </c>
      <c r="D4630" s="17" t="n">
        <f aca="false">(C4630-$B$4)/($B$6/SQRT($B$7))</f>
        <v>-2.5489841218835</v>
      </c>
      <c r="E4630" s="0" t="str">
        <f aca="false">IF(OR(AND($B$9="superior",D4630&gt;$B$10),AND($B$9="inferior",D4630&lt;-$B$10)),"Rechazar H0","No rechazar H0")</f>
        <v>Rechazar H0</v>
      </c>
      <c r="F4630" s="0" t="str">
        <f aca="false">IF(AND(B4630="H0 verdadera",E4630="Rechazar H0"),"Error tipo I",IF(AND(B4630="Ha verdadera",E4630="No rechazar H0"),"Error tipo II","Decisión correcta"))</f>
        <v>Decisión correcta</v>
      </c>
    </row>
    <row r="4631" customFormat="false" ht="15" hidden="false" customHeight="false" outlineLevel="0" collapsed="false">
      <c r="A4631" s="0" t="n">
        <v>4610</v>
      </c>
      <c r="B4631" s="0" t="s">
        <v>86</v>
      </c>
      <c r="C4631" s="17" t="n">
        <v>-0.348133363075949</v>
      </c>
      <c r="D4631" s="17" t="n">
        <f aca="false">(C4631-$B$4)/($B$6/SQRT($B$7))</f>
        <v>-1.74066681537975</v>
      </c>
      <c r="E4631" s="0" t="str">
        <f aca="false">IF(OR(AND($B$9="superior",D4631&gt;$B$10),AND($B$9="inferior",D4631&lt;-$B$10)),"Rechazar H0","No rechazar H0")</f>
        <v>Rechazar H0</v>
      </c>
      <c r="F4631" s="0" t="str">
        <f aca="false">IF(AND(B4631="H0 verdadera",E4631="Rechazar H0"),"Error tipo I",IF(AND(B4631="Ha verdadera",E4631="No rechazar H0"),"Error tipo II","Decisión correcta"))</f>
        <v>Decisión correcta</v>
      </c>
    </row>
    <row r="4632" customFormat="false" ht="15" hidden="false" customHeight="false" outlineLevel="0" collapsed="false">
      <c r="A4632" s="0" t="n">
        <v>4611</v>
      </c>
      <c r="B4632" s="0" t="s">
        <v>86</v>
      </c>
      <c r="C4632" s="17" t="n">
        <v>-0.239905892358572</v>
      </c>
      <c r="D4632" s="17" t="n">
        <f aca="false">(C4632-$B$4)/($B$6/SQRT($B$7))</f>
        <v>-1.19952946179286</v>
      </c>
      <c r="E4632" s="0" t="str">
        <f aca="false">IF(OR(AND($B$9="superior",D4632&gt;$B$10),AND($B$9="inferior",D4632&lt;-$B$10)),"Rechazar H0","No rechazar H0")</f>
        <v>No rechazar H0</v>
      </c>
      <c r="F4632" s="0" t="str">
        <f aca="false">IF(AND(B4632="H0 verdadera",E4632="Rechazar H0"),"Error tipo I",IF(AND(B4632="Ha verdadera",E4632="No rechazar H0"),"Error tipo II","Decisión correcta"))</f>
        <v>Error tipo II</v>
      </c>
    </row>
    <row r="4633" customFormat="false" ht="15" hidden="false" customHeight="false" outlineLevel="0" collapsed="false">
      <c r="A4633" s="0" t="n">
        <v>4612</v>
      </c>
      <c r="B4633" s="0" t="s">
        <v>85</v>
      </c>
      <c r="C4633" s="17" t="n">
        <v>-0.166457017855732</v>
      </c>
      <c r="D4633" s="17" t="n">
        <f aca="false">(C4633-$B$4)/($B$6/SQRT($B$7))</f>
        <v>-0.832285089278657</v>
      </c>
      <c r="E4633" s="0" t="str">
        <f aca="false">IF(OR(AND($B$9="superior",D4633&gt;$B$10),AND($B$9="inferior",D4633&lt;-$B$10)),"Rechazar H0","No rechazar H0")</f>
        <v>No rechazar H0</v>
      </c>
      <c r="F4633" s="0" t="str">
        <f aca="false">IF(AND(B4633="H0 verdadera",E4633="Rechazar H0"),"Error tipo I",IF(AND(B4633="Ha verdadera",E4633="No rechazar H0"),"Error tipo II","Decisión correcta"))</f>
        <v>Decisión correcta</v>
      </c>
    </row>
    <row r="4634" customFormat="false" ht="15" hidden="false" customHeight="false" outlineLevel="0" collapsed="false">
      <c r="A4634" s="0" t="n">
        <v>4613</v>
      </c>
      <c r="B4634" s="0" t="s">
        <v>85</v>
      </c>
      <c r="C4634" s="17" t="n">
        <v>-0.459485326785027</v>
      </c>
      <c r="D4634" s="17" t="n">
        <f aca="false">(C4634-$B$4)/($B$6/SQRT($B$7))</f>
        <v>-2.29742663392513</v>
      </c>
      <c r="E4634" s="0" t="str">
        <f aca="false">IF(OR(AND($B$9="superior",D4634&gt;$B$10),AND($B$9="inferior",D4634&lt;-$B$10)),"Rechazar H0","No rechazar H0")</f>
        <v>Rechazar H0</v>
      </c>
      <c r="F4634" s="0" t="str">
        <f aca="false">IF(AND(B4634="H0 verdadera",E4634="Rechazar H0"),"Error tipo I",IF(AND(B4634="Ha verdadera",E4634="No rechazar H0"),"Error tipo II","Decisión correcta"))</f>
        <v>Error tipo I</v>
      </c>
    </row>
    <row r="4635" customFormat="false" ht="15" hidden="false" customHeight="false" outlineLevel="0" collapsed="false">
      <c r="A4635" s="0" t="n">
        <v>4614</v>
      </c>
      <c r="B4635" s="0" t="s">
        <v>86</v>
      </c>
      <c r="C4635" s="17" t="n">
        <v>0.101523922210924</v>
      </c>
      <c r="D4635" s="17" t="n">
        <f aca="false">(C4635-$B$4)/($B$6/SQRT($B$7))</f>
        <v>0.507619611054622</v>
      </c>
      <c r="E4635" s="0" t="str">
        <f aca="false">IF(OR(AND($B$9="superior",D4635&gt;$B$10),AND($B$9="inferior",D4635&lt;-$B$10)),"Rechazar H0","No rechazar H0")</f>
        <v>No rechazar H0</v>
      </c>
      <c r="F4635" s="0" t="str">
        <f aca="false">IF(AND(B4635="H0 verdadera",E4635="Rechazar H0"),"Error tipo I",IF(AND(B4635="Ha verdadera",E4635="No rechazar H0"),"Error tipo II","Decisión correcta"))</f>
        <v>Error tipo II</v>
      </c>
    </row>
    <row r="4636" customFormat="false" ht="15" hidden="false" customHeight="false" outlineLevel="0" collapsed="false">
      <c r="A4636" s="0" t="n">
        <v>4615</v>
      </c>
      <c r="B4636" s="0" t="s">
        <v>85</v>
      </c>
      <c r="C4636" s="17" t="n">
        <v>0.207898026742117</v>
      </c>
      <c r="D4636" s="17" t="n">
        <f aca="false">(C4636-$B$4)/($B$6/SQRT($B$7))</f>
        <v>1.03949013371059</v>
      </c>
      <c r="E4636" s="0" t="str">
        <f aca="false">IF(OR(AND($B$9="superior",D4636&gt;$B$10),AND($B$9="inferior",D4636&lt;-$B$10)),"Rechazar H0","No rechazar H0")</f>
        <v>No rechazar H0</v>
      </c>
      <c r="F4636" s="0" t="str">
        <f aca="false">IF(AND(B4636="H0 verdadera",E4636="Rechazar H0"),"Error tipo I",IF(AND(B4636="Ha verdadera",E4636="No rechazar H0"),"Error tipo II","Decisión correcta"))</f>
        <v>Decisión correcta</v>
      </c>
    </row>
    <row r="4637" customFormat="false" ht="15" hidden="false" customHeight="false" outlineLevel="0" collapsed="false">
      <c r="A4637" s="0" t="n">
        <v>4616</v>
      </c>
      <c r="B4637" s="0" t="s">
        <v>86</v>
      </c>
      <c r="C4637" s="17" t="n">
        <v>-0.507082208985736</v>
      </c>
      <c r="D4637" s="17" t="n">
        <f aca="false">(C4637-$B$4)/($B$6/SQRT($B$7))</f>
        <v>-2.53541104492868</v>
      </c>
      <c r="E4637" s="0" t="str">
        <f aca="false">IF(OR(AND($B$9="superior",D4637&gt;$B$10),AND($B$9="inferior",D4637&lt;-$B$10)),"Rechazar H0","No rechazar H0")</f>
        <v>Rechazar H0</v>
      </c>
      <c r="F4637" s="0" t="str">
        <f aca="false">IF(AND(B4637="H0 verdadera",E4637="Rechazar H0"),"Error tipo I",IF(AND(B4637="Ha verdadera",E4637="No rechazar H0"),"Error tipo II","Decisión correcta"))</f>
        <v>Decisión correcta</v>
      </c>
    </row>
    <row r="4638" customFormat="false" ht="15" hidden="false" customHeight="false" outlineLevel="0" collapsed="false">
      <c r="A4638" s="0" t="n">
        <v>4617</v>
      </c>
      <c r="B4638" s="0" t="s">
        <v>85</v>
      </c>
      <c r="C4638" s="17" t="n">
        <v>-0.359907144202791</v>
      </c>
      <c r="D4638" s="17" t="n">
        <f aca="false">(C4638-$B$4)/($B$6/SQRT($B$7))</f>
        <v>-1.79953572101395</v>
      </c>
      <c r="E4638" s="0" t="str">
        <f aca="false">IF(OR(AND($B$9="superior",D4638&gt;$B$10),AND($B$9="inferior",D4638&lt;-$B$10)),"Rechazar H0","No rechazar H0")</f>
        <v>Rechazar H0</v>
      </c>
      <c r="F4638" s="0" t="str">
        <f aca="false">IF(AND(B4638="H0 verdadera",E4638="Rechazar H0"),"Error tipo I",IF(AND(B4638="Ha verdadera",E4638="No rechazar H0"),"Error tipo II","Decisión correcta"))</f>
        <v>Error tipo I</v>
      </c>
    </row>
    <row r="4639" customFormat="false" ht="15" hidden="false" customHeight="false" outlineLevel="0" collapsed="false">
      <c r="A4639" s="0" t="n">
        <v>4618</v>
      </c>
      <c r="B4639" s="0" t="s">
        <v>85</v>
      </c>
      <c r="C4639" s="17" t="n">
        <v>0.0421744075805424</v>
      </c>
      <c r="D4639" s="17" t="n">
        <f aca="false">(C4639-$B$4)/($B$6/SQRT($B$7))</f>
        <v>0.210872037902712</v>
      </c>
      <c r="E4639" s="0" t="str">
        <f aca="false">IF(OR(AND($B$9="superior",D4639&gt;$B$10),AND($B$9="inferior",D4639&lt;-$B$10)),"Rechazar H0","No rechazar H0")</f>
        <v>No rechazar H0</v>
      </c>
      <c r="F4639" s="0" t="str">
        <f aca="false">IF(AND(B4639="H0 verdadera",E4639="Rechazar H0"),"Error tipo I",IF(AND(B4639="Ha verdadera",E4639="No rechazar H0"),"Error tipo II","Decisión correcta"))</f>
        <v>Decisión correcta</v>
      </c>
    </row>
    <row r="4640" customFormat="false" ht="15" hidden="false" customHeight="false" outlineLevel="0" collapsed="false">
      <c r="A4640" s="0" t="n">
        <v>4619</v>
      </c>
      <c r="B4640" s="0" t="s">
        <v>85</v>
      </c>
      <c r="C4640" s="17" t="n">
        <v>-0.00293750774094879</v>
      </c>
      <c r="D4640" s="17" t="n">
        <f aca="false">(C4640-$B$4)/($B$6/SQRT($B$7))</f>
        <v>-0.0146875387047439</v>
      </c>
      <c r="E4640" s="0" t="str">
        <f aca="false">IF(OR(AND($B$9="superior",D4640&gt;$B$10),AND($B$9="inferior",D4640&lt;-$B$10)),"Rechazar H0","No rechazar H0")</f>
        <v>No rechazar H0</v>
      </c>
      <c r="F4640" s="0" t="str">
        <f aca="false">IF(AND(B4640="H0 verdadera",E4640="Rechazar H0"),"Error tipo I",IF(AND(B4640="Ha verdadera",E4640="No rechazar H0"),"Error tipo II","Decisión correcta"))</f>
        <v>Decisión correcta</v>
      </c>
    </row>
    <row r="4641" customFormat="false" ht="15" hidden="false" customHeight="false" outlineLevel="0" collapsed="false">
      <c r="A4641" s="0" t="n">
        <v>4620</v>
      </c>
      <c r="B4641" s="0" t="s">
        <v>86</v>
      </c>
      <c r="C4641" s="17" t="n">
        <v>-0.149008239909879</v>
      </c>
      <c r="D4641" s="17" t="n">
        <f aca="false">(C4641-$B$4)/($B$6/SQRT($B$7))</f>
        <v>-0.745041199549395</v>
      </c>
      <c r="E4641" s="0" t="str">
        <f aca="false">IF(OR(AND($B$9="superior",D4641&gt;$B$10),AND($B$9="inferior",D4641&lt;-$B$10)),"Rechazar H0","No rechazar H0")</f>
        <v>No rechazar H0</v>
      </c>
      <c r="F4641" s="0" t="str">
        <f aca="false">IF(AND(B4641="H0 verdadera",E4641="Rechazar H0"),"Error tipo I",IF(AND(B4641="Ha verdadera",E4641="No rechazar H0"),"Error tipo II","Decisión correcta"))</f>
        <v>Error tipo II</v>
      </c>
    </row>
    <row r="4642" customFormat="false" ht="15" hidden="false" customHeight="false" outlineLevel="0" collapsed="false">
      <c r="A4642" s="0" t="n">
        <v>4621</v>
      </c>
      <c r="B4642" s="0" t="s">
        <v>86</v>
      </c>
      <c r="C4642" s="17" t="n">
        <v>-0.300805780963471</v>
      </c>
      <c r="D4642" s="17" t="n">
        <f aca="false">(C4642-$B$4)/($B$6/SQRT($B$7))</f>
        <v>-1.50402890481736</v>
      </c>
      <c r="E4642" s="0" t="str">
        <f aca="false">IF(OR(AND($B$9="superior",D4642&gt;$B$10),AND($B$9="inferior",D4642&lt;-$B$10)),"Rechazar H0","No rechazar H0")</f>
        <v>No rechazar H0</v>
      </c>
      <c r="F4642" s="0" t="str">
        <f aca="false">IF(AND(B4642="H0 verdadera",E4642="Rechazar H0"),"Error tipo I",IF(AND(B4642="Ha verdadera",E4642="No rechazar H0"),"Error tipo II","Decisión correcta"))</f>
        <v>Error tipo II</v>
      </c>
    </row>
    <row r="4643" customFormat="false" ht="15" hidden="false" customHeight="false" outlineLevel="0" collapsed="false">
      <c r="A4643" s="0" t="n">
        <v>4622</v>
      </c>
      <c r="B4643" s="0" t="s">
        <v>86</v>
      </c>
      <c r="C4643" s="17" t="n">
        <v>-0.282901954175867</v>
      </c>
      <c r="D4643" s="17" t="n">
        <f aca="false">(C4643-$B$4)/($B$6/SQRT($B$7))</f>
        <v>-1.41450977087934</v>
      </c>
      <c r="E4643" s="0" t="str">
        <f aca="false">IF(OR(AND($B$9="superior",D4643&gt;$B$10),AND($B$9="inferior",D4643&lt;-$B$10)),"Rechazar H0","No rechazar H0")</f>
        <v>No rechazar H0</v>
      </c>
      <c r="F4643" s="0" t="str">
        <f aca="false">IF(AND(B4643="H0 verdadera",E4643="Rechazar H0"),"Error tipo I",IF(AND(B4643="Ha verdadera",E4643="No rechazar H0"),"Error tipo II","Decisión correcta"))</f>
        <v>Error tipo II</v>
      </c>
    </row>
    <row r="4644" customFormat="false" ht="15" hidden="false" customHeight="false" outlineLevel="0" collapsed="false">
      <c r="A4644" s="0" t="n">
        <v>4623</v>
      </c>
      <c r="B4644" s="0" t="s">
        <v>86</v>
      </c>
      <c r="C4644" s="17" t="n">
        <v>-0.476902950639655</v>
      </c>
      <c r="D4644" s="17" t="n">
        <f aca="false">(C4644-$B$4)/($B$6/SQRT($B$7))</f>
        <v>-2.38451475319827</v>
      </c>
      <c r="E4644" s="0" t="str">
        <f aca="false">IF(OR(AND($B$9="superior",D4644&gt;$B$10),AND($B$9="inferior",D4644&lt;-$B$10)),"Rechazar H0","No rechazar H0")</f>
        <v>Rechazar H0</v>
      </c>
      <c r="F4644" s="0" t="str">
        <f aca="false">IF(AND(B4644="H0 verdadera",E4644="Rechazar H0"),"Error tipo I",IF(AND(B4644="Ha verdadera",E4644="No rechazar H0"),"Error tipo II","Decisión correcta"))</f>
        <v>Decisión correcta</v>
      </c>
    </row>
    <row r="4645" customFormat="false" ht="15" hidden="false" customHeight="false" outlineLevel="0" collapsed="false">
      <c r="A4645" s="0" t="n">
        <v>4624</v>
      </c>
      <c r="B4645" s="0" t="s">
        <v>85</v>
      </c>
      <c r="C4645" s="17" t="n">
        <v>-0.153996545746903</v>
      </c>
      <c r="D4645" s="17" t="n">
        <f aca="false">(C4645-$B$4)/($B$6/SQRT($B$7))</f>
        <v>-0.769982728734514</v>
      </c>
      <c r="E4645" s="0" t="str">
        <f aca="false">IF(OR(AND($B$9="superior",D4645&gt;$B$10),AND($B$9="inferior",D4645&lt;-$B$10)),"Rechazar H0","No rechazar H0")</f>
        <v>No rechazar H0</v>
      </c>
      <c r="F4645" s="0" t="str">
        <f aca="false">IF(AND(B4645="H0 verdadera",E4645="Rechazar H0"),"Error tipo I",IF(AND(B4645="Ha verdadera",E4645="No rechazar H0"),"Error tipo II","Decisión correcta"))</f>
        <v>Decisión correcta</v>
      </c>
    </row>
    <row r="4646" customFormat="false" ht="15" hidden="false" customHeight="false" outlineLevel="0" collapsed="false">
      <c r="A4646" s="0" t="n">
        <v>4625</v>
      </c>
      <c r="B4646" s="0" t="s">
        <v>85</v>
      </c>
      <c r="C4646" s="17" t="n">
        <v>-0.254776267723166</v>
      </c>
      <c r="D4646" s="17" t="n">
        <f aca="false">(C4646-$B$4)/($B$6/SQRT($B$7))</f>
        <v>-1.27388133861583</v>
      </c>
      <c r="E4646" s="0" t="str">
        <f aca="false">IF(OR(AND($B$9="superior",D4646&gt;$B$10),AND($B$9="inferior",D4646&lt;-$B$10)),"Rechazar H0","No rechazar H0")</f>
        <v>No rechazar H0</v>
      </c>
      <c r="F4646" s="0" t="str">
        <f aca="false">IF(AND(B4646="H0 verdadera",E4646="Rechazar H0"),"Error tipo I",IF(AND(B4646="Ha verdadera",E4646="No rechazar H0"),"Error tipo II","Decisión correcta"))</f>
        <v>Decisión correcta</v>
      </c>
    </row>
    <row r="4647" customFormat="false" ht="15" hidden="false" customHeight="false" outlineLevel="0" collapsed="false">
      <c r="A4647" s="0" t="n">
        <v>4626</v>
      </c>
      <c r="B4647" s="0" t="s">
        <v>85</v>
      </c>
      <c r="C4647" s="17" t="n">
        <v>0.22477055857668</v>
      </c>
      <c r="D4647" s="17" t="n">
        <f aca="false">(C4647-$B$4)/($B$6/SQRT($B$7))</f>
        <v>1.1238527928834</v>
      </c>
      <c r="E4647" s="0" t="str">
        <f aca="false">IF(OR(AND($B$9="superior",D4647&gt;$B$10),AND($B$9="inferior",D4647&lt;-$B$10)),"Rechazar H0","No rechazar H0")</f>
        <v>No rechazar H0</v>
      </c>
      <c r="F4647" s="0" t="str">
        <f aca="false">IF(AND(B4647="H0 verdadera",E4647="Rechazar H0"),"Error tipo I",IF(AND(B4647="Ha verdadera",E4647="No rechazar H0"),"Error tipo II","Decisión correcta"))</f>
        <v>Decisión correcta</v>
      </c>
    </row>
    <row r="4648" customFormat="false" ht="15" hidden="false" customHeight="false" outlineLevel="0" collapsed="false">
      <c r="A4648" s="0" t="n">
        <v>4627</v>
      </c>
      <c r="B4648" s="0" t="s">
        <v>85</v>
      </c>
      <c r="C4648" s="17" t="n">
        <v>-0.0119802290433748</v>
      </c>
      <c r="D4648" s="17" t="n">
        <f aca="false">(C4648-$B$4)/($B$6/SQRT($B$7))</f>
        <v>-0.059901145216874</v>
      </c>
      <c r="E4648" s="0" t="str">
        <f aca="false">IF(OR(AND($B$9="superior",D4648&gt;$B$10),AND($B$9="inferior",D4648&lt;-$B$10)),"Rechazar H0","No rechazar H0")</f>
        <v>No rechazar H0</v>
      </c>
      <c r="F4648" s="0" t="str">
        <f aca="false">IF(AND(B4648="H0 verdadera",E4648="Rechazar H0"),"Error tipo I",IF(AND(B4648="Ha verdadera",E4648="No rechazar H0"),"Error tipo II","Decisión correcta"))</f>
        <v>Decisión correcta</v>
      </c>
    </row>
    <row r="4649" customFormat="false" ht="15" hidden="false" customHeight="false" outlineLevel="0" collapsed="false">
      <c r="A4649" s="0" t="n">
        <v>4628</v>
      </c>
      <c r="B4649" s="0" t="s">
        <v>85</v>
      </c>
      <c r="C4649" s="17" t="n">
        <v>0.00571445422559624</v>
      </c>
      <c r="D4649" s="17" t="n">
        <f aca="false">(C4649-$B$4)/($B$6/SQRT($B$7))</f>
        <v>0.0285722711279812</v>
      </c>
      <c r="E4649" s="0" t="str">
        <f aca="false">IF(OR(AND($B$9="superior",D4649&gt;$B$10),AND($B$9="inferior",D4649&lt;-$B$10)),"Rechazar H0","No rechazar H0")</f>
        <v>No rechazar H0</v>
      </c>
      <c r="F4649" s="0" t="str">
        <f aca="false">IF(AND(B4649="H0 verdadera",E4649="Rechazar H0"),"Error tipo I",IF(AND(B4649="Ha verdadera",E4649="No rechazar H0"),"Error tipo II","Decisión correcta"))</f>
        <v>Decisión correcta</v>
      </c>
    </row>
    <row r="4650" customFormat="false" ht="15" hidden="false" customHeight="false" outlineLevel="0" collapsed="false">
      <c r="A4650" s="0" t="n">
        <v>4629</v>
      </c>
      <c r="B4650" s="0" t="s">
        <v>85</v>
      </c>
      <c r="C4650" s="17" t="n">
        <v>0.0571377621233889</v>
      </c>
      <c r="D4650" s="17" t="n">
        <f aca="false">(C4650-$B$4)/($B$6/SQRT($B$7))</f>
        <v>0.285688810616944</v>
      </c>
      <c r="E4650" s="0" t="str">
        <f aca="false">IF(OR(AND($B$9="superior",D4650&gt;$B$10),AND($B$9="inferior",D4650&lt;-$B$10)),"Rechazar H0","No rechazar H0")</f>
        <v>No rechazar H0</v>
      </c>
      <c r="F4650" s="0" t="str">
        <f aca="false">IF(AND(B4650="H0 verdadera",E4650="Rechazar H0"),"Error tipo I",IF(AND(B4650="Ha verdadera",E4650="No rechazar H0"),"Error tipo II","Decisión correcta"))</f>
        <v>Decisión correcta</v>
      </c>
    </row>
    <row r="4651" customFormat="false" ht="15" hidden="false" customHeight="false" outlineLevel="0" collapsed="false">
      <c r="A4651" s="0" t="n">
        <v>4630</v>
      </c>
      <c r="B4651" s="0" t="s">
        <v>86</v>
      </c>
      <c r="C4651" s="17" t="n">
        <v>-0.413371063941539</v>
      </c>
      <c r="D4651" s="17" t="n">
        <f aca="false">(C4651-$B$4)/($B$6/SQRT($B$7))</f>
        <v>-2.06685531970769</v>
      </c>
      <c r="E4651" s="0" t="str">
        <f aca="false">IF(OR(AND($B$9="superior",D4651&gt;$B$10),AND($B$9="inferior",D4651&lt;-$B$10)),"Rechazar H0","No rechazar H0")</f>
        <v>Rechazar H0</v>
      </c>
      <c r="F4651" s="0" t="str">
        <f aca="false">IF(AND(B4651="H0 verdadera",E4651="Rechazar H0"),"Error tipo I",IF(AND(B4651="Ha verdadera",E4651="No rechazar H0"),"Error tipo II","Decisión correcta"))</f>
        <v>Decisión correcta</v>
      </c>
    </row>
    <row r="4652" customFormat="false" ht="15" hidden="false" customHeight="false" outlineLevel="0" collapsed="false">
      <c r="A4652" s="0" t="n">
        <v>4631</v>
      </c>
      <c r="B4652" s="0" t="s">
        <v>85</v>
      </c>
      <c r="C4652" s="17" t="n">
        <v>-0.0898794388143267</v>
      </c>
      <c r="D4652" s="17" t="n">
        <f aca="false">(C4652-$B$4)/($B$6/SQRT($B$7))</f>
        <v>-0.449397194071633</v>
      </c>
      <c r="E4652" s="0" t="str">
        <f aca="false">IF(OR(AND($B$9="superior",D4652&gt;$B$10),AND($B$9="inferior",D4652&lt;-$B$10)),"Rechazar H0","No rechazar H0")</f>
        <v>No rechazar H0</v>
      </c>
      <c r="F4652" s="0" t="str">
        <f aca="false">IF(AND(B4652="H0 verdadera",E4652="Rechazar H0"),"Error tipo I",IF(AND(B4652="Ha verdadera",E4652="No rechazar H0"),"Error tipo II","Decisión correcta"))</f>
        <v>Decisión correcta</v>
      </c>
    </row>
    <row r="4653" customFormat="false" ht="15" hidden="false" customHeight="false" outlineLevel="0" collapsed="false">
      <c r="A4653" s="0" t="n">
        <v>4632</v>
      </c>
      <c r="B4653" s="0" t="s">
        <v>85</v>
      </c>
      <c r="C4653" s="17" t="n">
        <v>0.583747167354209</v>
      </c>
      <c r="D4653" s="17" t="n">
        <f aca="false">(C4653-$B$4)/($B$6/SQRT($B$7))</f>
        <v>2.91873583677104</v>
      </c>
      <c r="E4653" s="0" t="str">
        <f aca="false">IF(OR(AND($B$9="superior",D4653&gt;$B$10),AND($B$9="inferior",D4653&lt;-$B$10)),"Rechazar H0","No rechazar H0")</f>
        <v>No rechazar H0</v>
      </c>
      <c r="F4653" s="0" t="str">
        <f aca="false">IF(AND(B4653="H0 verdadera",E4653="Rechazar H0"),"Error tipo I",IF(AND(B4653="Ha verdadera",E4653="No rechazar H0"),"Error tipo II","Decisión correcta"))</f>
        <v>Decisión correcta</v>
      </c>
    </row>
    <row r="4654" customFormat="false" ht="15" hidden="false" customHeight="false" outlineLevel="0" collapsed="false">
      <c r="A4654" s="0" t="n">
        <v>4633</v>
      </c>
      <c r="B4654" s="0" t="s">
        <v>86</v>
      </c>
      <c r="C4654" s="17" t="n">
        <v>-0.54078867363792</v>
      </c>
      <c r="D4654" s="17" t="n">
        <f aca="false">(C4654-$B$4)/($B$6/SQRT($B$7))</f>
        <v>-2.7039433681896</v>
      </c>
      <c r="E4654" s="0" t="str">
        <f aca="false">IF(OR(AND($B$9="superior",D4654&gt;$B$10),AND($B$9="inferior",D4654&lt;-$B$10)),"Rechazar H0","No rechazar H0")</f>
        <v>Rechazar H0</v>
      </c>
      <c r="F4654" s="0" t="str">
        <f aca="false">IF(AND(B4654="H0 verdadera",E4654="Rechazar H0"),"Error tipo I",IF(AND(B4654="Ha verdadera",E4654="No rechazar H0"),"Error tipo II","Decisión correcta"))</f>
        <v>Decisión correcta</v>
      </c>
    </row>
    <row r="4655" customFormat="false" ht="15" hidden="false" customHeight="false" outlineLevel="0" collapsed="false">
      <c r="A4655" s="0" t="n">
        <v>4634</v>
      </c>
      <c r="B4655" s="0" t="s">
        <v>85</v>
      </c>
      <c r="C4655" s="17" t="n">
        <v>0.250857553583973</v>
      </c>
      <c r="D4655" s="17" t="n">
        <f aca="false">(C4655-$B$4)/($B$6/SQRT($B$7))</f>
        <v>1.25428776791986</v>
      </c>
      <c r="E4655" s="0" t="str">
        <f aca="false">IF(OR(AND($B$9="superior",D4655&gt;$B$10),AND($B$9="inferior",D4655&lt;-$B$10)),"Rechazar H0","No rechazar H0")</f>
        <v>No rechazar H0</v>
      </c>
      <c r="F4655" s="0" t="str">
        <f aca="false">IF(AND(B4655="H0 verdadera",E4655="Rechazar H0"),"Error tipo I",IF(AND(B4655="Ha verdadera",E4655="No rechazar H0"),"Error tipo II","Decisión correcta"))</f>
        <v>Decisión correcta</v>
      </c>
    </row>
    <row r="4656" customFormat="false" ht="15" hidden="false" customHeight="false" outlineLevel="0" collapsed="false">
      <c r="A4656" s="0" t="n">
        <v>4635</v>
      </c>
      <c r="B4656" s="0" t="s">
        <v>85</v>
      </c>
      <c r="C4656" s="17" t="n">
        <v>0.284076633588403</v>
      </c>
      <c r="D4656" s="17" t="n">
        <f aca="false">(C4656-$B$4)/($B$6/SQRT($B$7))</f>
        <v>1.42038316794202</v>
      </c>
      <c r="E4656" s="0" t="str">
        <f aca="false">IF(OR(AND($B$9="superior",D4656&gt;$B$10),AND($B$9="inferior",D4656&lt;-$B$10)),"Rechazar H0","No rechazar H0")</f>
        <v>No rechazar H0</v>
      </c>
      <c r="F4656" s="0" t="str">
        <f aca="false">IF(AND(B4656="H0 verdadera",E4656="Rechazar H0"),"Error tipo I",IF(AND(B4656="Ha verdadera",E4656="No rechazar H0"),"Error tipo II","Decisión correcta"))</f>
        <v>Decisión correcta</v>
      </c>
    </row>
    <row r="4657" customFormat="false" ht="15" hidden="false" customHeight="false" outlineLevel="0" collapsed="false">
      <c r="A4657" s="0" t="n">
        <v>4636</v>
      </c>
      <c r="B4657" s="0" t="s">
        <v>85</v>
      </c>
      <c r="C4657" s="17" t="n">
        <v>-0.00316552309484203</v>
      </c>
      <c r="D4657" s="17" t="n">
        <f aca="false">(C4657-$B$4)/($B$6/SQRT($B$7))</f>
        <v>-0.0158276154742102</v>
      </c>
      <c r="E4657" s="0" t="str">
        <f aca="false">IF(OR(AND($B$9="superior",D4657&gt;$B$10),AND($B$9="inferior",D4657&lt;-$B$10)),"Rechazar H0","No rechazar H0")</f>
        <v>No rechazar H0</v>
      </c>
      <c r="F4657" s="0" t="str">
        <f aca="false">IF(AND(B4657="H0 verdadera",E4657="Rechazar H0"),"Error tipo I",IF(AND(B4657="Ha verdadera",E4657="No rechazar H0"),"Error tipo II","Decisión correcta"))</f>
        <v>Decisión correcta</v>
      </c>
    </row>
    <row r="4658" customFormat="false" ht="15" hidden="false" customHeight="false" outlineLevel="0" collapsed="false">
      <c r="A4658" s="0" t="n">
        <v>4637</v>
      </c>
      <c r="B4658" s="0" t="s">
        <v>86</v>
      </c>
      <c r="C4658" s="17" t="n">
        <v>-0.624572027151347</v>
      </c>
      <c r="D4658" s="17" t="n">
        <f aca="false">(C4658-$B$4)/($B$6/SQRT($B$7))</f>
        <v>-3.12286013575673</v>
      </c>
      <c r="E4658" s="0" t="str">
        <f aca="false">IF(OR(AND($B$9="superior",D4658&gt;$B$10),AND($B$9="inferior",D4658&lt;-$B$10)),"Rechazar H0","No rechazar H0")</f>
        <v>Rechazar H0</v>
      </c>
      <c r="F4658" s="0" t="str">
        <f aca="false">IF(AND(B4658="H0 verdadera",E4658="Rechazar H0"),"Error tipo I",IF(AND(B4658="Ha verdadera",E4658="No rechazar H0"),"Error tipo II","Decisión correcta"))</f>
        <v>Decisión correcta</v>
      </c>
    </row>
    <row r="4659" customFormat="false" ht="15" hidden="false" customHeight="false" outlineLevel="0" collapsed="false">
      <c r="A4659" s="0" t="n">
        <v>4638</v>
      </c>
      <c r="B4659" s="0" t="s">
        <v>85</v>
      </c>
      <c r="C4659" s="17" t="n">
        <v>0.214475599539267</v>
      </c>
      <c r="D4659" s="17" t="n">
        <f aca="false">(C4659-$B$4)/($B$6/SQRT($B$7))</f>
        <v>1.07237799769634</v>
      </c>
      <c r="E4659" s="0" t="str">
        <f aca="false">IF(OR(AND($B$9="superior",D4659&gt;$B$10),AND($B$9="inferior",D4659&lt;-$B$10)),"Rechazar H0","No rechazar H0")</f>
        <v>No rechazar H0</v>
      </c>
      <c r="F4659" s="0" t="str">
        <f aca="false">IF(AND(B4659="H0 verdadera",E4659="Rechazar H0"),"Error tipo I",IF(AND(B4659="Ha verdadera",E4659="No rechazar H0"),"Error tipo II","Decisión correcta"))</f>
        <v>Decisión correcta</v>
      </c>
    </row>
    <row r="4660" customFormat="false" ht="15" hidden="false" customHeight="false" outlineLevel="0" collapsed="false">
      <c r="A4660" s="0" t="n">
        <v>4639</v>
      </c>
      <c r="B4660" s="0" t="s">
        <v>85</v>
      </c>
      <c r="C4660" s="17" t="n">
        <v>0.316453742736972</v>
      </c>
      <c r="D4660" s="17" t="n">
        <f aca="false">(C4660-$B$4)/($B$6/SQRT($B$7))</f>
        <v>1.58226871368486</v>
      </c>
      <c r="E4660" s="0" t="str">
        <f aca="false">IF(OR(AND($B$9="superior",D4660&gt;$B$10),AND($B$9="inferior",D4660&lt;-$B$10)),"Rechazar H0","No rechazar H0")</f>
        <v>No rechazar H0</v>
      </c>
      <c r="F4660" s="0" t="str">
        <f aca="false">IF(AND(B4660="H0 verdadera",E4660="Rechazar H0"),"Error tipo I",IF(AND(B4660="Ha verdadera",E4660="No rechazar H0"),"Error tipo II","Decisión correcta"))</f>
        <v>Decisión correcta</v>
      </c>
    </row>
    <row r="4661" customFormat="false" ht="15" hidden="false" customHeight="false" outlineLevel="0" collapsed="false">
      <c r="A4661" s="0" t="n">
        <v>4640</v>
      </c>
      <c r="B4661" s="0" t="s">
        <v>86</v>
      </c>
      <c r="C4661" s="17" t="n">
        <v>-0.173958210782538</v>
      </c>
      <c r="D4661" s="17" t="n">
        <f aca="false">(C4661-$B$4)/($B$6/SQRT($B$7))</f>
        <v>-0.869791053912689</v>
      </c>
      <c r="E4661" s="0" t="str">
        <f aca="false">IF(OR(AND($B$9="superior",D4661&gt;$B$10),AND($B$9="inferior",D4661&lt;-$B$10)),"Rechazar H0","No rechazar H0")</f>
        <v>No rechazar H0</v>
      </c>
      <c r="F4661" s="0" t="str">
        <f aca="false">IF(AND(B4661="H0 verdadera",E4661="Rechazar H0"),"Error tipo I",IF(AND(B4661="Ha verdadera",E4661="No rechazar H0"),"Error tipo II","Decisión correcta"))</f>
        <v>Error tipo II</v>
      </c>
    </row>
    <row r="4662" customFormat="false" ht="15" hidden="false" customHeight="false" outlineLevel="0" collapsed="false">
      <c r="A4662" s="0" t="n">
        <v>4641</v>
      </c>
      <c r="B4662" s="0" t="s">
        <v>86</v>
      </c>
      <c r="C4662" s="17" t="n">
        <v>-0.342614182548738</v>
      </c>
      <c r="D4662" s="17" t="n">
        <f aca="false">(C4662-$B$4)/($B$6/SQRT($B$7))</f>
        <v>-1.71307091274369</v>
      </c>
      <c r="E4662" s="0" t="str">
        <f aca="false">IF(OR(AND($B$9="superior",D4662&gt;$B$10),AND($B$9="inferior",D4662&lt;-$B$10)),"Rechazar H0","No rechazar H0")</f>
        <v>Rechazar H0</v>
      </c>
      <c r="F4662" s="0" t="str">
        <f aca="false">IF(AND(B4662="H0 verdadera",E4662="Rechazar H0"),"Error tipo I",IF(AND(B4662="Ha verdadera",E4662="No rechazar H0"),"Error tipo II","Decisión correcta"))</f>
        <v>Decisión correcta</v>
      </c>
    </row>
    <row r="4663" customFormat="false" ht="15" hidden="false" customHeight="false" outlineLevel="0" collapsed="false">
      <c r="A4663" s="0" t="n">
        <v>4642</v>
      </c>
      <c r="B4663" s="0" t="s">
        <v>85</v>
      </c>
      <c r="C4663" s="17" t="n">
        <v>0.107637382289366</v>
      </c>
      <c r="D4663" s="17" t="n">
        <f aca="false">(C4663-$B$4)/($B$6/SQRT($B$7))</f>
        <v>0.53818691144683</v>
      </c>
      <c r="E4663" s="0" t="str">
        <f aca="false">IF(OR(AND($B$9="superior",D4663&gt;$B$10),AND($B$9="inferior",D4663&lt;-$B$10)),"Rechazar H0","No rechazar H0")</f>
        <v>No rechazar H0</v>
      </c>
      <c r="F4663" s="0" t="str">
        <f aca="false">IF(AND(B4663="H0 verdadera",E4663="Rechazar H0"),"Error tipo I",IF(AND(B4663="Ha verdadera",E4663="No rechazar H0"),"Error tipo II","Decisión correcta"))</f>
        <v>Decisión correcta</v>
      </c>
    </row>
    <row r="4664" customFormat="false" ht="15" hidden="false" customHeight="false" outlineLevel="0" collapsed="false">
      <c r="A4664" s="0" t="n">
        <v>4643</v>
      </c>
      <c r="B4664" s="0" t="s">
        <v>85</v>
      </c>
      <c r="C4664" s="17" t="n">
        <v>0.140947319499285</v>
      </c>
      <c r="D4664" s="17" t="n">
        <f aca="false">(C4664-$B$4)/($B$6/SQRT($B$7))</f>
        <v>0.704736597496424</v>
      </c>
      <c r="E4664" s="0" t="str">
        <f aca="false">IF(OR(AND($B$9="superior",D4664&gt;$B$10),AND($B$9="inferior",D4664&lt;-$B$10)),"Rechazar H0","No rechazar H0")</f>
        <v>No rechazar H0</v>
      </c>
      <c r="F4664" s="0" t="str">
        <f aca="false">IF(AND(B4664="H0 verdadera",E4664="Rechazar H0"),"Error tipo I",IF(AND(B4664="Ha verdadera",E4664="No rechazar H0"),"Error tipo II","Decisión correcta"))</f>
        <v>Decisión correcta</v>
      </c>
    </row>
    <row r="4665" customFormat="false" ht="15" hidden="false" customHeight="false" outlineLevel="0" collapsed="false">
      <c r="A4665" s="0" t="n">
        <v>4644</v>
      </c>
      <c r="B4665" s="0" t="s">
        <v>85</v>
      </c>
      <c r="C4665" s="17" t="n">
        <v>0.147803102299687</v>
      </c>
      <c r="D4665" s="17" t="n">
        <f aca="false">(C4665-$B$4)/($B$6/SQRT($B$7))</f>
        <v>0.739015511498436</v>
      </c>
      <c r="E4665" s="0" t="str">
        <f aca="false">IF(OR(AND($B$9="superior",D4665&gt;$B$10),AND($B$9="inferior",D4665&lt;-$B$10)),"Rechazar H0","No rechazar H0")</f>
        <v>No rechazar H0</v>
      </c>
      <c r="F4665" s="0" t="str">
        <f aca="false">IF(AND(B4665="H0 verdadera",E4665="Rechazar H0"),"Error tipo I",IF(AND(B4665="Ha verdadera",E4665="No rechazar H0"),"Error tipo II","Decisión correcta"))</f>
        <v>Decisión correcta</v>
      </c>
    </row>
    <row r="4666" customFormat="false" ht="15" hidden="false" customHeight="false" outlineLevel="0" collapsed="false">
      <c r="A4666" s="0" t="n">
        <v>4645</v>
      </c>
      <c r="B4666" s="0" t="s">
        <v>86</v>
      </c>
      <c r="C4666" s="17" t="n">
        <v>-0.674859820398887</v>
      </c>
      <c r="D4666" s="17" t="n">
        <f aca="false">(C4666-$B$4)/($B$6/SQRT($B$7))</f>
        <v>-3.37429910199443</v>
      </c>
      <c r="E4666" s="0" t="str">
        <f aca="false">IF(OR(AND($B$9="superior",D4666&gt;$B$10),AND($B$9="inferior",D4666&lt;-$B$10)),"Rechazar H0","No rechazar H0")</f>
        <v>Rechazar H0</v>
      </c>
      <c r="F4666" s="0" t="str">
        <f aca="false">IF(AND(B4666="H0 verdadera",E4666="Rechazar H0"),"Error tipo I",IF(AND(B4666="Ha verdadera",E4666="No rechazar H0"),"Error tipo II","Decisión correcta"))</f>
        <v>Decisión correcta</v>
      </c>
    </row>
    <row r="4667" customFormat="false" ht="15" hidden="false" customHeight="false" outlineLevel="0" collapsed="false">
      <c r="A4667" s="0" t="n">
        <v>4646</v>
      </c>
      <c r="B4667" s="0" t="s">
        <v>86</v>
      </c>
      <c r="C4667" s="17" t="n">
        <v>-0.321064011708526</v>
      </c>
      <c r="D4667" s="17" t="n">
        <f aca="false">(C4667-$B$4)/($B$6/SQRT($B$7))</f>
        <v>-1.60532005854263</v>
      </c>
      <c r="E4667" s="0" t="str">
        <f aca="false">IF(OR(AND($B$9="superior",D4667&gt;$B$10),AND($B$9="inferior",D4667&lt;-$B$10)),"Rechazar H0","No rechazar H0")</f>
        <v>No rechazar H0</v>
      </c>
      <c r="F4667" s="0" t="str">
        <f aca="false">IF(AND(B4667="H0 verdadera",E4667="Rechazar H0"),"Error tipo I",IF(AND(B4667="Ha verdadera",E4667="No rechazar H0"),"Error tipo II","Decisión correcta"))</f>
        <v>Error tipo II</v>
      </c>
    </row>
    <row r="4668" customFormat="false" ht="15" hidden="false" customHeight="false" outlineLevel="0" collapsed="false">
      <c r="A4668" s="0" t="n">
        <v>4647</v>
      </c>
      <c r="B4668" s="0" t="s">
        <v>86</v>
      </c>
      <c r="C4668" s="17" t="n">
        <v>0.043735178425715</v>
      </c>
      <c r="D4668" s="17" t="n">
        <f aca="false">(C4668-$B$4)/($B$6/SQRT($B$7))</f>
        <v>0.218675892128575</v>
      </c>
      <c r="E4668" s="0" t="str">
        <f aca="false">IF(OR(AND($B$9="superior",D4668&gt;$B$10),AND($B$9="inferior",D4668&lt;-$B$10)),"Rechazar H0","No rechazar H0")</f>
        <v>No rechazar H0</v>
      </c>
      <c r="F4668" s="0" t="str">
        <f aca="false">IF(AND(B4668="H0 verdadera",E4668="Rechazar H0"),"Error tipo I",IF(AND(B4668="Ha verdadera",E4668="No rechazar H0"),"Error tipo II","Decisión correcta"))</f>
        <v>Error tipo II</v>
      </c>
    </row>
    <row r="4669" customFormat="false" ht="15" hidden="false" customHeight="false" outlineLevel="0" collapsed="false">
      <c r="A4669" s="0" t="n">
        <v>4648</v>
      </c>
      <c r="B4669" s="0" t="s">
        <v>85</v>
      </c>
      <c r="C4669" s="17" t="n">
        <v>0.117862820859336</v>
      </c>
      <c r="D4669" s="17" t="n">
        <f aca="false">(C4669-$B$4)/($B$6/SQRT($B$7))</f>
        <v>0.589314104296677</v>
      </c>
      <c r="E4669" s="0" t="str">
        <f aca="false">IF(OR(AND($B$9="superior",D4669&gt;$B$10),AND($B$9="inferior",D4669&lt;-$B$10)),"Rechazar H0","No rechazar H0")</f>
        <v>No rechazar H0</v>
      </c>
      <c r="F4669" s="0" t="str">
        <f aca="false">IF(AND(B4669="H0 verdadera",E4669="Rechazar H0"),"Error tipo I",IF(AND(B4669="Ha verdadera",E4669="No rechazar H0"),"Error tipo II","Decisión correcta"))</f>
        <v>Decisión correcta</v>
      </c>
    </row>
    <row r="4670" customFormat="false" ht="15" hidden="false" customHeight="false" outlineLevel="0" collapsed="false">
      <c r="A4670" s="0" t="n">
        <v>4649</v>
      </c>
      <c r="B4670" s="0" t="s">
        <v>85</v>
      </c>
      <c r="C4670" s="17" t="n">
        <v>-0.180741755007528</v>
      </c>
      <c r="D4670" s="17" t="n">
        <f aca="false">(C4670-$B$4)/($B$6/SQRT($B$7))</f>
        <v>-0.903708775037641</v>
      </c>
      <c r="E4670" s="0" t="str">
        <f aca="false">IF(OR(AND($B$9="superior",D4670&gt;$B$10),AND($B$9="inferior",D4670&lt;-$B$10)),"Rechazar H0","No rechazar H0")</f>
        <v>No rechazar H0</v>
      </c>
      <c r="F4670" s="0" t="str">
        <f aca="false">IF(AND(B4670="H0 verdadera",E4670="Rechazar H0"),"Error tipo I",IF(AND(B4670="Ha verdadera",E4670="No rechazar H0"),"Error tipo II","Decisión correcta"))</f>
        <v>Decisión correcta</v>
      </c>
    </row>
    <row r="4671" customFormat="false" ht="15" hidden="false" customHeight="false" outlineLevel="0" collapsed="false">
      <c r="A4671" s="0" t="n">
        <v>4650</v>
      </c>
      <c r="B4671" s="0" t="s">
        <v>86</v>
      </c>
      <c r="C4671" s="17" t="n">
        <v>-1.20514276063929</v>
      </c>
      <c r="D4671" s="17" t="n">
        <f aca="false">(C4671-$B$4)/($B$6/SQRT($B$7))</f>
        <v>-6.02571380319646</v>
      </c>
      <c r="E4671" s="0" t="str">
        <f aca="false">IF(OR(AND($B$9="superior",D4671&gt;$B$10),AND($B$9="inferior",D4671&lt;-$B$10)),"Rechazar H0","No rechazar H0")</f>
        <v>Rechazar H0</v>
      </c>
      <c r="F4671" s="0" t="str">
        <f aca="false">IF(AND(B4671="H0 verdadera",E4671="Rechazar H0"),"Error tipo I",IF(AND(B4671="Ha verdadera",E4671="No rechazar H0"),"Error tipo II","Decisión correcta"))</f>
        <v>Decisión correcta</v>
      </c>
    </row>
    <row r="4672" customFormat="false" ht="15" hidden="false" customHeight="false" outlineLevel="0" collapsed="false">
      <c r="A4672" s="0" t="n">
        <v>4651</v>
      </c>
      <c r="B4672" s="0" t="s">
        <v>86</v>
      </c>
      <c r="C4672" s="17" t="n">
        <v>-0.525024744138775</v>
      </c>
      <c r="D4672" s="17" t="n">
        <f aca="false">(C4672-$B$4)/($B$6/SQRT($B$7))</f>
        <v>-2.62512372069387</v>
      </c>
      <c r="E4672" s="0" t="str">
        <f aca="false">IF(OR(AND($B$9="superior",D4672&gt;$B$10),AND($B$9="inferior",D4672&lt;-$B$10)),"Rechazar H0","No rechazar H0")</f>
        <v>Rechazar H0</v>
      </c>
      <c r="F4672" s="0" t="str">
        <f aca="false">IF(AND(B4672="H0 verdadera",E4672="Rechazar H0"),"Error tipo I",IF(AND(B4672="Ha verdadera",E4672="No rechazar H0"),"Error tipo II","Decisión correcta"))</f>
        <v>Decisión correcta</v>
      </c>
    </row>
    <row r="4673" customFormat="false" ht="15" hidden="false" customHeight="false" outlineLevel="0" collapsed="false">
      <c r="A4673" s="0" t="n">
        <v>4652</v>
      </c>
      <c r="B4673" s="0" t="s">
        <v>86</v>
      </c>
      <c r="C4673" s="17" t="n">
        <v>-0.395176476820674</v>
      </c>
      <c r="D4673" s="17" t="n">
        <f aca="false">(C4673-$B$4)/($B$6/SQRT($B$7))</f>
        <v>-1.97588238410337</v>
      </c>
      <c r="E4673" s="0" t="str">
        <f aca="false">IF(OR(AND($B$9="superior",D4673&gt;$B$10),AND($B$9="inferior",D4673&lt;-$B$10)),"Rechazar H0","No rechazar H0")</f>
        <v>Rechazar H0</v>
      </c>
      <c r="F4673" s="0" t="str">
        <f aca="false">IF(AND(B4673="H0 verdadera",E4673="Rechazar H0"),"Error tipo I",IF(AND(B4673="Ha verdadera",E4673="No rechazar H0"),"Error tipo II","Decisión correcta"))</f>
        <v>Decisión correcta</v>
      </c>
    </row>
    <row r="4674" customFormat="false" ht="15" hidden="false" customHeight="false" outlineLevel="0" collapsed="false">
      <c r="A4674" s="0" t="n">
        <v>4653</v>
      </c>
      <c r="B4674" s="0" t="s">
        <v>85</v>
      </c>
      <c r="C4674" s="17" t="n">
        <v>0.127785723966454</v>
      </c>
      <c r="D4674" s="17" t="n">
        <f aca="false">(C4674-$B$4)/($B$6/SQRT($B$7))</f>
        <v>0.638928619832272</v>
      </c>
      <c r="E4674" s="0" t="str">
        <f aca="false">IF(OR(AND($B$9="superior",D4674&gt;$B$10),AND($B$9="inferior",D4674&lt;-$B$10)),"Rechazar H0","No rechazar H0")</f>
        <v>No rechazar H0</v>
      </c>
      <c r="F4674" s="0" t="str">
        <f aca="false">IF(AND(B4674="H0 verdadera",E4674="Rechazar H0"),"Error tipo I",IF(AND(B4674="Ha verdadera",E4674="No rechazar H0"),"Error tipo II","Decisión correcta"))</f>
        <v>Decisión correcta</v>
      </c>
    </row>
    <row r="4675" customFormat="false" ht="15" hidden="false" customHeight="false" outlineLevel="0" collapsed="false">
      <c r="A4675" s="0" t="n">
        <v>4654</v>
      </c>
      <c r="B4675" s="0" t="s">
        <v>86</v>
      </c>
      <c r="C4675" s="17" t="n">
        <v>-0.345334111356772</v>
      </c>
      <c r="D4675" s="17" t="n">
        <f aca="false">(C4675-$B$4)/($B$6/SQRT($B$7))</f>
        <v>-1.72667055678386</v>
      </c>
      <c r="E4675" s="0" t="str">
        <f aca="false">IF(OR(AND($B$9="superior",D4675&gt;$B$10),AND($B$9="inferior",D4675&lt;-$B$10)),"Rechazar H0","No rechazar H0")</f>
        <v>Rechazar H0</v>
      </c>
      <c r="F4675" s="0" t="str">
        <f aca="false">IF(AND(B4675="H0 verdadera",E4675="Rechazar H0"),"Error tipo I",IF(AND(B4675="Ha verdadera",E4675="No rechazar H0"),"Error tipo II","Decisión correcta"))</f>
        <v>Decisión correcta</v>
      </c>
    </row>
    <row r="4676" customFormat="false" ht="15" hidden="false" customHeight="false" outlineLevel="0" collapsed="false">
      <c r="A4676" s="0" t="n">
        <v>4655</v>
      </c>
      <c r="B4676" s="0" t="s">
        <v>86</v>
      </c>
      <c r="C4676" s="17" t="n">
        <v>-0.588635537283254</v>
      </c>
      <c r="D4676" s="17" t="n">
        <f aca="false">(C4676-$B$4)/($B$6/SQRT($B$7))</f>
        <v>-2.94317768641627</v>
      </c>
      <c r="E4676" s="0" t="str">
        <f aca="false">IF(OR(AND($B$9="superior",D4676&gt;$B$10),AND($B$9="inferior",D4676&lt;-$B$10)),"Rechazar H0","No rechazar H0")</f>
        <v>Rechazar H0</v>
      </c>
      <c r="F4676" s="0" t="str">
        <f aca="false">IF(AND(B4676="H0 verdadera",E4676="Rechazar H0"),"Error tipo I",IF(AND(B4676="Ha verdadera",E4676="No rechazar H0"),"Error tipo II","Decisión correcta"))</f>
        <v>Decisión correcta</v>
      </c>
    </row>
    <row r="4677" customFormat="false" ht="15" hidden="false" customHeight="false" outlineLevel="0" collapsed="false">
      <c r="A4677" s="0" t="n">
        <v>4656</v>
      </c>
      <c r="B4677" s="0" t="s">
        <v>86</v>
      </c>
      <c r="C4677" s="17" t="n">
        <v>-0.2789548414563</v>
      </c>
      <c r="D4677" s="17" t="n">
        <f aca="false">(C4677-$B$4)/($B$6/SQRT($B$7))</f>
        <v>-1.3947742072815</v>
      </c>
      <c r="E4677" s="0" t="str">
        <f aca="false">IF(OR(AND($B$9="superior",D4677&gt;$B$10),AND($B$9="inferior",D4677&lt;-$B$10)),"Rechazar H0","No rechazar H0")</f>
        <v>No rechazar H0</v>
      </c>
      <c r="F4677" s="0" t="str">
        <f aca="false">IF(AND(B4677="H0 verdadera",E4677="Rechazar H0"),"Error tipo I",IF(AND(B4677="Ha verdadera",E4677="No rechazar H0"),"Error tipo II","Decisión correcta"))</f>
        <v>Error tipo II</v>
      </c>
    </row>
    <row r="4678" customFormat="false" ht="15" hidden="false" customHeight="false" outlineLevel="0" collapsed="false">
      <c r="A4678" s="0" t="n">
        <v>4657</v>
      </c>
      <c r="B4678" s="0" t="s">
        <v>85</v>
      </c>
      <c r="C4678" s="17" t="n">
        <v>-0.0481836668335006</v>
      </c>
      <c r="D4678" s="17" t="n">
        <f aca="false">(C4678-$B$4)/($B$6/SQRT($B$7))</f>
        <v>-0.240918334167503</v>
      </c>
      <c r="E4678" s="0" t="str">
        <f aca="false">IF(OR(AND($B$9="superior",D4678&gt;$B$10),AND($B$9="inferior",D4678&lt;-$B$10)),"Rechazar H0","No rechazar H0")</f>
        <v>No rechazar H0</v>
      </c>
      <c r="F4678" s="0" t="str">
        <f aca="false">IF(AND(B4678="H0 verdadera",E4678="Rechazar H0"),"Error tipo I",IF(AND(B4678="Ha verdadera",E4678="No rechazar H0"),"Error tipo II","Decisión correcta"))</f>
        <v>Decisión correcta</v>
      </c>
    </row>
    <row r="4679" customFormat="false" ht="15" hidden="false" customHeight="false" outlineLevel="0" collapsed="false">
      <c r="A4679" s="0" t="n">
        <v>4658</v>
      </c>
      <c r="B4679" s="0" t="s">
        <v>85</v>
      </c>
      <c r="C4679" s="17" t="n">
        <v>0.0491177563623644</v>
      </c>
      <c r="D4679" s="17" t="n">
        <f aca="false">(C4679-$B$4)/($B$6/SQRT($B$7))</f>
        <v>0.245588781811822</v>
      </c>
      <c r="E4679" s="0" t="str">
        <f aca="false">IF(OR(AND($B$9="superior",D4679&gt;$B$10),AND($B$9="inferior",D4679&lt;-$B$10)),"Rechazar H0","No rechazar H0")</f>
        <v>No rechazar H0</v>
      </c>
      <c r="F4679" s="0" t="str">
        <f aca="false">IF(AND(B4679="H0 verdadera",E4679="Rechazar H0"),"Error tipo I",IF(AND(B4679="Ha verdadera",E4679="No rechazar H0"),"Error tipo II","Decisión correcta"))</f>
        <v>Decisión correcta</v>
      </c>
    </row>
    <row r="4680" customFormat="false" ht="15" hidden="false" customHeight="false" outlineLevel="0" collapsed="false">
      <c r="A4680" s="0" t="n">
        <v>4659</v>
      </c>
      <c r="B4680" s="0" t="s">
        <v>86</v>
      </c>
      <c r="C4680" s="17" t="n">
        <v>-0.354817084062865</v>
      </c>
      <c r="D4680" s="17" t="n">
        <f aca="false">(C4680-$B$4)/($B$6/SQRT($B$7))</f>
        <v>-1.77408542031432</v>
      </c>
      <c r="E4680" s="0" t="str">
        <f aca="false">IF(OR(AND($B$9="superior",D4680&gt;$B$10),AND($B$9="inferior",D4680&lt;-$B$10)),"Rechazar H0","No rechazar H0")</f>
        <v>Rechazar H0</v>
      </c>
      <c r="F4680" s="0" t="str">
        <f aca="false">IF(AND(B4680="H0 verdadera",E4680="Rechazar H0"),"Error tipo I",IF(AND(B4680="Ha verdadera",E4680="No rechazar H0"),"Error tipo II","Decisión correcta"))</f>
        <v>Decisión correcta</v>
      </c>
    </row>
    <row r="4681" customFormat="false" ht="15" hidden="false" customHeight="false" outlineLevel="0" collapsed="false">
      <c r="A4681" s="0" t="n">
        <v>4660</v>
      </c>
      <c r="B4681" s="0" t="s">
        <v>86</v>
      </c>
      <c r="C4681" s="17" t="n">
        <v>-0.503450121889505</v>
      </c>
      <c r="D4681" s="17" t="n">
        <f aca="false">(C4681-$B$4)/($B$6/SQRT($B$7))</f>
        <v>-2.51725060944753</v>
      </c>
      <c r="E4681" s="0" t="str">
        <f aca="false">IF(OR(AND($B$9="superior",D4681&gt;$B$10),AND($B$9="inferior",D4681&lt;-$B$10)),"Rechazar H0","No rechazar H0")</f>
        <v>Rechazar H0</v>
      </c>
      <c r="F4681" s="0" t="str">
        <f aca="false">IF(AND(B4681="H0 verdadera",E4681="Rechazar H0"),"Error tipo I",IF(AND(B4681="Ha verdadera",E4681="No rechazar H0"),"Error tipo II","Decisión correcta"))</f>
        <v>Decisión correcta</v>
      </c>
    </row>
    <row r="4682" customFormat="false" ht="15" hidden="false" customHeight="false" outlineLevel="0" collapsed="false">
      <c r="A4682" s="0" t="n">
        <v>4661</v>
      </c>
      <c r="B4682" s="0" t="s">
        <v>85</v>
      </c>
      <c r="C4682" s="17" t="n">
        <v>0.12572354526501</v>
      </c>
      <c r="D4682" s="17" t="n">
        <f aca="false">(C4682-$B$4)/($B$6/SQRT($B$7))</f>
        <v>0.628617726325048</v>
      </c>
      <c r="E4682" s="0" t="str">
        <f aca="false">IF(OR(AND($B$9="superior",D4682&gt;$B$10),AND($B$9="inferior",D4682&lt;-$B$10)),"Rechazar H0","No rechazar H0")</f>
        <v>No rechazar H0</v>
      </c>
      <c r="F4682" s="0" t="str">
        <f aca="false">IF(AND(B4682="H0 verdadera",E4682="Rechazar H0"),"Error tipo I",IF(AND(B4682="Ha verdadera",E4682="No rechazar H0"),"Error tipo II","Decisión correcta"))</f>
        <v>Decisión correcta</v>
      </c>
    </row>
    <row r="4683" customFormat="false" ht="15" hidden="false" customHeight="false" outlineLevel="0" collapsed="false">
      <c r="A4683" s="0" t="n">
        <v>4662</v>
      </c>
      <c r="B4683" s="0" t="s">
        <v>85</v>
      </c>
      <c r="C4683" s="17" t="n">
        <v>0.0761079068151111</v>
      </c>
      <c r="D4683" s="17" t="n">
        <f aca="false">(C4683-$B$4)/($B$6/SQRT($B$7))</f>
        <v>0.380539534075556</v>
      </c>
      <c r="E4683" s="0" t="str">
        <f aca="false">IF(OR(AND($B$9="superior",D4683&gt;$B$10),AND($B$9="inferior",D4683&lt;-$B$10)),"Rechazar H0","No rechazar H0")</f>
        <v>No rechazar H0</v>
      </c>
      <c r="F4683" s="0" t="str">
        <f aca="false">IF(AND(B4683="H0 verdadera",E4683="Rechazar H0"),"Error tipo I",IF(AND(B4683="Ha verdadera",E4683="No rechazar H0"),"Error tipo II","Decisión correcta"))</f>
        <v>Decisión correcta</v>
      </c>
    </row>
    <row r="4684" customFormat="false" ht="15" hidden="false" customHeight="false" outlineLevel="0" collapsed="false">
      <c r="A4684" s="0" t="n">
        <v>4663</v>
      </c>
      <c r="B4684" s="0" t="s">
        <v>86</v>
      </c>
      <c r="C4684" s="17" t="n">
        <v>-0.408169323019075</v>
      </c>
      <c r="D4684" s="17" t="n">
        <f aca="false">(C4684-$B$4)/($B$6/SQRT($B$7))</f>
        <v>-2.04084661509537</v>
      </c>
      <c r="E4684" s="0" t="str">
        <f aca="false">IF(OR(AND($B$9="superior",D4684&gt;$B$10),AND($B$9="inferior",D4684&lt;-$B$10)),"Rechazar H0","No rechazar H0")</f>
        <v>Rechazar H0</v>
      </c>
      <c r="F4684" s="0" t="str">
        <f aca="false">IF(AND(B4684="H0 verdadera",E4684="Rechazar H0"),"Error tipo I",IF(AND(B4684="Ha verdadera",E4684="No rechazar H0"),"Error tipo II","Decisión correcta"))</f>
        <v>Decisión correcta</v>
      </c>
    </row>
    <row r="4685" customFormat="false" ht="15" hidden="false" customHeight="false" outlineLevel="0" collapsed="false">
      <c r="A4685" s="0" t="n">
        <v>4664</v>
      </c>
      <c r="B4685" s="0" t="s">
        <v>85</v>
      </c>
      <c r="C4685" s="17" t="n">
        <v>0.111705753364227</v>
      </c>
      <c r="D4685" s="17" t="n">
        <f aca="false">(C4685-$B$4)/($B$6/SQRT($B$7))</f>
        <v>0.558528766821133</v>
      </c>
      <c r="E4685" s="0" t="str">
        <f aca="false">IF(OR(AND($B$9="superior",D4685&gt;$B$10),AND($B$9="inferior",D4685&lt;-$B$10)),"Rechazar H0","No rechazar H0")</f>
        <v>No rechazar H0</v>
      </c>
      <c r="F4685" s="0" t="str">
        <f aca="false">IF(AND(B4685="H0 verdadera",E4685="Rechazar H0"),"Error tipo I",IF(AND(B4685="Ha verdadera",E4685="No rechazar H0"),"Error tipo II","Decisión correcta"))</f>
        <v>Decisión correcta</v>
      </c>
    </row>
    <row r="4686" customFormat="false" ht="15" hidden="false" customHeight="false" outlineLevel="0" collapsed="false">
      <c r="A4686" s="0" t="n">
        <v>4665</v>
      </c>
      <c r="B4686" s="0" t="s">
        <v>85</v>
      </c>
      <c r="C4686" s="17" t="n">
        <v>-0.154665898197775</v>
      </c>
      <c r="D4686" s="17" t="n">
        <f aca="false">(C4686-$B$4)/($B$6/SQRT($B$7))</f>
        <v>-0.773329490988874</v>
      </c>
      <c r="E4686" s="0" t="str">
        <f aca="false">IF(OR(AND($B$9="superior",D4686&gt;$B$10),AND($B$9="inferior",D4686&lt;-$B$10)),"Rechazar H0","No rechazar H0")</f>
        <v>No rechazar H0</v>
      </c>
      <c r="F4686" s="0" t="str">
        <f aca="false">IF(AND(B4686="H0 verdadera",E4686="Rechazar H0"),"Error tipo I",IF(AND(B4686="Ha verdadera",E4686="No rechazar H0"),"Error tipo II","Decisión correcta"))</f>
        <v>Decisión correcta</v>
      </c>
    </row>
    <row r="4687" customFormat="false" ht="15" hidden="false" customHeight="false" outlineLevel="0" collapsed="false">
      <c r="A4687" s="0" t="n">
        <v>4666</v>
      </c>
      <c r="B4687" s="0" t="s">
        <v>85</v>
      </c>
      <c r="C4687" s="17" t="n">
        <v>-0.244615796264336</v>
      </c>
      <c r="D4687" s="17" t="n">
        <f aca="false">(C4687-$B$4)/($B$6/SQRT($B$7))</f>
        <v>-1.22307898132168</v>
      </c>
      <c r="E4687" s="0" t="str">
        <f aca="false">IF(OR(AND($B$9="superior",D4687&gt;$B$10),AND($B$9="inferior",D4687&lt;-$B$10)),"Rechazar H0","No rechazar H0")</f>
        <v>No rechazar H0</v>
      </c>
      <c r="F4687" s="0" t="str">
        <f aca="false">IF(AND(B4687="H0 verdadera",E4687="Rechazar H0"),"Error tipo I",IF(AND(B4687="Ha verdadera",E4687="No rechazar H0"),"Error tipo II","Decisión correcta"))</f>
        <v>Decisión correcta</v>
      </c>
    </row>
    <row r="4688" customFormat="false" ht="15" hidden="false" customHeight="false" outlineLevel="0" collapsed="false">
      <c r="A4688" s="0" t="n">
        <v>4667</v>
      </c>
      <c r="B4688" s="0" t="s">
        <v>86</v>
      </c>
      <c r="C4688" s="17" t="n">
        <v>-0.385063853700873</v>
      </c>
      <c r="D4688" s="17" t="n">
        <f aca="false">(C4688-$B$4)/($B$6/SQRT($B$7))</f>
        <v>-1.92531926850436</v>
      </c>
      <c r="E4688" s="0" t="str">
        <f aca="false">IF(OR(AND($B$9="superior",D4688&gt;$B$10),AND($B$9="inferior",D4688&lt;-$B$10)),"Rechazar H0","No rechazar H0")</f>
        <v>Rechazar H0</v>
      </c>
      <c r="F4688" s="0" t="str">
        <f aca="false">IF(AND(B4688="H0 verdadera",E4688="Rechazar H0"),"Error tipo I",IF(AND(B4688="Ha verdadera",E4688="No rechazar H0"),"Error tipo II","Decisión correcta"))</f>
        <v>Decisión correcta</v>
      </c>
    </row>
    <row r="4689" customFormat="false" ht="15" hidden="false" customHeight="false" outlineLevel="0" collapsed="false">
      <c r="A4689" s="0" t="n">
        <v>4668</v>
      </c>
      <c r="B4689" s="0" t="s">
        <v>85</v>
      </c>
      <c r="C4689" s="17" t="n">
        <v>-0.137260878270489</v>
      </c>
      <c r="D4689" s="17" t="n">
        <f aca="false">(C4689-$B$4)/($B$6/SQRT($B$7))</f>
        <v>-0.686304391352446</v>
      </c>
      <c r="E4689" s="0" t="str">
        <f aca="false">IF(OR(AND($B$9="superior",D4689&gt;$B$10),AND($B$9="inferior",D4689&lt;-$B$10)),"Rechazar H0","No rechazar H0")</f>
        <v>No rechazar H0</v>
      </c>
      <c r="F4689" s="0" t="str">
        <f aca="false">IF(AND(B4689="H0 verdadera",E4689="Rechazar H0"),"Error tipo I",IF(AND(B4689="Ha verdadera",E4689="No rechazar H0"),"Error tipo II","Decisión correcta"))</f>
        <v>Decisión correcta</v>
      </c>
    </row>
    <row r="4690" customFormat="false" ht="15" hidden="false" customHeight="false" outlineLevel="0" collapsed="false">
      <c r="A4690" s="0" t="n">
        <v>4669</v>
      </c>
      <c r="B4690" s="0" t="s">
        <v>86</v>
      </c>
      <c r="C4690" s="17" t="n">
        <v>-0.211501853990173</v>
      </c>
      <c r="D4690" s="17" t="n">
        <f aca="false">(C4690-$B$4)/($B$6/SQRT($B$7))</f>
        <v>-1.05750926995086</v>
      </c>
      <c r="E4690" s="0" t="str">
        <f aca="false">IF(OR(AND($B$9="superior",D4690&gt;$B$10),AND($B$9="inferior",D4690&lt;-$B$10)),"Rechazar H0","No rechazar H0")</f>
        <v>No rechazar H0</v>
      </c>
      <c r="F4690" s="0" t="str">
        <f aca="false">IF(AND(B4690="H0 verdadera",E4690="Rechazar H0"),"Error tipo I",IF(AND(B4690="Ha verdadera",E4690="No rechazar H0"),"Error tipo II","Decisión correcta"))</f>
        <v>Error tipo II</v>
      </c>
    </row>
    <row r="4691" customFormat="false" ht="15" hidden="false" customHeight="false" outlineLevel="0" collapsed="false">
      <c r="A4691" s="0" t="n">
        <v>4670</v>
      </c>
      <c r="B4691" s="0" t="s">
        <v>85</v>
      </c>
      <c r="C4691" s="17" t="n">
        <v>-0.177730510805963</v>
      </c>
      <c r="D4691" s="17" t="n">
        <f aca="false">(C4691-$B$4)/($B$6/SQRT($B$7))</f>
        <v>-0.888652554029813</v>
      </c>
      <c r="E4691" s="0" t="str">
        <f aca="false">IF(OR(AND($B$9="superior",D4691&gt;$B$10),AND($B$9="inferior",D4691&lt;-$B$10)),"Rechazar H0","No rechazar H0")</f>
        <v>No rechazar H0</v>
      </c>
      <c r="F4691" s="0" t="str">
        <f aca="false">IF(AND(B4691="H0 verdadera",E4691="Rechazar H0"),"Error tipo I",IF(AND(B4691="Ha verdadera",E4691="No rechazar H0"),"Error tipo II","Decisión correcta"))</f>
        <v>Decisión correcta</v>
      </c>
    </row>
    <row r="4692" customFormat="false" ht="15" hidden="false" customHeight="false" outlineLevel="0" collapsed="false">
      <c r="A4692" s="0" t="n">
        <v>4671</v>
      </c>
      <c r="B4692" s="0" t="s">
        <v>85</v>
      </c>
      <c r="C4692" s="17" t="n">
        <v>-0.258337193841234</v>
      </c>
      <c r="D4692" s="17" t="n">
        <f aca="false">(C4692-$B$4)/($B$6/SQRT($B$7))</f>
        <v>-1.29168596920617</v>
      </c>
      <c r="E4692" s="0" t="str">
        <f aca="false">IF(OR(AND($B$9="superior",D4692&gt;$B$10),AND($B$9="inferior",D4692&lt;-$B$10)),"Rechazar H0","No rechazar H0")</f>
        <v>No rechazar H0</v>
      </c>
      <c r="F4692" s="0" t="str">
        <f aca="false">IF(AND(B4692="H0 verdadera",E4692="Rechazar H0"),"Error tipo I",IF(AND(B4692="Ha verdadera",E4692="No rechazar H0"),"Error tipo II","Decisión correcta"))</f>
        <v>Decisión correcta</v>
      </c>
    </row>
    <row r="4693" customFormat="false" ht="15" hidden="false" customHeight="false" outlineLevel="0" collapsed="false">
      <c r="A4693" s="0" t="n">
        <v>4672</v>
      </c>
      <c r="B4693" s="0" t="s">
        <v>85</v>
      </c>
      <c r="C4693" s="17" t="n">
        <v>-0.212592671819331</v>
      </c>
      <c r="D4693" s="17" t="n">
        <f aca="false">(C4693-$B$4)/($B$6/SQRT($B$7))</f>
        <v>-1.06296335909666</v>
      </c>
      <c r="E4693" s="0" t="str">
        <f aca="false">IF(OR(AND($B$9="superior",D4693&gt;$B$10),AND($B$9="inferior",D4693&lt;-$B$10)),"Rechazar H0","No rechazar H0")</f>
        <v>No rechazar H0</v>
      </c>
      <c r="F4693" s="0" t="str">
        <f aca="false">IF(AND(B4693="H0 verdadera",E4693="Rechazar H0"),"Error tipo I",IF(AND(B4693="Ha verdadera",E4693="No rechazar H0"),"Error tipo II","Decisión correcta"))</f>
        <v>Decisión correcta</v>
      </c>
    </row>
    <row r="4694" customFormat="false" ht="15" hidden="false" customHeight="false" outlineLevel="0" collapsed="false">
      <c r="A4694" s="0" t="n">
        <v>4673</v>
      </c>
      <c r="B4694" s="0" t="s">
        <v>85</v>
      </c>
      <c r="C4694" s="17" t="n">
        <v>-0.156610998275206</v>
      </c>
      <c r="D4694" s="17" t="n">
        <f aca="false">(C4694-$B$4)/($B$6/SQRT($B$7))</f>
        <v>-0.783054991376032</v>
      </c>
      <c r="E4694" s="0" t="str">
        <f aca="false">IF(OR(AND($B$9="superior",D4694&gt;$B$10),AND($B$9="inferior",D4694&lt;-$B$10)),"Rechazar H0","No rechazar H0")</f>
        <v>No rechazar H0</v>
      </c>
      <c r="F4694" s="0" t="str">
        <f aca="false">IF(AND(B4694="H0 verdadera",E4694="Rechazar H0"),"Error tipo I",IF(AND(B4694="Ha verdadera",E4694="No rechazar H0"),"Error tipo II","Decisión correcta"))</f>
        <v>Decisión correcta</v>
      </c>
    </row>
    <row r="4695" customFormat="false" ht="15" hidden="false" customHeight="false" outlineLevel="0" collapsed="false">
      <c r="A4695" s="0" t="n">
        <v>4674</v>
      </c>
      <c r="B4695" s="0" t="s">
        <v>85</v>
      </c>
      <c r="C4695" s="17" t="n">
        <v>0.149234697071205</v>
      </c>
      <c r="D4695" s="17" t="n">
        <f aca="false">(C4695-$B$4)/($B$6/SQRT($B$7))</f>
        <v>0.746173485356025</v>
      </c>
      <c r="E4695" s="0" t="str">
        <f aca="false">IF(OR(AND($B$9="superior",D4695&gt;$B$10),AND($B$9="inferior",D4695&lt;-$B$10)),"Rechazar H0","No rechazar H0")</f>
        <v>No rechazar H0</v>
      </c>
      <c r="F4695" s="0" t="str">
        <f aca="false">IF(AND(B4695="H0 verdadera",E4695="Rechazar H0"),"Error tipo I",IF(AND(B4695="Ha verdadera",E4695="No rechazar H0"),"Error tipo II","Decisión correcta"))</f>
        <v>Decisión correcta</v>
      </c>
    </row>
    <row r="4696" customFormat="false" ht="15" hidden="false" customHeight="false" outlineLevel="0" collapsed="false">
      <c r="A4696" s="0" t="n">
        <v>4675</v>
      </c>
      <c r="B4696" s="0" t="s">
        <v>86</v>
      </c>
      <c r="C4696" s="17" t="n">
        <v>-0.228226071741626</v>
      </c>
      <c r="D4696" s="17" t="n">
        <f aca="false">(C4696-$B$4)/($B$6/SQRT($B$7))</f>
        <v>-1.14113035870813</v>
      </c>
      <c r="E4696" s="0" t="str">
        <f aca="false">IF(OR(AND($B$9="superior",D4696&gt;$B$10),AND($B$9="inferior",D4696&lt;-$B$10)),"Rechazar H0","No rechazar H0")</f>
        <v>No rechazar H0</v>
      </c>
      <c r="F4696" s="0" t="str">
        <f aca="false">IF(AND(B4696="H0 verdadera",E4696="Rechazar H0"),"Error tipo I",IF(AND(B4696="Ha verdadera",E4696="No rechazar H0"),"Error tipo II","Decisión correcta"))</f>
        <v>Error tipo II</v>
      </c>
    </row>
    <row r="4697" customFormat="false" ht="15" hidden="false" customHeight="false" outlineLevel="0" collapsed="false">
      <c r="A4697" s="0" t="n">
        <v>4676</v>
      </c>
      <c r="B4697" s="0" t="s">
        <v>86</v>
      </c>
      <c r="C4697" s="17" t="n">
        <v>-0.233730457249619</v>
      </c>
      <c r="D4697" s="17" t="n">
        <f aca="false">(C4697-$B$4)/($B$6/SQRT($B$7))</f>
        <v>-1.16865228624809</v>
      </c>
      <c r="E4697" s="0" t="str">
        <f aca="false">IF(OR(AND($B$9="superior",D4697&gt;$B$10),AND($B$9="inferior",D4697&lt;-$B$10)),"Rechazar H0","No rechazar H0")</f>
        <v>No rechazar H0</v>
      </c>
      <c r="F4697" s="0" t="str">
        <f aca="false">IF(AND(B4697="H0 verdadera",E4697="Rechazar H0"),"Error tipo I",IF(AND(B4697="Ha verdadera",E4697="No rechazar H0"),"Error tipo II","Decisión correcta"))</f>
        <v>Error tipo II</v>
      </c>
    </row>
    <row r="4698" customFormat="false" ht="15" hidden="false" customHeight="false" outlineLevel="0" collapsed="false">
      <c r="A4698" s="0" t="n">
        <v>4677</v>
      </c>
      <c r="B4698" s="0" t="s">
        <v>85</v>
      </c>
      <c r="C4698" s="17" t="n">
        <v>0.142914102486776</v>
      </c>
      <c r="D4698" s="17" t="n">
        <f aca="false">(C4698-$B$4)/($B$6/SQRT($B$7))</f>
        <v>0.714570512433882</v>
      </c>
      <c r="E4698" s="0" t="str">
        <f aca="false">IF(OR(AND($B$9="superior",D4698&gt;$B$10),AND($B$9="inferior",D4698&lt;-$B$10)),"Rechazar H0","No rechazar H0")</f>
        <v>No rechazar H0</v>
      </c>
      <c r="F4698" s="0" t="str">
        <f aca="false">IF(AND(B4698="H0 verdadera",E4698="Rechazar H0"),"Error tipo I",IF(AND(B4698="Ha verdadera",E4698="No rechazar H0"),"Error tipo II","Decisión correcta"))</f>
        <v>Decisión correcta</v>
      </c>
    </row>
    <row r="4699" customFormat="false" ht="15" hidden="false" customHeight="false" outlineLevel="0" collapsed="false">
      <c r="A4699" s="0" t="n">
        <v>4678</v>
      </c>
      <c r="B4699" s="0" t="s">
        <v>85</v>
      </c>
      <c r="C4699" s="17" t="n">
        <v>0.336966830320909</v>
      </c>
      <c r="D4699" s="17" t="n">
        <f aca="false">(C4699-$B$4)/($B$6/SQRT($B$7))</f>
        <v>1.68483415160455</v>
      </c>
      <c r="E4699" s="0" t="str">
        <f aca="false">IF(OR(AND($B$9="superior",D4699&gt;$B$10),AND($B$9="inferior",D4699&lt;-$B$10)),"Rechazar H0","No rechazar H0")</f>
        <v>No rechazar H0</v>
      </c>
      <c r="F4699" s="0" t="str">
        <f aca="false">IF(AND(B4699="H0 verdadera",E4699="Rechazar H0"),"Error tipo I",IF(AND(B4699="Ha verdadera",E4699="No rechazar H0"),"Error tipo II","Decisión correcta"))</f>
        <v>Decisión correcta</v>
      </c>
    </row>
    <row r="4700" customFormat="false" ht="15" hidden="false" customHeight="false" outlineLevel="0" collapsed="false">
      <c r="A4700" s="0" t="n">
        <v>4679</v>
      </c>
      <c r="B4700" s="0" t="s">
        <v>86</v>
      </c>
      <c r="C4700" s="17" t="n">
        <v>-0.798315293637389</v>
      </c>
      <c r="D4700" s="17" t="n">
        <f aca="false">(C4700-$B$4)/($B$6/SQRT($B$7))</f>
        <v>-3.99157646818695</v>
      </c>
      <c r="E4700" s="0" t="str">
        <f aca="false">IF(OR(AND($B$9="superior",D4700&gt;$B$10),AND($B$9="inferior",D4700&lt;-$B$10)),"Rechazar H0","No rechazar H0")</f>
        <v>Rechazar H0</v>
      </c>
      <c r="F4700" s="0" t="str">
        <f aca="false">IF(AND(B4700="H0 verdadera",E4700="Rechazar H0"),"Error tipo I",IF(AND(B4700="Ha verdadera",E4700="No rechazar H0"),"Error tipo II","Decisión correcta"))</f>
        <v>Decisión correcta</v>
      </c>
    </row>
    <row r="4701" customFormat="false" ht="15" hidden="false" customHeight="false" outlineLevel="0" collapsed="false">
      <c r="A4701" s="0" t="n">
        <v>4680</v>
      </c>
      <c r="B4701" s="0" t="s">
        <v>86</v>
      </c>
      <c r="C4701" s="17" t="n">
        <v>-0.593524712833783</v>
      </c>
      <c r="D4701" s="17" t="n">
        <f aca="false">(C4701-$B$4)/($B$6/SQRT($B$7))</f>
        <v>-2.96762356416891</v>
      </c>
      <c r="E4701" s="0" t="str">
        <f aca="false">IF(OR(AND($B$9="superior",D4701&gt;$B$10),AND($B$9="inferior",D4701&lt;-$B$10)),"Rechazar H0","No rechazar H0")</f>
        <v>Rechazar H0</v>
      </c>
      <c r="F4701" s="0" t="str">
        <f aca="false">IF(AND(B4701="H0 verdadera",E4701="Rechazar H0"),"Error tipo I",IF(AND(B4701="Ha verdadera",E4701="No rechazar H0"),"Error tipo II","Decisión correcta"))</f>
        <v>Decisión correcta</v>
      </c>
    </row>
    <row r="4702" customFormat="false" ht="15" hidden="false" customHeight="false" outlineLevel="0" collapsed="false">
      <c r="A4702" s="0" t="n">
        <v>4681</v>
      </c>
      <c r="B4702" s="0" t="s">
        <v>85</v>
      </c>
      <c r="C4702" s="17" t="n">
        <v>-0.276752502805893</v>
      </c>
      <c r="D4702" s="17" t="n">
        <f aca="false">(C4702-$B$4)/($B$6/SQRT($B$7))</f>
        <v>-1.38376251402946</v>
      </c>
      <c r="E4702" s="0" t="str">
        <f aca="false">IF(OR(AND($B$9="superior",D4702&gt;$B$10),AND($B$9="inferior",D4702&lt;-$B$10)),"Rechazar H0","No rechazar H0")</f>
        <v>No rechazar H0</v>
      </c>
      <c r="F4702" s="0" t="str">
        <f aca="false">IF(AND(B4702="H0 verdadera",E4702="Rechazar H0"),"Error tipo I",IF(AND(B4702="Ha verdadera",E4702="No rechazar H0"),"Error tipo II","Decisión correcta"))</f>
        <v>Decisión correcta</v>
      </c>
    </row>
    <row r="4703" customFormat="false" ht="15" hidden="false" customHeight="false" outlineLevel="0" collapsed="false">
      <c r="A4703" s="0" t="n">
        <v>4682</v>
      </c>
      <c r="B4703" s="0" t="s">
        <v>86</v>
      </c>
      <c r="C4703" s="17" t="n">
        <v>-0.78226303609264</v>
      </c>
      <c r="D4703" s="17" t="n">
        <f aca="false">(C4703-$B$4)/($B$6/SQRT($B$7))</f>
        <v>-3.9113151804632</v>
      </c>
      <c r="E4703" s="0" t="str">
        <f aca="false">IF(OR(AND($B$9="superior",D4703&gt;$B$10),AND($B$9="inferior",D4703&lt;-$B$10)),"Rechazar H0","No rechazar H0")</f>
        <v>Rechazar H0</v>
      </c>
      <c r="F4703" s="0" t="str">
        <f aca="false">IF(AND(B4703="H0 verdadera",E4703="Rechazar H0"),"Error tipo I",IF(AND(B4703="Ha verdadera",E4703="No rechazar H0"),"Error tipo II","Decisión correcta"))</f>
        <v>Decisión correcta</v>
      </c>
    </row>
    <row r="4704" customFormat="false" ht="15" hidden="false" customHeight="false" outlineLevel="0" collapsed="false">
      <c r="A4704" s="0" t="n">
        <v>4683</v>
      </c>
      <c r="B4704" s="0" t="s">
        <v>85</v>
      </c>
      <c r="C4704" s="17" t="n">
        <v>-0.161796044034166</v>
      </c>
      <c r="D4704" s="17" t="n">
        <f aca="false">(C4704-$B$4)/($B$6/SQRT($B$7))</f>
        <v>-0.808980220170832</v>
      </c>
      <c r="E4704" s="0" t="str">
        <f aca="false">IF(OR(AND($B$9="superior",D4704&gt;$B$10),AND($B$9="inferior",D4704&lt;-$B$10)),"Rechazar H0","No rechazar H0")</f>
        <v>No rechazar H0</v>
      </c>
      <c r="F4704" s="0" t="str">
        <f aca="false">IF(AND(B4704="H0 verdadera",E4704="Rechazar H0"),"Error tipo I",IF(AND(B4704="Ha verdadera",E4704="No rechazar H0"),"Error tipo II","Decisión correcta"))</f>
        <v>Decisión correcta</v>
      </c>
    </row>
    <row r="4705" customFormat="false" ht="15" hidden="false" customHeight="false" outlineLevel="0" collapsed="false">
      <c r="A4705" s="0" t="n">
        <v>4684</v>
      </c>
      <c r="B4705" s="0" t="s">
        <v>86</v>
      </c>
      <c r="C4705" s="17" t="n">
        <v>-0.337407661591561</v>
      </c>
      <c r="D4705" s="17" t="n">
        <f aca="false">(C4705-$B$4)/($B$6/SQRT($B$7))</f>
        <v>-1.6870383079578</v>
      </c>
      <c r="E4705" s="0" t="str">
        <f aca="false">IF(OR(AND($B$9="superior",D4705&gt;$B$10),AND($B$9="inferior",D4705&lt;-$B$10)),"Rechazar H0","No rechazar H0")</f>
        <v>Rechazar H0</v>
      </c>
      <c r="F4705" s="0" t="str">
        <f aca="false">IF(AND(B4705="H0 verdadera",E4705="Rechazar H0"),"Error tipo I",IF(AND(B4705="Ha verdadera",E4705="No rechazar H0"),"Error tipo II","Decisión correcta"))</f>
        <v>Decisión correcta</v>
      </c>
    </row>
    <row r="4706" customFormat="false" ht="15" hidden="false" customHeight="false" outlineLevel="0" collapsed="false">
      <c r="A4706" s="0" t="n">
        <v>4685</v>
      </c>
      <c r="B4706" s="0" t="s">
        <v>85</v>
      </c>
      <c r="C4706" s="17" t="n">
        <v>0.083717342778197</v>
      </c>
      <c r="D4706" s="17" t="n">
        <f aca="false">(C4706-$B$4)/($B$6/SQRT($B$7))</f>
        <v>0.418586713890985</v>
      </c>
      <c r="E4706" s="0" t="str">
        <f aca="false">IF(OR(AND($B$9="superior",D4706&gt;$B$10),AND($B$9="inferior",D4706&lt;-$B$10)),"Rechazar H0","No rechazar H0")</f>
        <v>No rechazar H0</v>
      </c>
      <c r="F4706" s="0" t="str">
        <f aca="false">IF(AND(B4706="H0 verdadera",E4706="Rechazar H0"),"Error tipo I",IF(AND(B4706="Ha verdadera",E4706="No rechazar H0"),"Error tipo II","Decisión correcta"))</f>
        <v>Decisión correcta</v>
      </c>
    </row>
    <row r="4707" customFormat="false" ht="15" hidden="false" customHeight="false" outlineLevel="0" collapsed="false">
      <c r="A4707" s="0" t="n">
        <v>4686</v>
      </c>
      <c r="B4707" s="0" t="s">
        <v>86</v>
      </c>
      <c r="C4707" s="17" t="n">
        <v>-0.365600907513838</v>
      </c>
      <c r="D4707" s="17" t="n">
        <f aca="false">(C4707-$B$4)/($B$6/SQRT($B$7))</f>
        <v>-1.82800453756919</v>
      </c>
      <c r="E4707" s="0" t="str">
        <f aca="false">IF(OR(AND($B$9="superior",D4707&gt;$B$10),AND($B$9="inferior",D4707&lt;-$B$10)),"Rechazar H0","No rechazar H0")</f>
        <v>Rechazar H0</v>
      </c>
      <c r="F4707" s="0" t="str">
        <f aca="false">IF(AND(B4707="H0 verdadera",E4707="Rechazar H0"),"Error tipo I",IF(AND(B4707="Ha verdadera",E4707="No rechazar H0"),"Error tipo II","Decisión correcta"))</f>
        <v>Decisión correcta</v>
      </c>
    </row>
    <row r="4708" customFormat="false" ht="15" hidden="false" customHeight="false" outlineLevel="0" collapsed="false">
      <c r="A4708" s="0" t="n">
        <v>4687</v>
      </c>
      <c r="B4708" s="0" t="s">
        <v>85</v>
      </c>
      <c r="C4708" s="17" t="n">
        <v>-0.0635921435173313</v>
      </c>
      <c r="D4708" s="17" t="n">
        <f aca="false">(C4708-$B$4)/($B$6/SQRT($B$7))</f>
        <v>-0.317960717586656</v>
      </c>
      <c r="E4708" s="0" t="str">
        <f aca="false">IF(OR(AND($B$9="superior",D4708&gt;$B$10),AND($B$9="inferior",D4708&lt;-$B$10)),"Rechazar H0","No rechazar H0")</f>
        <v>No rechazar H0</v>
      </c>
      <c r="F4708" s="0" t="str">
        <f aca="false">IF(AND(B4708="H0 verdadera",E4708="Rechazar H0"),"Error tipo I",IF(AND(B4708="Ha verdadera",E4708="No rechazar H0"),"Error tipo II","Decisión correcta"))</f>
        <v>Decisión correcta</v>
      </c>
    </row>
    <row r="4709" customFormat="false" ht="15" hidden="false" customHeight="false" outlineLevel="0" collapsed="false">
      <c r="A4709" s="0" t="n">
        <v>4688</v>
      </c>
      <c r="B4709" s="0" t="s">
        <v>85</v>
      </c>
      <c r="C4709" s="17" t="n">
        <v>-0.0960754035992556</v>
      </c>
      <c r="D4709" s="17" t="n">
        <f aca="false">(C4709-$B$4)/($B$6/SQRT($B$7))</f>
        <v>-0.480377017996278</v>
      </c>
      <c r="E4709" s="0" t="str">
        <f aca="false">IF(OR(AND($B$9="superior",D4709&gt;$B$10),AND($B$9="inferior",D4709&lt;-$B$10)),"Rechazar H0","No rechazar H0")</f>
        <v>No rechazar H0</v>
      </c>
      <c r="F4709" s="0" t="str">
        <f aca="false">IF(AND(B4709="H0 verdadera",E4709="Rechazar H0"),"Error tipo I",IF(AND(B4709="Ha verdadera",E4709="No rechazar H0"),"Error tipo II","Decisión correcta"))</f>
        <v>Decisión correcta</v>
      </c>
    </row>
    <row r="4710" customFormat="false" ht="15" hidden="false" customHeight="false" outlineLevel="0" collapsed="false">
      <c r="A4710" s="0" t="n">
        <v>4689</v>
      </c>
      <c r="B4710" s="0" t="s">
        <v>85</v>
      </c>
      <c r="C4710" s="17" t="n">
        <v>0.299646941676171</v>
      </c>
      <c r="D4710" s="17" t="n">
        <f aca="false">(C4710-$B$4)/($B$6/SQRT($B$7))</f>
        <v>1.49823470838086</v>
      </c>
      <c r="E4710" s="0" t="str">
        <f aca="false">IF(OR(AND($B$9="superior",D4710&gt;$B$10),AND($B$9="inferior",D4710&lt;-$B$10)),"Rechazar H0","No rechazar H0")</f>
        <v>No rechazar H0</v>
      </c>
      <c r="F4710" s="0" t="str">
        <f aca="false">IF(AND(B4710="H0 verdadera",E4710="Rechazar H0"),"Error tipo I",IF(AND(B4710="Ha verdadera",E4710="No rechazar H0"),"Error tipo II","Decisión correcta"))</f>
        <v>Decisión correcta</v>
      </c>
    </row>
    <row r="4711" customFormat="false" ht="15" hidden="false" customHeight="false" outlineLevel="0" collapsed="false">
      <c r="A4711" s="0" t="n">
        <v>4690</v>
      </c>
      <c r="B4711" s="0" t="s">
        <v>86</v>
      </c>
      <c r="C4711" s="17" t="n">
        <v>0.000556560473837711</v>
      </c>
      <c r="D4711" s="17" t="n">
        <f aca="false">(C4711-$B$4)/($B$6/SQRT($B$7))</f>
        <v>0.00278280236918855</v>
      </c>
      <c r="E4711" s="0" t="str">
        <f aca="false">IF(OR(AND($B$9="superior",D4711&gt;$B$10),AND($B$9="inferior",D4711&lt;-$B$10)),"Rechazar H0","No rechazar H0")</f>
        <v>No rechazar H0</v>
      </c>
      <c r="F4711" s="0" t="str">
        <f aca="false">IF(AND(B4711="H0 verdadera",E4711="Rechazar H0"),"Error tipo I",IF(AND(B4711="Ha verdadera",E4711="No rechazar H0"),"Error tipo II","Decisión correcta"))</f>
        <v>Error tipo II</v>
      </c>
    </row>
    <row r="4712" customFormat="false" ht="15" hidden="false" customHeight="false" outlineLevel="0" collapsed="false">
      <c r="A4712" s="0" t="n">
        <v>4691</v>
      </c>
      <c r="B4712" s="0" t="s">
        <v>86</v>
      </c>
      <c r="C4712" s="17" t="n">
        <v>-0.143511270709761</v>
      </c>
      <c r="D4712" s="17" t="n">
        <f aca="false">(C4712-$B$4)/($B$6/SQRT($B$7))</f>
        <v>-0.717556353548803</v>
      </c>
      <c r="E4712" s="0" t="str">
        <f aca="false">IF(OR(AND($B$9="superior",D4712&gt;$B$10),AND($B$9="inferior",D4712&lt;-$B$10)),"Rechazar H0","No rechazar H0")</f>
        <v>No rechazar H0</v>
      </c>
      <c r="F4712" s="0" t="str">
        <f aca="false">IF(AND(B4712="H0 verdadera",E4712="Rechazar H0"),"Error tipo I",IF(AND(B4712="Ha verdadera",E4712="No rechazar H0"),"Error tipo II","Decisión correcta"))</f>
        <v>Error tipo II</v>
      </c>
    </row>
    <row r="4713" customFormat="false" ht="15" hidden="false" customHeight="false" outlineLevel="0" collapsed="false">
      <c r="A4713" s="0" t="n">
        <v>4692</v>
      </c>
      <c r="B4713" s="0" t="s">
        <v>85</v>
      </c>
      <c r="C4713" s="17" t="n">
        <v>0.16924571009825</v>
      </c>
      <c r="D4713" s="17" t="n">
        <f aca="false">(C4713-$B$4)/($B$6/SQRT($B$7))</f>
        <v>0.84622855049125</v>
      </c>
      <c r="E4713" s="0" t="str">
        <f aca="false">IF(OR(AND($B$9="superior",D4713&gt;$B$10),AND($B$9="inferior",D4713&lt;-$B$10)),"Rechazar H0","No rechazar H0")</f>
        <v>No rechazar H0</v>
      </c>
      <c r="F4713" s="0" t="str">
        <f aca="false">IF(AND(B4713="H0 verdadera",E4713="Rechazar H0"),"Error tipo I",IF(AND(B4713="Ha verdadera",E4713="No rechazar H0"),"Error tipo II","Decisión correcta"))</f>
        <v>Decisión correcta</v>
      </c>
    </row>
    <row r="4714" customFormat="false" ht="15" hidden="false" customHeight="false" outlineLevel="0" collapsed="false">
      <c r="A4714" s="0" t="n">
        <v>4693</v>
      </c>
      <c r="B4714" s="0" t="s">
        <v>86</v>
      </c>
      <c r="C4714" s="17" t="n">
        <v>-0.0717780615203138</v>
      </c>
      <c r="D4714" s="17" t="n">
        <f aca="false">(C4714-$B$4)/($B$6/SQRT($B$7))</f>
        <v>-0.358890307601569</v>
      </c>
      <c r="E4714" s="0" t="str">
        <f aca="false">IF(OR(AND($B$9="superior",D4714&gt;$B$10),AND($B$9="inferior",D4714&lt;-$B$10)),"Rechazar H0","No rechazar H0")</f>
        <v>No rechazar H0</v>
      </c>
      <c r="F4714" s="0" t="str">
        <f aca="false">IF(AND(B4714="H0 verdadera",E4714="Rechazar H0"),"Error tipo I",IF(AND(B4714="Ha verdadera",E4714="No rechazar H0"),"Error tipo II","Decisión correcta"))</f>
        <v>Error tipo II</v>
      </c>
    </row>
    <row r="4715" customFormat="false" ht="15" hidden="false" customHeight="false" outlineLevel="0" collapsed="false">
      <c r="A4715" s="0" t="n">
        <v>4694</v>
      </c>
      <c r="B4715" s="0" t="s">
        <v>86</v>
      </c>
      <c r="C4715" s="17" t="n">
        <v>-0.353940480881727</v>
      </c>
      <c r="D4715" s="17" t="n">
        <f aca="false">(C4715-$B$4)/($B$6/SQRT($B$7))</f>
        <v>-1.76970240440863</v>
      </c>
      <c r="E4715" s="0" t="str">
        <f aca="false">IF(OR(AND($B$9="superior",D4715&gt;$B$10),AND($B$9="inferior",D4715&lt;-$B$10)),"Rechazar H0","No rechazar H0")</f>
        <v>Rechazar H0</v>
      </c>
      <c r="F4715" s="0" t="str">
        <f aca="false">IF(AND(B4715="H0 verdadera",E4715="Rechazar H0"),"Error tipo I",IF(AND(B4715="Ha verdadera",E4715="No rechazar H0"),"Error tipo II","Decisión correcta"))</f>
        <v>Decisión correcta</v>
      </c>
    </row>
    <row r="4716" customFormat="false" ht="15" hidden="false" customHeight="false" outlineLevel="0" collapsed="false">
      <c r="A4716" s="0" t="n">
        <v>4695</v>
      </c>
      <c r="B4716" s="0" t="s">
        <v>85</v>
      </c>
      <c r="C4716" s="17" t="n">
        <v>0.252735973723113</v>
      </c>
      <c r="D4716" s="17" t="n">
        <f aca="false">(C4716-$B$4)/($B$6/SQRT($B$7))</f>
        <v>1.26367986861556</v>
      </c>
      <c r="E4716" s="0" t="str">
        <f aca="false">IF(OR(AND($B$9="superior",D4716&gt;$B$10),AND($B$9="inferior",D4716&lt;-$B$10)),"Rechazar H0","No rechazar H0")</f>
        <v>No rechazar H0</v>
      </c>
      <c r="F4716" s="0" t="str">
        <f aca="false">IF(AND(B4716="H0 verdadera",E4716="Rechazar H0"),"Error tipo I",IF(AND(B4716="Ha verdadera",E4716="No rechazar H0"),"Error tipo II","Decisión correcta"))</f>
        <v>Decisión correcta</v>
      </c>
    </row>
    <row r="4717" customFormat="false" ht="15" hidden="false" customHeight="false" outlineLevel="0" collapsed="false">
      <c r="A4717" s="0" t="n">
        <v>4696</v>
      </c>
      <c r="B4717" s="0" t="s">
        <v>86</v>
      </c>
      <c r="C4717" s="17" t="n">
        <v>-0.362862734354862</v>
      </c>
      <c r="D4717" s="17" t="n">
        <f aca="false">(C4717-$B$4)/($B$6/SQRT($B$7))</f>
        <v>-1.81431367177431</v>
      </c>
      <c r="E4717" s="0" t="str">
        <f aca="false">IF(OR(AND($B$9="superior",D4717&gt;$B$10),AND($B$9="inferior",D4717&lt;-$B$10)),"Rechazar H0","No rechazar H0")</f>
        <v>Rechazar H0</v>
      </c>
      <c r="F4717" s="0" t="str">
        <f aca="false">IF(AND(B4717="H0 verdadera",E4717="Rechazar H0"),"Error tipo I",IF(AND(B4717="Ha verdadera",E4717="No rechazar H0"),"Error tipo II","Decisión correcta"))</f>
        <v>Decisión correcta</v>
      </c>
    </row>
    <row r="4718" customFormat="false" ht="15" hidden="false" customHeight="false" outlineLevel="0" collapsed="false">
      <c r="A4718" s="0" t="n">
        <v>4697</v>
      </c>
      <c r="B4718" s="0" t="s">
        <v>86</v>
      </c>
      <c r="C4718" s="17" t="n">
        <v>-0.565477348433064</v>
      </c>
      <c r="D4718" s="17" t="n">
        <f aca="false">(C4718-$B$4)/($B$6/SQRT($B$7))</f>
        <v>-2.82738674216532</v>
      </c>
      <c r="E4718" s="0" t="str">
        <f aca="false">IF(OR(AND($B$9="superior",D4718&gt;$B$10),AND($B$9="inferior",D4718&lt;-$B$10)),"Rechazar H0","No rechazar H0")</f>
        <v>Rechazar H0</v>
      </c>
      <c r="F4718" s="0" t="str">
        <f aca="false">IF(AND(B4718="H0 verdadera",E4718="Rechazar H0"),"Error tipo I",IF(AND(B4718="Ha verdadera",E4718="No rechazar H0"),"Error tipo II","Decisión correcta"))</f>
        <v>Decisión correcta</v>
      </c>
    </row>
    <row r="4719" customFormat="false" ht="15" hidden="false" customHeight="false" outlineLevel="0" collapsed="false">
      <c r="A4719" s="0" t="n">
        <v>4698</v>
      </c>
      <c r="B4719" s="0" t="s">
        <v>86</v>
      </c>
      <c r="C4719" s="17" t="n">
        <v>-0.436172111173906</v>
      </c>
      <c r="D4719" s="17" t="n">
        <f aca="false">(C4719-$B$4)/($B$6/SQRT($B$7))</f>
        <v>-2.18086055586953</v>
      </c>
      <c r="E4719" s="0" t="str">
        <f aca="false">IF(OR(AND($B$9="superior",D4719&gt;$B$10),AND($B$9="inferior",D4719&lt;-$B$10)),"Rechazar H0","No rechazar H0")</f>
        <v>Rechazar H0</v>
      </c>
      <c r="F4719" s="0" t="str">
        <f aca="false">IF(AND(B4719="H0 verdadera",E4719="Rechazar H0"),"Error tipo I",IF(AND(B4719="Ha verdadera",E4719="No rechazar H0"),"Error tipo II","Decisión correcta"))</f>
        <v>Decisión correcta</v>
      </c>
    </row>
    <row r="4720" customFormat="false" ht="15" hidden="false" customHeight="false" outlineLevel="0" collapsed="false">
      <c r="A4720" s="0" t="n">
        <v>4699</v>
      </c>
      <c r="B4720" s="0" t="s">
        <v>85</v>
      </c>
      <c r="C4720" s="17" t="n">
        <v>-0.181811551411644</v>
      </c>
      <c r="D4720" s="17" t="n">
        <f aca="false">(C4720-$B$4)/($B$6/SQRT($B$7))</f>
        <v>-0.909057757058218</v>
      </c>
      <c r="E4720" s="0" t="str">
        <f aca="false">IF(OR(AND($B$9="superior",D4720&gt;$B$10),AND($B$9="inferior",D4720&lt;-$B$10)),"Rechazar H0","No rechazar H0")</f>
        <v>No rechazar H0</v>
      </c>
      <c r="F4720" s="0" t="str">
        <f aca="false">IF(AND(B4720="H0 verdadera",E4720="Rechazar H0"),"Error tipo I",IF(AND(B4720="Ha verdadera",E4720="No rechazar H0"),"Error tipo II","Decisión correcta"))</f>
        <v>Decisión correcta</v>
      </c>
    </row>
    <row r="4721" customFormat="false" ht="15" hidden="false" customHeight="false" outlineLevel="0" collapsed="false">
      <c r="A4721" s="0" t="n">
        <v>4700</v>
      </c>
      <c r="B4721" s="0" t="s">
        <v>86</v>
      </c>
      <c r="C4721" s="17" t="n">
        <v>-0.182392228343019</v>
      </c>
      <c r="D4721" s="17" t="n">
        <f aca="false">(C4721-$B$4)/($B$6/SQRT($B$7))</f>
        <v>-0.911961141715096</v>
      </c>
      <c r="E4721" s="0" t="str">
        <f aca="false">IF(OR(AND($B$9="superior",D4721&gt;$B$10),AND($B$9="inferior",D4721&lt;-$B$10)),"Rechazar H0","No rechazar H0")</f>
        <v>No rechazar H0</v>
      </c>
      <c r="F4721" s="0" t="str">
        <f aca="false">IF(AND(B4721="H0 verdadera",E4721="Rechazar H0"),"Error tipo I",IF(AND(B4721="Ha verdadera",E4721="No rechazar H0"),"Error tipo II","Decisión correcta"))</f>
        <v>Error tipo II</v>
      </c>
    </row>
    <row r="4722" customFormat="false" ht="15" hidden="false" customHeight="false" outlineLevel="0" collapsed="false">
      <c r="A4722" s="0" t="n">
        <v>4701</v>
      </c>
      <c r="B4722" s="0" t="s">
        <v>86</v>
      </c>
      <c r="C4722" s="17" t="n">
        <v>-0.315990694710379</v>
      </c>
      <c r="D4722" s="17" t="n">
        <f aca="false">(C4722-$B$4)/($B$6/SQRT($B$7))</f>
        <v>-1.5799534735519</v>
      </c>
      <c r="E4722" s="0" t="str">
        <f aca="false">IF(OR(AND($B$9="superior",D4722&gt;$B$10),AND($B$9="inferior",D4722&lt;-$B$10)),"Rechazar H0","No rechazar H0")</f>
        <v>No rechazar H0</v>
      </c>
      <c r="F4722" s="0" t="str">
        <f aca="false">IF(AND(B4722="H0 verdadera",E4722="Rechazar H0"),"Error tipo I",IF(AND(B4722="Ha verdadera",E4722="No rechazar H0"),"Error tipo II","Decisión correcta"))</f>
        <v>Error tipo II</v>
      </c>
    </row>
    <row r="4723" customFormat="false" ht="15" hidden="false" customHeight="false" outlineLevel="0" collapsed="false">
      <c r="A4723" s="0" t="n">
        <v>4702</v>
      </c>
      <c r="B4723" s="0" t="s">
        <v>85</v>
      </c>
      <c r="C4723" s="17" t="n">
        <v>-0.25396852554248</v>
      </c>
      <c r="D4723" s="17" t="n">
        <f aca="false">(C4723-$B$4)/($B$6/SQRT($B$7))</f>
        <v>-1.2698426277124</v>
      </c>
      <c r="E4723" s="0" t="str">
        <f aca="false">IF(OR(AND($B$9="superior",D4723&gt;$B$10),AND($B$9="inferior",D4723&lt;-$B$10)),"Rechazar H0","No rechazar H0")</f>
        <v>No rechazar H0</v>
      </c>
      <c r="F4723" s="0" t="str">
        <f aca="false">IF(AND(B4723="H0 verdadera",E4723="Rechazar H0"),"Error tipo I",IF(AND(B4723="Ha verdadera",E4723="No rechazar H0"),"Error tipo II","Decisión correcta"))</f>
        <v>Decisión correcta</v>
      </c>
    </row>
    <row r="4724" customFormat="false" ht="15" hidden="false" customHeight="false" outlineLevel="0" collapsed="false">
      <c r="A4724" s="0" t="n">
        <v>4703</v>
      </c>
      <c r="B4724" s="0" t="s">
        <v>86</v>
      </c>
      <c r="C4724" s="17" t="n">
        <v>-0.294398834459722</v>
      </c>
      <c r="D4724" s="17" t="n">
        <f aca="false">(C4724-$B$4)/($B$6/SQRT($B$7))</f>
        <v>-1.47199417229861</v>
      </c>
      <c r="E4724" s="0" t="str">
        <f aca="false">IF(OR(AND($B$9="superior",D4724&gt;$B$10),AND($B$9="inferior",D4724&lt;-$B$10)),"Rechazar H0","No rechazar H0")</f>
        <v>No rechazar H0</v>
      </c>
      <c r="F4724" s="0" t="str">
        <f aca="false">IF(AND(B4724="H0 verdadera",E4724="Rechazar H0"),"Error tipo I",IF(AND(B4724="Ha verdadera",E4724="No rechazar H0"),"Error tipo II","Decisión correcta"))</f>
        <v>Error tipo II</v>
      </c>
    </row>
    <row r="4725" customFormat="false" ht="15" hidden="false" customHeight="false" outlineLevel="0" collapsed="false">
      <c r="A4725" s="0" t="n">
        <v>4704</v>
      </c>
      <c r="B4725" s="0" t="s">
        <v>86</v>
      </c>
      <c r="C4725" s="17" t="n">
        <v>-0.3828050220073</v>
      </c>
      <c r="D4725" s="17" t="n">
        <f aca="false">(C4725-$B$4)/($B$6/SQRT($B$7))</f>
        <v>-1.9140251100365</v>
      </c>
      <c r="E4725" s="0" t="str">
        <f aca="false">IF(OR(AND($B$9="superior",D4725&gt;$B$10),AND($B$9="inferior",D4725&lt;-$B$10)),"Rechazar H0","No rechazar H0")</f>
        <v>Rechazar H0</v>
      </c>
      <c r="F4725" s="0" t="str">
        <f aca="false">IF(AND(B4725="H0 verdadera",E4725="Rechazar H0"),"Error tipo I",IF(AND(B4725="Ha verdadera",E4725="No rechazar H0"),"Error tipo II","Decisión correcta"))</f>
        <v>Decisión correcta</v>
      </c>
    </row>
    <row r="4726" customFormat="false" ht="15" hidden="false" customHeight="false" outlineLevel="0" collapsed="false">
      <c r="A4726" s="0" t="n">
        <v>4705</v>
      </c>
      <c r="B4726" s="0" t="s">
        <v>86</v>
      </c>
      <c r="C4726" s="17" t="n">
        <v>-0.343977442594427</v>
      </c>
      <c r="D4726" s="17" t="n">
        <f aca="false">(C4726-$B$4)/($B$6/SQRT($B$7))</f>
        <v>-1.71988721297214</v>
      </c>
      <c r="E4726" s="0" t="str">
        <f aca="false">IF(OR(AND($B$9="superior",D4726&gt;$B$10),AND($B$9="inferior",D4726&lt;-$B$10)),"Rechazar H0","No rechazar H0")</f>
        <v>Rechazar H0</v>
      </c>
      <c r="F4726" s="0" t="str">
        <f aca="false">IF(AND(B4726="H0 verdadera",E4726="Rechazar H0"),"Error tipo I",IF(AND(B4726="Ha verdadera",E4726="No rechazar H0"),"Error tipo II","Decisión correcta"))</f>
        <v>Decisión correcta</v>
      </c>
    </row>
    <row r="4727" customFormat="false" ht="15" hidden="false" customHeight="false" outlineLevel="0" collapsed="false">
      <c r="A4727" s="0" t="n">
        <v>4706</v>
      </c>
      <c r="B4727" s="0" t="s">
        <v>85</v>
      </c>
      <c r="C4727" s="17" t="n">
        <v>-0.287920524938183</v>
      </c>
      <c r="D4727" s="17" t="n">
        <f aca="false">(C4727-$B$4)/($B$6/SQRT($B$7))</f>
        <v>-1.43960262469092</v>
      </c>
      <c r="E4727" s="0" t="str">
        <f aca="false">IF(OR(AND($B$9="superior",D4727&gt;$B$10),AND($B$9="inferior",D4727&lt;-$B$10)),"Rechazar H0","No rechazar H0")</f>
        <v>No rechazar H0</v>
      </c>
      <c r="F4727" s="0" t="str">
        <f aca="false">IF(AND(B4727="H0 verdadera",E4727="Rechazar H0"),"Error tipo I",IF(AND(B4727="Ha verdadera",E4727="No rechazar H0"),"Error tipo II","Decisión correcta"))</f>
        <v>Decisión correcta</v>
      </c>
    </row>
    <row r="4728" customFormat="false" ht="15" hidden="false" customHeight="false" outlineLevel="0" collapsed="false">
      <c r="A4728" s="0" t="n">
        <v>4707</v>
      </c>
      <c r="B4728" s="0" t="s">
        <v>85</v>
      </c>
      <c r="C4728" s="17" t="n">
        <v>0.213329901903251</v>
      </c>
      <c r="D4728" s="17" t="n">
        <f aca="false">(C4728-$B$4)/($B$6/SQRT($B$7))</f>
        <v>1.06664950951625</v>
      </c>
      <c r="E4728" s="0" t="str">
        <f aca="false">IF(OR(AND($B$9="superior",D4728&gt;$B$10),AND($B$9="inferior",D4728&lt;-$B$10)),"Rechazar H0","No rechazar H0")</f>
        <v>No rechazar H0</v>
      </c>
      <c r="F4728" s="0" t="str">
        <f aca="false">IF(AND(B4728="H0 verdadera",E4728="Rechazar H0"),"Error tipo I",IF(AND(B4728="Ha verdadera",E4728="No rechazar H0"),"Error tipo II","Decisión correcta"))</f>
        <v>Decisión correcta</v>
      </c>
    </row>
    <row r="4729" customFormat="false" ht="15" hidden="false" customHeight="false" outlineLevel="0" collapsed="false">
      <c r="A4729" s="0" t="n">
        <v>4708</v>
      </c>
      <c r="B4729" s="0" t="s">
        <v>86</v>
      </c>
      <c r="C4729" s="17" t="n">
        <v>-0.520033640470214</v>
      </c>
      <c r="D4729" s="17" t="n">
        <f aca="false">(C4729-$B$4)/($B$6/SQRT($B$7))</f>
        <v>-2.60016820235107</v>
      </c>
      <c r="E4729" s="0" t="str">
        <f aca="false">IF(OR(AND($B$9="superior",D4729&gt;$B$10),AND($B$9="inferior",D4729&lt;-$B$10)),"Rechazar H0","No rechazar H0")</f>
        <v>Rechazar H0</v>
      </c>
      <c r="F4729" s="0" t="str">
        <f aca="false">IF(AND(B4729="H0 verdadera",E4729="Rechazar H0"),"Error tipo I",IF(AND(B4729="Ha verdadera",E4729="No rechazar H0"),"Error tipo II","Decisión correcta"))</f>
        <v>Decisión correcta</v>
      </c>
    </row>
    <row r="4730" customFormat="false" ht="15" hidden="false" customHeight="false" outlineLevel="0" collapsed="false">
      <c r="A4730" s="0" t="n">
        <v>4709</v>
      </c>
      <c r="B4730" s="0" t="s">
        <v>85</v>
      </c>
      <c r="C4730" s="17" t="n">
        <v>0.215794912583673</v>
      </c>
      <c r="D4730" s="17" t="n">
        <f aca="false">(C4730-$B$4)/($B$6/SQRT($B$7))</f>
        <v>1.07897456291836</v>
      </c>
      <c r="E4730" s="0" t="str">
        <f aca="false">IF(OR(AND($B$9="superior",D4730&gt;$B$10),AND($B$9="inferior",D4730&lt;-$B$10)),"Rechazar H0","No rechazar H0")</f>
        <v>No rechazar H0</v>
      </c>
      <c r="F4730" s="0" t="str">
        <f aca="false">IF(AND(B4730="H0 verdadera",E4730="Rechazar H0"),"Error tipo I",IF(AND(B4730="Ha verdadera",E4730="No rechazar H0"),"Error tipo II","Decisión correcta"))</f>
        <v>Decisión correcta</v>
      </c>
    </row>
    <row r="4731" customFormat="false" ht="15" hidden="false" customHeight="false" outlineLevel="0" collapsed="false">
      <c r="A4731" s="0" t="n">
        <v>4710</v>
      </c>
      <c r="B4731" s="0" t="s">
        <v>86</v>
      </c>
      <c r="C4731" s="17" t="n">
        <v>-0.425073618725071</v>
      </c>
      <c r="D4731" s="17" t="n">
        <f aca="false">(C4731-$B$4)/($B$6/SQRT($B$7))</f>
        <v>-2.12536809362535</v>
      </c>
      <c r="E4731" s="0" t="str">
        <f aca="false">IF(OR(AND($B$9="superior",D4731&gt;$B$10),AND($B$9="inferior",D4731&lt;-$B$10)),"Rechazar H0","No rechazar H0")</f>
        <v>Rechazar H0</v>
      </c>
      <c r="F4731" s="0" t="str">
        <f aca="false">IF(AND(B4731="H0 verdadera",E4731="Rechazar H0"),"Error tipo I",IF(AND(B4731="Ha verdadera",E4731="No rechazar H0"),"Error tipo II","Decisión correcta"))</f>
        <v>Decisión correcta</v>
      </c>
    </row>
    <row r="4732" customFormat="false" ht="15" hidden="false" customHeight="false" outlineLevel="0" collapsed="false">
      <c r="A4732" s="0" t="n">
        <v>4711</v>
      </c>
      <c r="B4732" s="0" t="s">
        <v>86</v>
      </c>
      <c r="C4732" s="17" t="n">
        <v>0.122973274949224</v>
      </c>
      <c r="D4732" s="17" t="n">
        <f aca="false">(C4732-$B$4)/($B$6/SQRT($B$7))</f>
        <v>0.614866374746118</v>
      </c>
      <c r="E4732" s="0" t="str">
        <f aca="false">IF(OR(AND($B$9="superior",D4732&gt;$B$10),AND($B$9="inferior",D4732&lt;-$B$10)),"Rechazar H0","No rechazar H0")</f>
        <v>No rechazar H0</v>
      </c>
      <c r="F4732" s="0" t="str">
        <f aca="false">IF(AND(B4732="H0 verdadera",E4732="Rechazar H0"),"Error tipo I",IF(AND(B4732="Ha verdadera",E4732="No rechazar H0"),"Error tipo II","Decisión correcta"))</f>
        <v>Error tipo II</v>
      </c>
    </row>
    <row r="4733" customFormat="false" ht="15" hidden="false" customHeight="false" outlineLevel="0" collapsed="false">
      <c r="A4733" s="0" t="n">
        <v>4712</v>
      </c>
      <c r="B4733" s="0" t="s">
        <v>85</v>
      </c>
      <c r="C4733" s="17" t="n">
        <v>0.05110979482236</v>
      </c>
      <c r="D4733" s="17" t="n">
        <f aca="false">(C4733-$B$4)/($B$6/SQRT($B$7))</f>
        <v>0.2555489741118</v>
      </c>
      <c r="E4733" s="0" t="str">
        <f aca="false">IF(OR(AND($B$9="superior",D4733&gt;$B$10),AND($B$9="inferior",D4733&lt;-$B$10)),"Rechazar H0","No rechazar H0")</f>
        <v>No rechazar H0</v>
      </c>
      <c r="F4733" s="0" t="str">
        <f aca="false">IF(AND(B4733="H0 verdadera",E4733="Rechazar H0"),"Error tipo I",IF(AND(B4733="Ha verdadera",E4733="No rechazar H0"),"Error tipo II","Decisión correcta"))</f>
        <v>Decisión correcta</v>
      </c>
    </row>
    <row r="4734" customFormat="false" ht="15" hidden="false" customHeight="false" outlineLevel="0" collapsed="false">
      <c r="A4734" s="0" t="n">
        <v>4713</v>
      </c>
      <c r="B4734" s="0" t="s">
        <v>85</v>
      </c>
      <c r="C4734" s="17" t="n">
        <v>0.395616111251694</v>
      </c>
      <c r="D4734" s="17" t="n">
        <f aca="false">(C4734-$B$4)/($B$6/SQRT($B$7))</f>
        <v>1.97808055625847</v>
      </c>
      <c r="E4734" s="0" t="str">
        <f aca="false">IF(OR(AND($B$9="superior",D4734&gt;$B$10),AND($B$9="inferior",D4734&lt;-$B$10)),"Rechazar H0","No rechazar H0")</f>
        <v>No rechazar H0</v>
      </c>
      <c r="F4734" s="0" t="str">
        <f aca="false">IF(AND(B4734="H0 verdadera",E4734="Rechazar H0"),"Error tipo I",IF(AND(B4734="Ha verdadera",E4734="No rechazar H0"),"Error tipo II","Decisión correcta"))</f>
        <v>Decisión correcta</v>
      </c>
    </row>
    <row r="4735" customFormat="false" ht="15" hidden="false" customHeight="false" outlineLevel="0" collapsed="false">
      <c r="A4735" s="0" t="n">
        <v>4714</v>
      </c>
      <c r="B4735" s="0" t="s">
        <v>85</v>
      </c>
      <c r="C4735" s="17" t="n">
        <v>-0.0398044431482458</v>
      </c>
      <c r="D4735" s="17" t="n">
        <f aca="false">(C4735-$B$4)/($B$6/SQRT($B$7))</f>
        <v>-0.199022215741229</v>
      </c>
      <c r="E4735" s="0" t="str">
        <f aca="false">IF(OR(AND($B$9="superior",D4735&gt;$B$10),AND($B$9="inferior",D4735&lt;-$B$10)),"Rechazar H0","No rechazar H0")</f>
        <v>No rechazar H0</v>
      </c>
      <c r="F4735" s="0" t="str">
        <f aca="false">IF(AND(B4735="H0 verdadera",E4735="Rechazar H0"),"Error tipo I",IF(AND(B4735="Ha verdadera",E4735="No rechazar H0"),"Error tipo II","Decisión correcta"))</f>
        <v>Decisión correcta</v>
      </c>
    </row>
    <row r="4736" customFormat="false" ht="15" hidden="false" customHeight="false" outlineLevel="0" collapsed="false">
      <c r="A4736" s="0" t="n">
        <v>4715</v>
      </c>
      <c r="B4736" s="0" t="s">
        <v>86</v>
      </c>
      <c r="C4736" s="17" t="n">
        <v>-0.240172499767673</v>
      </c>
      <c r="D4736" s="17" t="n">
        <f aca="false">(C4736-$B$4)/($B$6/SQRT($B$7))</f>
        <v>-1.20086249883837</v>
      </c>
      <c r="E4736" s="0" t="str">
        <f aca="false">IF(OR(AND($B$9="superior",D4736&gt;$B$10),AND($B$9="inferior",D4736&lt;-$B$10)),"Rechazar H0","No rechazar H0")</f>
        <v>No rechazar H0</v>
      </c>
      <c r="F4736" s="0" t="str">
        <f aca="false">IF(AND(B4736="H0 verdadera",E4736="Rechazar H0"),"Error tipo I",IF(AND(B4736="Ha verdadera",E4736="No rechazar H0"),"Error tipo II","Decisión correcta"))</f>
        <v>Error tipo II</v>
      </c>
    </row>
    <row r="4737" customFormat="false" ht="15" hidden="false" customHeight="false" outlineLevel="0" collapsed="false">
      <c r="A4737" s="0" t="n">
        <v>4716</v>
      </c>
      <c r="B4737" s="0" t="s">
        <v>85</v>
      </c>
      <c r="C4737" s="17" t="n">
        <v>-0.37881503492907</v>
      </c>
      <c r="D4737" s="17" t="n">
        <f aca="false">(C4737-$B$4)/($B$6/SQRT($B$7))</f>
        <v>-1.89407517464535</v>
      </c>
      <c r="E4737" s="0" t="str">
        <f aca="false">IF(OR(AND($B$9="superior",D4737&gt;$B$10),AND($B$9="inferior",D4737&lt;-$B$10)),"Rechazar H0","No rechazar H0")</f>
        <v>Rechazar H0</v>
      </c>
      <c r="F4737" s="0" t="str">
        <f aca="false">IF(AND(B4737="H0 verdadera",E4737="Rechazar H0"),"Error tipo I",IF(AND(B4737="Ha verdadera",E4737="No rechazar H0"),"Error tipo II","Decisión correcta"))</f>
        <v>Error tipo I</v>
      </c>
    </row>
    <row r="4738" customFormat="false" ht="15" hidden="false" customHeight="false" outlineLevel="0" collapsed="false">
      <c r="A4738" s="0" t="n">
        <v>4717</v>
      </c>
      <c r="B4738" s="0" t="s">
        <v>86</v>
      </c>
      <c r="C4738" s="17" t="n">
        <v>-0.252595458585532</v>
      </c>
      <c r="D4738" s="17" t="n">
        <f aca="false">(C4738-$B$4)/($B$6/SQRT($B$7))</f>
        <v>-1.26297729292766</v>
      </c>
      <c r="E4738" s="0" t="str">
        <f aca="false">IF(OR(AND($B$9="superior",D4738&gt;$B$10),AND($B$9="inferior",D4738&lt;-$B$10)),"Rechazar H0","No rechazar H0")</f>
        <v>No rechazar H0</v>
      </c>
      <c r="F4738" s="0" t="str">
        <f aca="false">IF(AND(B4738="H0 verdadera",E4738="Rechazar H0"),"Error tipo I",IF(AND(B4738="Ha verdadera",E4738="No rechazar H0"),"Error tipo II","Decisión correcta"))</f>
        <v>Error tipo II</v>
      </c>
    </row>
    <row r="4739" customFormat="false" ht="15" hidden="false" customHeight="false" outlineLevel="0" collapsed="false">
      <c r="A4739" s="0" t="n">
        <v>4718</v>
      </c>
      <c r="B4739" s="0" t="s">
        <v>85</v>
      </c>
      <c r="C4739" s="17" t="n">
        <v>0.421040101650784</v>
      </c>
      <c r="D4739" s="17" t="n">
        <f aca="false">(C4739-$B$4)/($B$6/SQRT($B$7))</f>
        <v>2.10520050825392</v>
      </c>
      <c r="E4739" s="0" t="str">
        <f aca="false">IF(OR(AND($B$9="superior",D4739&gt;$B$10),AND($B$9="inferior",D4739&lt;-$B$10)),"Rechazar H0","No rechazar H0")</f>
        <v>No rechazar H0</v>
      </c>
      <c r="F4739" s="0" t="str">
        <f aca="false">IF(AND(B4739="H0 verdadera",E4739="Rechazar H0"),"Error tipo I",IF(AND(B4739="Ha verdadera",E4739="No rechazar H0"),"Error tipo II","Decisión correcta"))</f>
        <v>Decisión correcta</v>
      </c>
    </row>
    <row r="4740" customFormat="false" ht="15" hidden="false" customHeight="false" outlineLevel="0" collapsed="false">
      <c r="A4740" s="0" t="n">
        <v>4719</v>
      </c>
      <c r="B4740" s="0" t="s">
        <v>86</v>
      </c>
      <c r="C4740" s="17" t="n">
        <v>-0.128318498561502</v>
      </c>
      <c r="D4740" s="17" t="n">
        <f aca="false">(C4740-$B$4)/($B$6/SQRT($B$7))</f>
        <v>-0.641592492807509</v>
      </c>
      <c r="E4740" s="0" t="str">
        <f aca="false">IF(OR(AND($B$9="superior",D4740&gt;$B$10),AND($B$9="inferior",D4740&lt;-$B$10)),"Rechazar H0","No rechazar H0")</f>
        <v>No rechazar H0</v>
      </c>
      <c r="F4740" s="0" t="str">
        <f aca="false">IF(AND(B4740="H0 verdadera",E4740="Rechazar H0"),"Error tipo I",IF(AND(B4740="Ha verdadera",E4740="No rechazar H0"),"Error tipo II","Decisión correcta"))</f>
        <v>Error tipo II</v>
      </c>
    </row>
    <row r="4741" customFormat="false" ht="15" hidden="false" customHeight="false" outlineLevel="0" collapsed="false">
      <c r="A4741" s="0" t="n">
        <v>4720</v>
      </c>
      <c r="B4741" s="0" t="s">
        <v>85</v>
      </c>
      <c r="C4741" s="17" t="n">
        <v>0.0767797778887485</v>
      </c>
      <c r="D4741" s="17" t="n">
        <f aca="false">(C4741-$B$4)/($B$6/SQRT($B$7))</f>
        <v>0.383898889443743</v>
      </c>
      <c r="E4741" s="0" t="str">
        <f aca="false">IF(OR(AND($B$9="superior",D4741&gt;$B$10),AND($B$9="inferior",D4741&lt;-$B$10)),"Rechazar H0","No rechazar H0")</f>
        <v>No rechazar H0</v>
      </c>
      <c r="F4741" s="0" t="str">
        <f aca="false">IF(AND(B4741="H0 verdadera",E4741="Rechazar H0"),"Error tipo I",IF(AND(B4741="Ha verdadera",E4741="No rechazar H0"),"Error tipo II","Decisión correcta"))</f>
        <v>Decisión correcta</v>
      </c>
    </row>
    <row r="4742" customFormat="false" ht="15" hidden="false" customHeight="false" outlineLevel="0" collapsed="false">
      <c r="A4742" s="0" t="n">
        <v>4721</v>
      </c>
      <c r="B4742" s="0" t="s">
        <v>86</v>
      </c>
      <c r="C4742" s="17" t="n">
        <v>-0.360657718841233</v>
      </c>
      <c r="D4742" s="17" t="n">
        <f aca="false">(C4742-$B$4)/($B$6/SQRT($B$7))</f>
        <v>-1.80328859420616</v>
      </c>
      <c r="E4742" s="0" t="str">
        <f aca="false">IF(OR(AND($B$9="superior",D4742&gt;$B$10),AND($B$9="inferior",D4742&lt;-$B$10)),"Rechazar H0","No rechazar H0")</f>
        <v>Rechazar H0</v>
      </c>
      <c r="F4742" s="0" t="str">
        <f aca="false">IF(AND(B4742="H0 verdadera",E4742="Rechazar H0"),"Error tipo I",IF(AND(B4742="Ha verdadera",E4742="No rechazar H0"),"Error tipo II","Decisión correcta"))</f>
        <v>Decisión correcta</v>
      </c>
    </row>
    <row r="4743" customFormat="false" ht="15" hidden="false" customHeight="false" outlineLevel="0" collapsed="false">
      <c r="A4743" s="0" t="n">
        <v>4722</v>
      </c>
      <c r="B4743" s="0" t="s">
        <v>85</v>
      </c>
      <c r="C4743" s="17" t="n">
        <v>0.0681855533231821</v>
      </c>
      <c r="D4743" s="17" t="n">
        <f aca="false">(C4743-$B$4)/($B$6/SQRT($B$7))</f>
        <v>0.34092776661591</v>
      </c>
      <c r="E4743" s="0" t="str">
        <f aca="false">IF(OR(AND($B$9="superior",D4743&gt;$B$10),AND($B$9="inferior",D4743&lt;-$B$10)),"Rechazar H0","No rechazar H0")</f>
        <v>No rechazar H0</v>
      </c>
      <c r="F4743" s="0" t="str">
        <f aca="false">IF(AND(B4743="H0 verdadera",E4743="Rechazar H0"),"Error tipo I",IF(AND(B4743="Ha verdadera",E4743="No rechazar H0"),"Error tipo II","Decisión correcta"))</f>
        <v>Decisión correcta</v>
      </c>
    </row>
    <row r="4744" customFormat="false" ht="15" hidden="false" customHeight="false" outlineLevel="0" collapsed="false">
      <c r="A4744" s="0" t="n">
        <v>4723</v>
      </c>
      <c r="B4744" s="0" t="s">
        <v>86</v>
      </c>
      <c r="C4744" s="17" t="n">
        <v>-0.083006107322278</v>
      </c>
      <c r="D4744" s="17" t="n">
        <f aca="false">(C4744-$B$4)/($B$6/SQRT($B$7))</f>
        <v>-0.41503053661139</v>
      </c>
      <c r="E4744" s="0" t="str">
        <f aca="false">IF(OR(AND($B$9="superior",D4744&gt;$B$10),AND($B$9="inferior",D4744&lt;-$B$10)),"Rechazar H0","No rechazar H0")</f>
        <v>No rechazar H0</v>
      </c>
      <c r="F4744" s="0" t="str">
        <f aca="false">IF(AND(B4744="H0 verdadera",E4744="Rechazar H0"),"Error tipo I",IF(AND(B4744="Ha verdadera",E4744="No rechazar H0"),"Error tipo II","Decisión correcta"))</f>
        <v>Error tipo II</v>
      </c>
    </row>
    <row r="4745" customFormat="false" ht="15" hidden="false" customHeight="false" outlineLevel="0" collapsed="false">
      <c r="A4745" s="0" t="n">
        <v>4724</v>
      </c>
      <c r="B4745" s="0" t="s">
        <v>86</v>
      </c>
      <c r="C4745" s="17" t="n">
        <v>-0.312569873337987</v>
      </c>
      <c r="D4745" s="17" t="n">
        <f aca="false">(C4745-$B$4)/($B$6/SQRT($B$7))</f>
        <v>-1.56284936668994</v>
      </c>
      <c r="E4745" s="0" t="str">
        <f aca="false">IF(OR(AND($B$9="superior",D4745&gt;$B$10),AND($B$9="inferior",D4745&lt;-$B$10)),"Rechazar H0","No rechazar H0")</f>
        <v>No rechazar H0</v>
      </c>
      <c r="F4745" s="0" t="str">
        <f aca="false">IF(AND(B4745="H0 verdadera",E4745="Rechazar H0"),"Error tipo I",IF(AND(B4745="Ha verdadera",E4745="No rechazar H0"),"Error tipo II","Decisión correcta"))</f>
        <v>Error tipo II</v>
      </c>
    </row>
    <row r="4746" customFormat="false" ht="15" hidden="false" customHeight="false" outlineLevel="0" collapsed="false">
      <c r="A4746" s="0" t="n">
        <v>4725</v>
      </c>
      <c r="B4746" s="0" t="s">
        <v>85</v>
      </c>
      <c r="C4746" s="17" t="n">
        <v>-0.121176617546599</v>
      </c>
      <c r="D4746" s="17" t="n">
        <f aca="false">(C4746-$B$4)/($B$6/SQRT($B$7))</f>
        <v>-0.605883087732994</v>
      </c>
      <c r="E4746" s="0" t="str">
        <f aca="false">IF(OR(AND($B$9="superior",D4746&gt;$B$10),AND($B$9="inferior",D4746&lt;-$B$10)),"Rechazar H0","No rechazar H0")</f>
        <v>No rechazar H0</v>
      </c>
      <c r="F4746" s="0" t="str">
        <f aca="false">IF(AND(B4746="H0 verdadera",E4746="Rechazar H0"),"Error tipo I",IF(AND(B4746="Ha verdadera",E4746="No rechazar H0"),"Error tipo II","Decisión correcta"))</f>
        <v>Decisión correcta</v>
      </c>
    </row>
    <row r="4747" customFormat="false" ht="15" hidden="false" customHeight="false" outlineLevel="0" collapsed="false">
      <c r="A4747" s="0" t="n">
        <v>4726</v>
      </c>
      <c r="B4747" s="0" t="s">
        <v>85</v>
      </c>
      <c r="C4747" s="17" t="n">
        <v>-0.0216822305816635</v>
      </c>
      <c r="D4747" s="17" t="n">
        <f aca="false">(C4747-$B$4)/($B$6/SQRT($B$7))</f>
        <v>-0.108411152908318</v>
      </c>
      <c r="E4747" s="0" t="str">
        <f aca="false">IF(OR(AND($B$9="superior",D4747&gt;$B$10),AND($B$9="inferior",D4747&lt;-$B$10)),"Rechazar H0","No rechazar H0")</f>
        <v>No rechazar H0</v>
      </c>
      <c r="F4747" s="0" t="str">
        <f aca="false">IF(AND(B4747="H0 verdadera",E4747="Rechazar H0"),"Error tipo I",IF(AND(B4747="Ha verdadera",E4747="No rechazar H0"),"Error tipo II","Decisión correcta"))</f>
        <v>Decisión correcta</v>
      </c>
    </row>
    <row r="4748" customFormat="false" ht="15" hidden="false" customHeight="false" outlineLevel="0" collapsed="false">
      <c r="A4748" s="0" t="n">
        <v>4727</v>
      </c>
      <c r="B4748" s="0" t="s">
        <v>86</v>
      </c>
      <c r="C4748" s="17" t="n">
        <v>-0.297633979751829</v>
      </c>
      <c r="D4748" s="17" t="n">
        <f aca="false">(C4748-$B$4)/($B$6/SQRT($B$7))</f>
        <v>-1.48816989875914</v>
      </c>
      <c r="E4748" s="0" t="str">
        <f aca="false">IF(OR(AND($B$9="superior",D4748&gt;$B$10),AND($B$9="inferior",D4748&lt;-$B$10)),"Rechazar H0","No rechazar H0")</f>
        <v>No rechazar H0</v>
      </c>
      <c r="F4748" s="0" t="str">
        <f aca="false">IF(AND(B4748="H0 verdadera",E4748="Rechazar H0"),"Error tipo I",IF(AND(B4748="Ha verdadera",E4748="No rechazar H0"),"Error tipo II","Decisión correcta"))</f>
        <v>Error tipo II</v>
      </c>
    </row>
    <row r="4749" customFormat="false" ht="15" hidden="false" customHeight="false" outlineLevel="0" collapsed="false">
      <c r="A4749" s="0" t="n">
        <v>4728</v>
      </c>
      <c r="B4749" s="0" t="s">
        <v>85</v>
      </c>
      <c r="C4749" s="17" t="n">
        <v>-0.163447578996851</v>
      </c>
      <c r="D4749" s="17" t="n">
        <f aca="false">(C4749-$B$4)/($B$6/SQRT($B$7))</f>
        <v>-0.817237894984254</v>
      </c>
      <c r="E4749" s="0" t="str">
        <f aca="false">IF(OR(AND($B$9="superior",D4749&gt;$B$10),AND($B$9="inferior",D4749&lt;-$B$10)),"Rechazar H0","No rechazar H0")</f>
        <v>No rechazar H0</v>
      </c>
      <c r="F4749" s="0" t="str">
        <f aca="false">IF(AND(B4749="H0 verdadera",E4749="Rechazar H0"),"Error tipo I",IF(AND(B4749="Ha verdadera",E4749="No rechazar H0"),"Error tipo II","Decisión correcta"))</f>
        <v>Decisión correcta</v>
      </c>
    </row>
    <row r="4750" customFormat="false" ht="15" hidden="false" customHeight="false" outlineLevel="0" collapsed="false">
      <c r="A4750" s="0" t="n">
        <v>4729</v>
      </c>
      <c r="B4750" s="0" t="s">
        <v>86</v>
      </c>
      <c r="C4750" s="17" t="n">
        <v>-0.790122313615716</v>
      </c>
      <c r="D4750" s="17" t="n">
        <f aca="false">(C4750-$B$4)/($B$6/SQRT($B$7))</f>
        <v>-3.95061156807858</v>
      </c>
      <c r="E4750" s="0" t="str">
        <f aca="false">IF(OR(AND($B$9="superior",D4750&gt;$B$10),AND($B$9="inferior",D4750&lt;-$B$10)),"Rechazar H0","No rechazar H0")</f>
        <v>Rechazar H0</v>
      </c>
      <c r="F4750" s="0" t="str">
        <f aca="false">IF(AND(B4750="H0 verdadera",E4750="Rechazar H0"),"Error tipo I",IF(AND(B4750="Ha verdadera",E4750="No rechazar H0"),"Error tipo II","Decisión correcta"))</f>
        <v>Decisión correcta</v>
      </c>
    </row>
    <row r="4751" customFormat="false" ht="15" hidden="false" customHeight="false" outlineLevel="0" collapsed="false">
      <c r="A4751" s="0" t="n">
        <v>4730</v>
      </c>
      <c r="B4751" s="0" t="s">
        <v>85</v>
      </c>
      <c r="C4751" s="17" t="n">
        <v>0.273918676476829</v>
      </c>
      <c r="D4751" s="17" t="n">
        <f aca="false">(C4751-$B$4)/($B$6/SQRT($B$7))</f>
        <v>1.36959338238415</v>
      </c>
      <c r="E4751" s="0" t="str">
        <f aca="false">IF(OR(AND($B$9="superior",D4751&gt;$B$10),AND($B$9="inferior",D4751&lt;-$B$10)),"Rechazar H0","No rechazar H0")</f>
        <v>No rechazar H0</v>
      </c>
      <c r="F4751" s="0" t="str">
        <f aca="false">IF(AND(B4751="H0 verdadera",E4751="Rechazar H0"),"Error tipo I",IF(AND(B4751="Ha verdadera",E4751="No rechazar H0"),"Error tipo II","Decisión correcta"))</f>
        <v>Decisión correcta</v>
      </c>
    </row>
    <row r="4752" customFormat="false" ht="15" hidden="false" customHeight="false" outlineLevel="0" collapsed="false">
      <c r="A4752" s="0" t="n">
        <v>4731</v>
      </c>
      <c r="B4752" s="0" t="s">
        <v>86</v>
      </c>
      <c r="C4752" s="17" t="n">
        <v>-0.764799220091315</v>
      </c>
      <c r="D4752" s="17" t="n">
        <f aca="false">(C4752-$B$4)/($B$6/SQRT($B$7))</f>
        <v>-3.82399610045657</v>
      </c>
      <c r="E4752" s="0" t="str">
        <f aca="false">IF(OR(AND($B$9="superior",D4752&gt;$B$10),AND($B$9="inferior",D4752&lt;-$B$10)),"Rechazar H0","No rechazar H0")</f>
        <v>Rechazar H0</v>
      </c>
      <c r="F4752" s="0" t="str">
        <f aca="false">IF(AND(B4752="H0 verdadera",E4752="Rechazar H0"),"Error tipo I",IF(AND(B4752="Ha verdadera",E4752="No rechazar H0"),"Error tipo II","Decisión correcta"))</f>
        <v>Decisión correcta</v>
      </c>
    </row>
    <row r="4753" customFormat="false" ht="15" hidden="false" customHeight="false" outlineLevel="0" collapsed="false">
      <c r="A4753" s="0" t="n">
        <v>4732</v>
      </c>
      <c r="B4753" s="0" t="s">
        <v>85</v>
      </c>
      <c r="C4753" s="17" t="n">
        <v>-0.131077025896267</v>
      </c>
      <c r="D4753" s="17" t="n">
        <f aca="false">(C4753-$B$4)/($B$6/SQRT($B$7))</f>
        <v>-0.655385129481332</v>
      </c>
      <c r="E4753" s="0" t="str">
        <f aca="false">IF(OR(AND($B$9="superior",D4753&gt;$B$10),AND($B$9="inferior",D4753&lt;-$B$10)),"Rechazar H0","No rechazar H0")</f>
        <v>No rechazar H0</v>
      </c>
      <c r="F4753" s="0" t="str">
        <f aca="false">IF(AND(B4753="H0 verdadera",E4753="Rechazar H0"),"Error tipo I",IF(AND(B4753="Ha verdadera",E4753="No rechazar H0"),"Error tipo II","Decisión correcta"))</f>
        <v>Decisión correcta</v>
      </c>
    </row>
    <row r="4754" customFormat="false" ht="15" hidden="false" customHeight="false" outlineLevel="0" collapsed="false">
      <c r="A4754" s="0" t="n">
        <v>4733</v>
      </c>
      <c r="B4754" s="0" t="s">
        <v>85</v>
      </c>
      <c r="C4754" s="17" t="n">
        <v>0.308091476923082</v>
      </c>
      <c r="D4754" s="17" t="n">
        <f aca="false">(C4754-$B$4)/($B$6/SQRT($B$7))</f>
        <v>1.54045738461541</v>
      </c>
      <c r="E4754" s="0" t="str">
        <f aca="false">IF(OR(AND($B$9="superior",D4754&gt;$B$10),AND($B$9="inferior",D4754&lt;-$B$10)),"Rechazar H0","No rechazar H0")</f>
        <v>No rechazar H0</v>
      </c>
      <c r="F4754" s="0" t="str">
        <f aca="false">IF(AND(B4754="H0 verdadera",E4754="Rechazar H0"),"Error tipo I",IF(AND(B4754="Ha verdadera",E4754="No rechazar H0"),"Error tipo II","Decisión correcta"))</f>
        <v>Decisión correcta</v>
      </c>
    </row>
    <row r="4755" customFormat="false" ht="15" hidden="false" customHeight="false" outlineLevel="0" collapsed="false">
      <c r="A4755" s="0" t="n">
        <v>4734</v>
      </c>
      <c r="B4755" s="0" t="s">
        <v>85</v>
      </c>
      <c r="C4755" s="17" t="n">
        <v>-0.0306316085676908</v>
      </c>
      <c r="D4755" s="17" t="n">
        <f aca="false">(C4755-$B$4)/($B$6/SQRT($B$7))</f>
        <v>-0.153158042838454</v>
      </c>
      <c r="E4755" s="0" t="str">
        <f aca="false">IF(OR(AND($B$9="superior",D4755&gt;$B$10),AND($B$9="inferior",D4755&lt;-$B$10)),"Rechazar H0","No rechazar H0")</f>
        <v>No rechazar H0</v>
      </c>
      <c r="F4755" s="0" t="str">
        <f aca="false">IF(AND(B4755="H0 verdadera",E4755="Rechazar H0"),"Error tipo I",IF(AND(B4755="Ha verdadera",E4755="No rechazar H0"),"Error tipo II","Decisión correcta"))</f>
        <v>Decisión correcta</v>
      </c>
    </row>
    <row r="4756" customFormat="false" ht="15" hidden="false" customHeight="false" outlineLevel="0" collapsed="false">
      <c r="A4756" s="0" t="n">
        <v>4735</v>
      </c>
      <c r="B4756" s="0" t="s">
        <v>85</v>
      </c>
      <c r="C4756" s="17" t="n">
        <v>-0.00626405805815218</v>
      </c>
      <c r="D4756" s="17" t="n">
        <f aca="false">(C4756-$B$4)/($B$6/SQRT($B$7))</f>
        <v>-0.0313202902907609</v>
      </c>
      <c r="E4756" s="0" t="str">
        <f aca="false">IF(OR(AND($B$9="superior",D4756&gt;$B$10),AND($B$9="inferior",D4756&lt;-$B$10)),"Rechazar H0","No rechazar H0")</f>
        <v>No rechazar H0</v>
      </c>
      <c r="F4756" s="0" t="str">
        <f aca="false">IF(AND(B4756="H0 verdadera",E4756="Rechazar H0"),"Error tipo I",IF(AND(B4756="Ha verdadera",E4756="No rechazar H0"),"Error tipo II","Decisión correcta"))</f>
        <v>Decisión correcta</v>
      </c>
    </row>
    <row r="4757" customFormat="false" ht="15" hidden="false" customHeight="false" outlineLevel="0" collapsed="false">
      <c r="A4757" s="0" t="n">
        <v>4736</v>
      </c>
      <c r="B4757" s="0" t="s">
        <v>86</v>
      </c>
      <c r="C4757" s="17" t="n">
        <v>-0.728426024632441</v>
      </c>
      <c r="D4757" s="17" t="n">
        <f aca="false">(C4757-$B$4)/($B$6/SQRT($B$7))</f>
        <v>-3.6421301231622</v>
      </c>
      <c r="E4757" s="0" t="str">
        <f aca="false">IF(OR(AND($B$9="superior",D4757&gt;$B$10),AND($B$9="inferior",D4757&lt;-$B$10)),"Rechazar H0","No rechazar H0")</f>
        <v>Rechazar H0</v>
      </c>
      <c r="F4757" s="0" t="str">
        <f aca="false">IF(AND(B4757="H0 verdadera",E4757="Rechazar H0"),"Error tipo I",IF(AND(B4757="Ha verdadera",E4757="No rechazar H0"),"Error tipo II","Decisión correcta"))</f>
        <v>Decisión correcta</v>
      </c>
    </row>
    <row r="4758" customFormat="false" ht="15" hidden="false" customHeight="false" outlineLevel="0" collapsed="false">
      <c r="A4758" s="0" t="n">
        <v>4737</v>
      </c>
      <c r="B4758" s="0" t="s">
        <v>85</v>
      </c>
      <c r="C4758" s="17" t="n">
        <v>-0.111348840798187</v>
      </c>
      <c r="D4758" s="17" t="n">
        <f aca="false">(C4758-$B$4)/($B$6/SQRT($B$7))</f>
        <v>-0.556744203990936</v>
      </c>
      <c r="E4758" s="0" t="str">
        <f aca="false">IF(OR(AND($B$9="superior",D4758&gt;$B$10),AND($B$9="inferior",D4758&lt;-$B$10)),"Rechazar H0","No rechazar H0")</f>
        <v>No rechazar H0</v>
      </c>
      <c r="F4758" s="0" t="str">
        <f aca="false">IF(AND(B4758="H0 verdadera",E4758="Rechazar H0"),"Error tipo I",IF(AND(B4758="Ha verdadera",E4758="No rechazar H0"),"Error tipo II","Decisión correcta"))</f>
        <v>Decisión correcta</v>
      </c>
    </row>
    <row r="4759" customFormat="false" ht="15" hidden="false" customHeight="false" outlineLevel="0" collapsed="false">
      <c r="A4759" s="0" t="n">
        <v>4738</v>
      </c>
      <c r="B4759" s="0" t="s">
        <v>85</v>
      </c>
      <c r="C4759" s="17" t="n">
        <v>0.225929243802133</v>
      </c>
      <c r="D4759" s="17" t="n">
        <f aca="false">(C4759-$B$4)/($B$6/SQRT($B$7))</f>
        <v>1.12964621901067</v>
      </c>
      <c r="E4759" s="0" t="str">
        <f aca="false">IF(OR(AND($B$9="superior",D4759&gt;$B$10),AND($B$9="inferior",D4759&lt;-$B$10)),"Rechazar H0","No rechazar H0")</f>
        <v>No rechazar H0</v>
      </c>
      <c r="F4759" s="0" t="str">
        <f aca="false">IF(AND(B4759="H0 verdadera",E4759="Rechazar H0"),"Error tipo I",IF(AND(B4759="Ha verdadera",E4759="No rechazar H0"),"Error tipo II","Decisión correcta"))</f>
        <v>Decisión correcta</v>
      </c>
    </row>
    <row r="4760" customFormat="false" ht="15" hidden="false" customHeight="false" outlineLevel="0" collapsed="false">
      <c r="A4760" s="0" t="n">
        <v>4739</v>
      </c>
      <c r="B4760" s="0" t="s">
        <v>85</v>
      </c>
      <c r="C4760" s="17" t="n">
        <v>0.0404685410820177</v>
      </c>
      <c r="D4760" s="17" t="n">
        <f aca="false">(C4760-$B$4)/($B$6/SQRT($B$7))</f>
        <v>0.202342705410088</v>
      </c>
      <c r="E4760" s="0" t="str">
        <f aca="false">IF(OR(AND($B$9="superior",D4760&gt;$B$10),AND($B$9="inferior",D4760&lt;-$B$10)),"Rechazar H0","No rechazar H0")</f>
        <v>No rechazar H0</v>
      </c>
      <c r="F4760" s="0" t="str">
        <f aca="false">IF(AND(B4760="H0 verdadera",E4760="Rechazar H0"),"Error tipo I",IF(AND(B4760="Ha verdadera",E4760="No rechazar H0"),"Error tipo II","Decisión correcta"))</f>
        <v>Decisión correcta</v>
      </c>
    </row>
    <row r="4761" customFormat="false" ht="15" hidden="false" customHeight="false" outlineLevel="0" collapsed="false">
      <c r="A4761" s="0" t="n">
        <v>4740</v>
      </c>
      <c r="B4761" s="0" t="s">
        <v>86</v>
      </c>
      <c r="C4761" s="17" t="n">
        <v>-0.411331963151328</v>
      </c>
      <c r="D4761" s="17" t="n">
        <f aca="false">(C4761-$B$4)/($B$6/SQRT($B$7))</f>
        <v>-2.05665981575664</v>
      </c>
      <c r="E4761" s="0" t="str">
        <f aca="false">IF(OR(AND($B$9="superior",D4761&gt;$B$10),AND($B$9="inferior",D4761&lt;-$B$10)),"Rechazar H0","No rechazar H0")</f>
        <v>Rechazar H0</v>
      </c>
      <c r="F4761" s="0" t="str">
        <f aca="false">IF(AND(B4761="H0 verdadera",E4761="Rechazar H0"),"Error tipo I",IF(AND(B4761="Ha verdadera",E4761="No rechazar H0"),"Error tipo II","Decisión correcta"))</f>
        <v>Decisión correcta</v>
      </c>
    </row>
    <row r="4762" customFormat="false" ht="15" hidden="false" customHeight="false" outlineLevel="0" collapsed="false">
      <c r="A4762" s="0" t="n">
        <v>4741</v>
      </c>
      <c r="B4762" s="0" t="s">
        <v>85</v>
      </c>
      <c r="C4762" s="17" t="n">
        <v>-0.216573924455559</v>
      </c>
      <c r="D4762" s="17" t="n">
        <f aca="false">(C4762-$B$4)/($B$6/SQRT($B$7))</f>
        <v>-1.08286962227779</v>
      </c>
      <c r="E4762" s="0" t="str">
        <f aca="false">IF(OR(AND($B$9="superior",D4762&gt;$B$10),AND($B$9="inferior",D4762&lt;-$B$10)),"Rechazar H0","No rechazar H0")</f>
        <v>No rechazar H0</v>
      </c>
      <c r="F4762" s="0" t="str">
        <f aca="false">IF(AND(B4762="H0 verdadera",E4762="Rechazar H0"),"Error tipo I",IF(AND(B4762="Ha verdadera",E4762="No rechazar H0"),"Error tipo II","Decisión correcta"))</f>
        <v>Decisión correcta</v>
      </c>
    </row>
    <row r="4763" customFormat="false" ht="15" hidden="false" customHeight="false" outlineLevel="0" collapsed="false">
      <c r="A4763" s="0" t="n">
        <v>4742</v>
      </c>
      <c r="B4763" s="0" t="s">
        <v>86</v>
      </c>
      <c r="C4763" s="17" t="n">
        <v>-0.168067799963641</v>
      </c>
      <c r="D4763" s="17" t="n">
        <f aca="false">(C4763-$B$4)/($B$6/SQRT($B$7))</f>
        <v>-0.840338999818207</v>
      </c>
      <c r="E4763" s="0" t="str">
        <f aca="false">IF(OR(AND($B$9="superior",D4763&gt;$B$10),AND($B$9="inferior",D4763&lt;-$B$10)),"Rechazar H0","No rechazar H0")</f>
        <v>No rechazar H0</v>
      </c>
      <c r="F4763" s="0" t="str">
        <f aca="false">IF(AND(B4763="H0 verdadera",E4763="Rechazar H0"),"Error tipo I",IF(AND(B4763="Ha verdadera",E4763="No rechazar H0"),"Error tipo II","Decisión correcta"))</f>
        <v>Error tipo II</v>
      </c>
    </row>
    <row r="4764" customFormat="false" ht="15" hidden="false" customHeight="false" outlineLevel="0" collapsed="false">
      <c r="A4764" s="0" t="n">
        <v>4743</v>
      </c>
      <c r="B4764" s="0" t="s">
        <v>85</v>
      </c>
      <c r="C4764" s="17" t="n">
        <v>0.00227912210682469</v>
      </c>
      <c r="D4764" s="17" t="n">
        <f aca="false">(C4764-$B$4)/($B$6/SQRT($B$7))</f>
        <v>0.0113956105341235</v>
      </c>
      <c r="E4764" s="0" t="str">
        <f aca="false">IF(OR(AND($B$9="superior",D4764&gt;$B$10),AND($B$9="inferior",D4764&lt;-$B$10)),"Rechazar H0","No rechazar H0")</f>
        <v>No rechazar H0</v>
      </c>
      <c r="F4764" s="0" t="str">
        <f aca="false">IF(AND(B4764="H0 verdadera",E4764="Rechazar H0"),"Error tipo I",IF(AND(B4764="Ha verdadera",E4764="No rechazar H0"),"Error tipo II","Decisión correcta"))</f>
        <v>Decisión correcta</v>
      </c>
    </row>
    <row r="4765" customFormat="false" ht="15" hidden="false" customHeight="false" outlineLevel="0" collapsed="false">
      <c r="A4765" s="0" t="n">
        <v>4744</v>
      </c>
      <c r="B4765" s="0" t="s">
        <v>85</v>
      </c>
      <c r="C4765" s="17" t="n">
        <v>-0.173878472094481</v>
      </c>
      <c r="D4765" s="17" t="n">
        <f aca="false">(C4765-$B$4)/($B$6/SQRT($B$7))</f>
        <v>-0.869392360472404</v>
      </c>
      <c r="E4765" s="0" t="str">
        <f aca="false">IF(OR(AND($B$9="superior",D4765&gt;$B$10),AND($B$9="inferior",D4765&lt;-$B$10)),"Rechazar H0","No rechazar H0")</f>
        <v>No rechazar H0</v>
      </c>
      <c r="F4765" s="0" t="str">
        <f aca="false">IF(AND(B4765="H0 verdadera",E4765="Rechazar H0"),"Error tipo I",IF(AND(B4765="Ha verdadera",E4765="No rechazar H0"),"Error tipo II","Decisión correcta"))</f>
        <v>Decisión correcta</v>
      </c>
    </row>
    <row r="4766" customFormat="false" ht="15" hidden="false" customHeight="false" outlineLevel="0" collapsed="false">
      <c r="A4766" s="0" t="n">
        <v>4745</v>
      </c>
      <c r="B4766" s="0" t="s">
        <v>86</v>
      </c>
      <c r="C4766" s="17" t="n">
        <v>-0.502737890112484</v>
      </c>
      <c r="D4766" s="17" t="n">
        <f aca="false">(C4766-$B$4)/($B$6/SQRT($B$7))</f>
        <v>-2.51368945056242</v>
      </c>
      <c r="E4766" s="0" t="str">
        <f aca="false">IF(OR(AND($B$9="superior",D4766&gt;$B$10),AND($B$9="inferior",D4766&lt;-$B$10)),"Rechazar H0","No rechazar H0")</f>
        <v>Rechazar H0</v>
      </c>
      <c r="F4766" s="0" t="str">
        <f aca="false">IF(AND(B4766="H0 verdadera",E4766="Rechazar H0"),"Error tipo I",IF(AND(B4766="Ha verdadera",E4766="No rechazar H0"),"Error tipo II","Decisión correcta"))</f>
        <v>Decisión correcta</v>
      </c>
    </row>
    <row r="4767" customFormat="false" ht="15" hidden="false" customHeight="false" outlineLevel="0" collapsed="false">
      <c r="A4767" s="0" t="n">
        <v>4746</v>
      </c>
      <c r="B4767" s="0" t="s">
        <v>85</v>
      </c>
      <c r="C4767" s="17" t="n">
        <v>0.204115442692832</v>
      </c>
      <c r="D4767" s="17" t="n">
        <f aca="false">(C4767-$B$4)/($B$6/SQRT($B$7))</f>
        <v>1.02057721346416</v>
      </c>
      <c r="E4767" s="0" t="str">
        <f aca="false">IF(OR(AND($B$9="superior",D4767&gt;$B$10),AND($B$9="inferior",D4767&lt;-$B$10)),"Rechazar H0","No rechazar H0")</f>
        <v>No rechazar H0</v>
      </c>
      <c r="F4767" s="0" t="str">
        <f aca="false">IF(AND(B4767="H0 verdadera",E4767="Rechazar H0"),"Error tipo I",IF(AND(B4767="Ha verdadera",E4767="No rechazar H0"),"Error tipo II","Decisión correcta"))</f>
        <v>Decisión correcta</v>
      </c>
    </row>
    <row r="4768" customFormat="false" ht="15" hidden="false" customHeight="false" outlineLevel="0" collapsed="false">
      <c r="A4768" s="0" t="n">
        <v>4747</v>
      </c>
      <c r="B4768" s="0" t="s">
        <v>85</v>
      </c>
      <c r="C4768" s="17" t="n">
        <v>0.00432864208320184</v>
      </c>
      <c r="D4768" s="17" t="n">
        <f aca="false">(C4768-$B$4)/($B$6/SQRT($B$7))</f>
        <v>0.0216432104160092</v>
      </c>
      <c r="E4768" s="0" t="str">
        <f aca="false">IF(OR(AND($B$9="superior",D4768&gt;$B$10),AND($B$9="inferior",D4768&lt;-$B$10)),"Rechazar H0","No rechazar H0")</f>
        <v>No rechazar H0</v>
      </c>
      <c r="F4768" s="0" t="str">
        <f aca="false">IF(AND(B4768="H0 verdadera",E4768="Rechazar H0"),"Error tipo I",IF(AND(B4768="Ha verdadera",E4768="No rechazar H0"),"Error tipo II","Decisión correcta"))</f>
        <v>Decisión correcta</v>
      </c>
    </row>
    <row r="4769" customFormat="false" ht="15" hidden="false" customHeight="false" outlineLevel="0" collapsed="false">
      <c r="A4769" s="0" t="n">
        <v>4748</v>
      </c>
      <c r="B4769" s="0" t="s">
        <v>85</v>
      </c>
      <c r="C4769" s="17" t="n">
        <v>-0.135096640525543</v>
      </c>
      <c r="D4769" s="17" t="n">
        <f aca="false">(C4769-$B$4)/($B$6/SQRT($B$7))</f>
        <v>-0.675483202627714</v>
      </c>
      <c r="E4769" s="0" t="str">
        <f aca="false">IF(OR(AND($B$9="superior",D4769&gt;$B$10),AND($B$9="inferior",D4769&lt;-$B$10)),"Rechazar H0","No rechazar H0")</f>
        <v>No rechazar H0</v>
      </c>
      <c r="F4769" s="0" t="str">
        <f aca="false">IF(AND(B4769="H0 verdadera",E4769="Rechazar H0"),"Error tipo I",IF(AND(B4769="Ha verdadera",E4769="No rechazar H0"),"Error tipo II","Decisión correcta"))</f>
        <v>Decisión correcta</v>
      </c>
    </row>
    <row r="4770" customFormat="false" ht="15" hidden="false" customHeight="false" outlineLevel="0" collapsed="false">
      <c r="A4770" s="0" t="n">
        <v>4749</v>
      </c>
      <c r="B4770" s="0" t="s">
        <v>85</v>
      </c>
      <c r="C4770" s="17" t="n">
        <v>0.417288672733804</v>
      </c>
      <c r="D4770" s="17" t="n">
        <f aca="false">(C4770-$B$4)/($B$6/SQRT($B$7))</f>
        <v>2.08644336366902</v>
      </c>
      <c r="E4770" s="0" t="str">
        <f aca="false">IF(OR(AND($B$9="superior",D4770&gt;$B$10),AND($B$9="inferior",D4770&lt;-$B$10)),"Rechazar H0","No rechazar H0")</f>
        <v>No rechazar H0</v>
      </c>
      <c r="F4770" s="0" t="str">
        <f aca="false">IF(AND(B4770="H0 verdadera",E4770="Rechazar H0"),"Error tipo I",IF(AND(B4770="Ha verdadera",E4770="No rechazar H0"),"Error tipo II","Decisión correcta"))</f>
        <v>Decisión correcta</v>
      </c>
    </row>
    <row r="4771" customFormat="false" ht="15" hidden="false" customHeight="false" outlineLevel="0" collapsed="false">
      <c r="A4771" s="0" t="n">
        <v>4750</v>
      </c>
      <c r="B4771" s="0" t="s">
        <v>86</v>
      </c>
      <c r="C4771" s="17" t="n">
        <v>-0.241631702190146</v>
      </c>
      <c r="D4771" s="17" t="n">
        <f aca="false">(C4771-$B$4)/($B$6/SQRT($B$7))</f>
        <v>-1.20815851095073</v>
      </c>
      <c r="E4771" s="0" t="str">
        <f aca="false">IF(OR(AND($B$9="superior",D4771&gt;$B$10),AND($B$9="inferior",D4771&lt;-$B$10)),"Rechazar H0","No rechazar H0")</f>
        <v>No rechazar H0</v>
      </c>
      <c r="F4771" s="0" t="str">
        <f aca="false">IF(AND(B4771="H0 verdadera",E4771="Rechazar H0"),"Error tipo I",IF(AND(B4771="Ha verdadera",E4771="No rechazar H0"),"Error tipo II","Decisión correcta"))</f>
        <v>Error tipo II</v>
      </c>
    </row>
    <row r="4772" customFormat="false" ht="15" hidden="false" customHeight="false" outlineLevel="0" collapsed="false">
      <c r="A4772" s="0" t="n">
        <v>4751</v>
      </c>
      <c r="B4772" s="0" t="s">
        <v>86</v>
      </c>
      <c r="C4772" s="17" t="n">
        <v>-0.368026989095946</v>
      </c>
      <c r="D4772" s="17" t="n">
        <f aca="false">(C4772-$B$4)/($B$6/SQRT($B$7))</f>
        <v>-1.84013494547973</v>
      </c>
      <c r="E4772" s="0" t="str">
        <f aca="false">IF(OR(AND($B$9="superior",D4772&gt;$B$10),AND($B$9="inferior",D4772&lt;-$B$10)),"Rechazar H0","No rechazar H0")</f>
        <v>Rechazar H0</v>
      </c>
      <c r="F4772" s="0" t="str">
        <f aca="false">IF(AND(B4772="H0 verdadera",E4772="Rechazar H0"),"Error tipo I",IF(AND(B4772="Ha verdadera",E4772="No rechazar H0"),"Error tipo II","Decisión correcta"))</f>
        <v>Decisión correcta</v>
      </c>
    </row>
    <row r="4773" customFormat="false" ht="15" hidden="false" customHeight="false" outlineLevel="0" collapsed="false">
      <c r="A4773" s="0" t="n">
        <v>4752</v>
      </c>
      <c r="B4773" s="0" t="s">
        <v>85</v>
      </c>
      <c r="C4773" s="17" t="n">
        <v>0.148746247286673</v>
      </c>
      <c r="D4773" s="17" t="n">
        <f aca="false">(C4773-$B$4)/($B$6/SQRT($B$7))</f>
        <v>0.743731236433365</v>
      </c>
      <c r="E4773" s="0" t="str">
        <f aca="false">IF(OR(AND($B$9="superior",D4773&gt;$B$10),AND($B$9="inferior",D4773&lt;-$B$10)),"Rechazar H0","No rechazar H0")</f>
        <v>No rechazar H0</v>
      </c>
      <c r="F4773" s="0" t="str">
        <f aca="false">IF(AND(B4773="H0 verdadera",E4773="Rechazar H0"),"Error tipo I",IF(AND(B4773="Ha verdadera",E4773="No rechazar H0"),"Error tipo II","Decisión correcta"))</f>
        <v>Decisión correcta</v>
      </c>
    </row>
    <row r="4774" customFormat="false" ht="15" hidden="false" customHeight="false" outlineLevel="0" collapsed="false">
      <c r="A4774" s="0" t="n">
        <v>4753</v>
      </c>
      <c r="B4774" s="0" t="s">
        <v>86</v>
      </c>
      <c r="C4774" s="17" t="n">
        <v>-0.221984872692716</v>
      </c>
      <c r="D4774" s="17" t="n">
        <f aca="false">(C4774-$B$4)/($B$6/SQRT($B$7))</f>
        <v>-1.10992436346358</v>
      </c>
      <c r="E4774" s="0" t="str">
        <f aca="false">IF(OR(AND($B$9="superior",D4774&gt;$B$10),AND($B$9="inferior",D4774&lt;-$B$10)),"Rechazar H0","No rechazar H0")</f>
        <v>No rechazar H0</v>
      </c>
      <c r="F4774" s="0" t="str">
        <f aca="false">IF(AND(B4774="H0 verdadera",E4774="Rechazar H0"),"Error tipo I",IF(AND(B4774="Ha verdadera",E4774="No rechazar H0"),"Error tipo II","Decisión correcta"))</f>
        <v>Error tipo II</v>
      </c>
    </row>
    <row r="4775" customFormat="false" ht="15" hidden="false" customHeight="false" outlineLevel="0" collapsed="false">
      <c r="A4775" s="0" t="n">
        <v>4754</v>
      </c>
      <c r="B4775" s="0" t="s">
        <v>86</v>
      </c>
      <c r="C4775" s="17" t="n">
        <v>-0.723307498367173</v>
      </c>
      <c r="D4775" s="17" t="n">
        <f aca="false">(C4775-$B$4)/($B$6/SQRT($B$7))</f>
        <v>-3.61653749183587</v>
      </c>
      <c r="E4775" s="0" t="str">
        <f aca="false">IF(OR(AND($B$9="superior",D4775&gt;$B$10),AND($B$9="inferior",D4775&lt;-$B$10)),"Rechazar H0","No rechazar H0")</f>
        <v>Rechazar H0</v>
      </c>
      <c r="F4775" s="0" t="str">
        <f aca="false">IF(AND(B4775="H0 verdadera",E4775="Rechazar H0"),"Error tipo I",IF(AND(B4775="Ha verdadera",E4775="No rechazar H0"),"Error tipo II","Decisión correcta"))</f>
        <v>Decisión correcta</v>
      </c>
    </row>
    <row r="4776" customFormat="false" ht="15" hidden="false" customHeight="false" outlineLevel="0" collapsed="false">
      <c r="A4776" s="0" t="n">
        <v>4755</v>
      </c>
      <c r="B4776" s="0" t="s">
        <v>86</v>
      </c>
      <c r="C4776" s="17" t="n">
        <v>-0.442265483870173</v>
      </c>
      <c r="D4776" s="17" t="n">
        <f aca="false">(C4776-$B$4)/($B$6/SQRT($B$7))</f>
        <v>-2.21132741935087</v>
      </c>
      <c r="E4776" s="0" t="str">
        <f aca="false">IF(OR(AND($B$9="superior",D4776&gt;$B$10),AND($B$9="inferior",D4776&lt;-$B$10)),"Rechazar H0","No rechazar H0")</f>
        <v>Rechazar H0</v>
      </c>
      <c r="F4776" s="0" t="str">
        <f aca="false">IF(AND(B4776="H0 verdadera",E4776="Rechazar H0"),"Error tipo I",IF(AND(B4776="Ha verdadera",E4776="No rechazar H0"),"Error tipo II","Decisión correcta"))</f>
        <v>Decisión correcta</v>
      </c>
    </row>
    <row r="4777" customFormat="false" ht="15" hidden="false" customHeight="false" outlineLevel="0" collapsed="false">
      <c r="A4777" s="0" t="n">
        <v>4756</v>
      </c>
      <c r="B4777" s="0" t="s">
        <v>86</v>
      </c>
      <c r="C4777" s="17" t="n">
        <v>-0.42713558145594</v>
      </c>
      <c r="D4777" s="17" t="n">
        <f aca="false">(C4777-$B$4)/($B$6/SQRT($B$7))</f>
        <v>-2.1356779072797</v>
      </c>
      <c r="E4777" s="0" t="str">
        <f aca="false">IF(OR(AND($B$9="superior",D4777&gt;$B$10),AND($B$9="inferior",D4777&lt;-$B$10)),"Rechazar H0","No rechazar H0")</f>
        <v>Rechazar H0</v>
      </c>
      <c r="F4777" s="0" t="str">
        <f aca="false">IF(AND(B4777="H0 verdadera",E4777="Rechazar H0"),"Error tipo I",IF(AND(B4777="Ha verdadera",E4777="No rechazar H0"),"Error tipo II","Decisión correcta"))</f>
        <v>Decisión correcta</v>
      </c>
    </row>
    <row r="4778" customFormat="false" ht="15" hidden="false" customHeight="false" outlineLevel="0" collapsed="false">
      <c r="A4778" s="0" t="n">
        <v>4757</v>
      </c>
      <c r="B4778" s="0" t="s">
        <v>85</v>
      </c>
      <c r="C4778" s="17" t="n">
        <v>-0.097007009331629</v>
      </c>
      <c r="D4778" s="17" t="n">
        <f aca="false">(C4778-$B$4)/($B$6/SQRT($B$7))</f>
        <v>-0.485035046658145</v>
      </c>
      <c r="E4778" s="0" t="str">
        <f aca="false">IF(OR(AND($B$9="superior",D4778&gt;$B$10),AND($B$9="inferior",D4778&lt;-$B$10)),"Rechazar H0","No rechazar H0")</f>
        <v>No rechazar H0</v>
      </c>
      <c r="F4778" s="0" t="str">
        <f aca="false">IF(AND(B4778="H0 verdadera",E4778="Rechazar H0"),"Error tipo I",IF(AND(B4778="Ha verdadera",E4778="No rechazar H0"),"Error tipo II","Decisión correcta"))</f>
        <v>Decisión correcta</v>
      </c>
    </row>
    <row r="4779" customFormat="false" ht="15" hidden="false" customHeight="false" outlineLevel="0" collapsed="false">
      <c r="A4779" s="0" t="n">
        <v>4758</v>
      </c>
      <c r="B4779" s="0" t="s">
        <v>86</v>
      </c>
      <c r="C4779" s="17" t="n">
        <v>-0.486506843987429</v>
      </c>
      <c r="D4779" s="17" t="n">
        <f aca="false">(C4779-$B$4)/($B$6/SQRT($B$7))</f>
        <v>-2.43253421993714</v>
      </c>
      <c r="E4779" s="0" t="str">
        <f aca="false">IF(OR(AND($B$9="superior",D4779&gt;$B$10),AND($B$9="inferior",D4779&lt;-$B$10)),"Rechazar H0","No rechazar H0")</f>
        <v>Rechazar H0</v>
      </c>
      <c r="F4779" s="0" t="str">
        <f aca="false">IF(AND(B4779="H0 verdadera",E4779="Rechazar H0"),"Error tipo I",IF(AND(B4779="Ha verdadera",E4779="No rechazar H0"),"Error tipo II","Decisión correcta"))</f>
        <v>Decisión correcta</v>
      </c>
    </row>
    <row r="4780" customFormat="false" ht="15" hidden="false" customHeight="false" outlineLevel="0" collapsed="false">
      <c r="A4780" s="0" t="n">
        <v>4759</v>
      </c>
      <c r="B4780" s="0" t="s">
        <v>85</v>
      </c>
      <c r="C4780" s="17" t="n">
        <v>-0.123048165543883</v>
      </c>
      <c r="D4780" s="17" t="n">
        <f aca="false">(C4780-$B$4)/($B$6/SQRT($B$7))</f>
        <v>-0.615240827719413</v>
      </c>
      <c r="E4780" s="0" t="str">
        <f aca="false">IF(OR(AND($B$9="superior",D4780&gt;$B$10),AND($B$9="inferior",D4780&lt;-$B$10)),"Rechazar H0","No rechazar H0")</f>
        <v>No rechazar H0</v>
      </c>
      <c r="F4780" s="0" t="str">
        <f aca="false">IF(AND(B4780="H0 verdadera",E4780="Rechazar H0"),"Error tipo I",IF(AND(B4780="Ha verdadera",E4780="No rechazar H0"),"Error tipo II","Decisión correcta"))</f>
        <v>Decisión correcta</v>
      </c>
    </row>
    <row r="4781" customFormat="false" ht="15" hidden="false" customHeight="false" outlineLevel="0" collapsed="false">
      <c r="A4781" s="0" t="n">
        <v>4760</v>
      </c>
      <c r="B4781" s="0" t="s">
        <v>85</v>
      </c>
      <c r="C4781" s="17" t="n">
        <v>0.0942373873030672</v>
      </c>
      <c r="D4781" s="17" t="n">
        <f aca="false">(C4781-$B$4)/($B$6/SQRT($B$7))</f>
        <v>0.471186936515336</v>
      </c>
      <c r="E4781" s="0" t="str">
        <f aca="false">IF(OR(AND($B$9="superior",D4781&gt;$B$10),AND($B$9="inferior",D4781&lt;-$B$10)),"Rechazar H0","No rechazar H0")</f>
        <v>No rechazar H0</v>
      </c>
      <c r="F4781" s="0" t="str">
        <f aca="false">IF(AND(B4781="H0 verdadera",E4781="Rechazar H0"),"Error tipo I",IF(AND(B4781="Ha verdadera",E4781="No rechazar H0"),"Error tipo II","Decisión correcta"))</f>
        <v>Decisión correcta</v>
      </c>
    </row>
    <row r="4782" customFormat="false" ht="15" hidden="false" customHeight="false" outlineLevel="0" collapsed="false">
      <c r="A4782" s="0" t="n">
        <v>4761</v>
      </c>
      <c r="B4782" s="0" t="s">
        <v>85</v>
      </c>
      <c r="C4782" s="17" t="n">
        <v>0.0143858152745343</v>
      </c>
      <c r="D4782" s="17" t="n">
        <f aca="false">(C4782-$B$4)/($B$6/SQRT($B$7))</f>
        <v>0.0719290763726712</v>
      </c>
      <c r="E4782" s="0" t="str">
        <f aca="false">IF(OR(AND($B$9="superior",D4782&gt;$B$10),AND($B$9="inferior",D4782&lt;-$B$10)),"Rechazar H0","No rechazar H0")</f>
        <v>No rechazar H0</v>
      </c>
      <c r="F4782" s="0" t="str">
        <f aca="false">IF(AND(B4782="H0 verdadera",E4782="Rechazar H0"),"Error tipo I",IF(AND(B4782="Ha verdadera",E4782="No rechazar H0"),"Error tipo II","Decisión correcta"))</f>
        <v>Decisión correcta</v>
      </c>
    </row>
    <row r="4783" customFormat="false" ht="15" hidden="false" customHeight="false" outlineLevel="0" collapsed="false">
      <c r="A4783" s="0" t="n">
        <v>4762</v>
      </c>
      <c r="B4783" s="0" t="s">
        <v>85</v>
      </c>
      <c r="C4783" s="17" t="n">
        <v>-0.205033081914901</v>
      </c>
      <c r="D4783" s="17" t="n">
        <f aca="false">(C4783-$B$4)/($B$6/SQRT($B$7))</f>
        <v>-1.02516540957451</v>
      </c>
      <c r="E4783" s="0" t="str">
        <f aca="false">IF(OR(AND($B$9="superior",D4783&gt;$B$10),AND($B$9="inferior",D4783&lt;-$B$10)),"Rechazar H0","No rechazar H0")</f>
        <v>No rechazar H0</v>
      </c>
      <c r="F4783" s="0" t="str">
        <f aca="false">IF(AND(B4783="H0 verdadera",E4783="Rechazar H0"),"Error tipo I",IF(AND(B4783="Ha verdadera",E4783="No rechazar H0"),"Error tipo II","Decisión correcta"))</f>
        <v>Decisión correcta</v>
      </c>
    </row>
    <row r="4784" customFormat="false" ht="15" hidden="false" customHeight="false" outlineLevel="0" collapsed="false">
      <c r="A4784" s="0" t="n">
        <v>4763</v>
      </c>
      <c r="B4784" s="0" t="s">
        <v>86</v>
      </c>
      <c r="C4784" s="17" t="n">
        <v>-0.739498687640899</v>
      </c>
      <c r="D4784" s="17" t="n">
        <f aca="false">(C4784-$B$4)/($B$6/SQRT($B$7))</f>
        <v>-3.69749343820449</v>
      </c>
      <c r="E4784" s="0" t="str">
        <f aca="false">IF(OR(AND($B$9="superior",D4784&gt;$B$10),AND($B$9="inferior",D4784&lt;-$B$10)),"Rechazar H0","No rechazar H0")</f>
        <v>Rechazar H0</v>
      </c>
      <c r="F4784" s="0" t="str">
        <f aca="false">IF(AND(B4784="H0 verdadera",E4784="Rechazar H0"),"Error tipo I",IF(AND(B4784="Ha verdadera",E4784="No rechazar H0"),"Error tipo II","Decisión correcta"))</f>
        <v>Decisión correcta</v>
      </c>
    </row>
    <row r="4785" customFormat="false" ht="15" hidden="false" customHeight="false" outlineLevel="0" collapsed="false">
      <c r="A4785" s="0" t="n">
        <v>4764</v>
      </c>
      <c r="B4785" s="0" t="s">
        <v>86</v>
      </c>
      <c r="C4785" s="17" t="n">
        <v>-0.485138495970152</v>
      </c>
      <c r="D4785" s="17" t="n">
        <f aca="false">(C4785-$B$4)/($B$6/SQRT($B$7))</f>
        <v>-2.42569247985076</v>
      </c>
      <c r="E4785" s="0" t="str">
        <f aca="false">IF(OR(AND($B$9="superior",D4785&gt;$B$10),AND($B$9="inferior",D4785&lt;-$B$10)),"Rechazar H0","No rechazar H0")</f>
        <v>Rechazar H0</v>
      </c>
      <c r="F4785" s="0" t="str">
        <f aca="false">IF(AND(B4785="H0 verdadera",E4785="Rechazar H0"),"Error tipo I",IF(AND(B4785="Ha verdadera",E4785="No rechazar H0"),"Error tipo II","Decisión correcta"))</f>
        <v>Decisión correcta</v>
      </c>
    </row>
    <row r="4786" customFormat="false" ht="15" hidden="false" customHeight="false" outlineLevel="0" collapsed="false">
      <c r="A4786" s="0" t="n">
        <v>4765</v>
      </c>
      <c r="B4786" s="0" t="s">
        <v>86</v>
      </c>
      <c r="C4786" s="17" t="n">
        <v>-0.594568193862474</v>
      </c>
      <c r="D4786" s="17" t="n">
        <f aca="false">(C4786-$B$4)/($B$6/SQRT($B$7))</f>
        <v>-2.97284096931237</v>
      </c>
      <c r="E4786" s="0" t="str">
        <f aca="false">IF(OR(AND($B$9="superior",D4786&gt;$B$10),AND($B$9="inferior",D4786&lt;-$B$10)),"Rechazar H0","No rechazar H0")</f>
        <v>Rechazar H0</v>
      </c>
      <c r="F4786" s="0" t="str">
        <f aca="false">IF(AND(B4786="H0 verdadera",E4786="Rechazar H0"),"Error tipo I",IF(AND(B4786="Ha verdadera",E4786="No rechazar H0"),"Error tipo II","Decisión correcta"))</f>
        <v>Decisión correcta</v>
      </c>
    </row>
    <row r="4787" customFormat="false" ht="15" hidden="false" customHeight="false" outlineLevel="0" collapsed="false">
      <c r="A4787" s="0" t="n">
        <v>4766</v>
      </c>
      <c r="B4787" s="0" t="s">
        <v>85</v>
      </c>
      <c r="C4787" s="17" t="n">
        <v>0.0167536486678372</v>
      </c>
      <c r="D4787" s="17" t="n">
        <f aca="false">(C4787-$B$4)/($B$6/SQRT($B$7))</f>
        <v>0.083768243339186</v>
      </c>
      <c r="E4787" s="0" t="str">
        <f aca="false">IF(OR(AND($B$9="superior",D4787&gt;$B$10),AND($B$9="inferior",D4787&lt;-$B$10)),"Rechazar H0","No rechazar H0")</f>
        <v>No rechazar H0</v>
      </c>
      <c r="F4787" s="0" t="str">
        <f aca="false">IF(AND(B4787="H0 verdadera",E4787="Rechazar H0"),"Error tipo I",IF(AND(B4787="Ha verdadera",E4787="No rechazar H0"),"Error tipo II","Decisión correcta"))</f>
        <v>Decisión correcta</v>
      </c>
    </row>
    <row r="4788" customFormat="false" ht="15" hidden="false" customHeight="false" outlineLevel="0" collapsed="false">
      <c r="A4788" s="0" t="n">
        <v>4767</v>
      </c>
      <c r="B4788" s="0" t="s">
        <v>85</v>
      </c>
      <c r="C4788" s="17" t="n">
        <v>0.045894789750055</v>
      </c>
      <c r="D4788" s="17" t="n">
        <f aca="false">(C4788-$B$4)/($B$6/SQRT($B$7))</f>
        <v>0.229473948750275</v>
      </c>
      <c r="E4788" s="0" t="str">
        <f aca="false">IF(OR(AND($B$9="superior",D4788&gt;$B$10),AND($B$9="inferior",D4788&lt;-$B$10)),"Rechazar H0","No rechazar H0")</f>
        <v>No rechazar H0</v>
      </c>
      <c r="F4788" s="0" t="str">
        <f aca="false">IF(AND(B4788="H0 verdadera",E4788="Rechazar H0"),"Error tipo I",IF(AND(B4788="Ha verdadera",E4788="No rechazar H0"),"Error tipo II","Decisión correcta"))</f>
        <v>Decisión correcta</v>
      </c>
    </row>
    <row r="4789" customFormat="false" ht="15" hidden="false" customHeight="false" outlineLevel="0" collapsed="false">
      <c r="A4789" s="0" t="n">
        <v>4768</v>
      </c>
      <c r="B4789" s="0" t="s">
        <v>86</v>
      </c>
      <c r="C4789" s="17" t="n">
        <v>-0.285169839939915</v>
      </c>
      <c r="D4789" s="17" t="n">
        <f aca="false">(C4789-$B$4)/($B$6/SQRT($B$7))</f>
        <v>-1.42584919969958</v>
      </c>
      <c r="E4789" s="0" t="str">
        <f aca="false">IF(OR(AND($B$9="superior",D4789&gt;$B$10),AND($B$9="inferior",D4789&lt;-$B$10)),"Rechazar H0","No rechazar H0")</f>
        <v>No rechazar H0</v>
      </c>
      <c r="F4789" s="0" t="str">
        <f aca="false">IF(AND(B4789="H0 verdadera",E4789="Rechazar H0"),"Error tipo I",IF(AND(B4789="Ha verdadera",E4789="No rechazar H0"),"Error tipo II","Decisión correcta"))</f>
        <v>Error tipo II</v>
      </c>
    </row>
    <row r="4790" customFormat="false" ht="15" hidden="false" customHeight="false" outlineLevel="0" collapsed="false">
      <c r="A4790" s="0" t="n">
        <v>4769</v>
      </c>
      <c r="B4790" s="0" t="s">
        <v>86</v>
      </c>
      <c r="C4790" s="17" t="n">
        <v>-0.288495617965311</v>
      </c>
      <c r="D4790" s="17" t="n">
        <f aca="false">(C4790-$B$4)/($B$6/SQRT($B$7))</f>
        <v>-1.44247808982656</v>
      </c>
      <c r="E4790" s="0" t="str">
        <f aca="false">IF(OR(AND($B$9="superior",D4790&gt;$B$10),AND($B$9="inferior",D4790&lt;-$B$10)),"Rechazar H0","No rechazar H0")</f>
        <v>No rechazar H0</v>
      </c>
      <c r="F4790" s="0" t="str">
        <f aca="false">IF(AND(B4790="H0 verdadera",E4790="Rechazar H0"),"Error tipo I",IF(AND(B4790="Ha verdadera",E4790="No rechazar H0"),"Error tipo II","Decisión correcta"))</f>
        <v>Error tipo II</v>
      </c>
    </row>
    <row r="4791" customFormat="false" ht="15" hidden="false" customHeight="false" outlineLevel="0" collapsed="false">
      <c r="A4791" s="0" t="n">
        <v>4770</v>
      </c>
      <c r="B4791" s="0" t="s">
        <v>86</v>
      </c>
      <c r="C4791" s="17" t="n">
        <v>-0.609418100334095</v>
      </c>
      <c r="D4791" s="17" t="n">
        <f aca="false">(C4791-$B$4)/($B$6/SQRT($B$7))</f>
        <v>-3.04709050167047</v>
      </c>
      <c r="E4791" s="0" t="str">
        <f aca="false">IF(OR(AND($B$9="superior",D4791&gt;$B$10),AND($B$9="inferior",D4791&lt;-$B$10)),"Rechazar H0","No rechazar H0")</f>
        <v>Rechazar H0</v>
      </c>
      <c r="F4791" s="0" t="str">
        <f aca="false">IF(AND(B4791="H0 verdadera",E4791="Rechazar H0"),"Error tipo I",IF(AND(B4791="Ha verdadera",E4791="No rechazar H0"),"Error tipo II","Decisión correcta"))</f>
        <v>Decisión correcta</v>
      </c>
    </row>
    <row r="4792" customFormat="false" ht="15" hidden="false" customHeight="false" outlineLevel="0" collapsed="false">
      <c r="A4792" s="0" t="n">
        <v>4771</v>
      </c>
      <c r="B4792" s="0" t="s">
        <v>85</v>
      </c>
      <c r="C4792" s="17" t="n">
        <v>0.152549501297364</v>
      </c>
      <c r="D4792" s="17" t="n">
        <f aca="false">(C4792-$B$4)/($B$6/SQRT($B$7))</f>
        <v>0.76274750648682</v>
      </c>
      <c r="E4792" s="0" t="str">
        <f aca="false">IF(OR(AND($B$9="superior",D4792&gt;$B$10),AND($B$9="inferior",D4792&lt;-$B$10)),"Rechazar H0","No rechazar H0")</f>
        <v>No rechazar H0</v>
      </c>
      <c r="F4792" s="0" t="str">
        <f aca="false">IF(AND(B4792="H0 verdadera",E4792="Rechazar H0"),"Error tipo I",IF(AND(B4792="Ha verdadera",E4792="No rechazar H0"),"Error tipo II","Decisión correcta"))</f>
        <v>Decisión correcta</v>
      </c>
    </row>
    <row r="4793" customFormat="false" ht="15" hidden="false" customHeight="false" outlineLevel="0" collapsed="false">
      <c r="A4793" s="0" t="n">
        <v>4772</v>
      </c>
      <c r="B4793" s="0" t="s">
        <v>86</v>
      </c>
      <c r="C4793" s="17" t="n">
        <v>-0.194527024695842</v>
      </c>
      <c r="D4793" s="17" t="n">
        <f aca="false">(C4793-$B$4)/($B$6/SQRT($B$7))</f>
        <v>-0.972635123479212</v>
      </c>
      <c r="E4793" s="0" t="str">
        <f aca="false">IF(OR(AND($B$9="superior",D4793&gt;$B$10),AND($B$9="inferior",D4793&lt;-$B$10)),"Rechazar H0","No rechazar H0")</f>
        <v>No rechazar H0</v>
      </c>
      <c r="F4793" s="0" t="str">
        <f aca="false">IF(AND(B4793="H0 verdadera",E4793="Rechazar H0"),"Error tipo I",IF(AND(B4793="Ha verdadera",E4793="No rechazar H0"),"Error tipo II","Decisión correcta"))</f>
        <v>Error tipo II</v>
      </c>
    </row>
    <row r="4794" customFormat="false" ht="15" hidden="false" customHeight="false" outlineLevel="0" collapsed="false">
      <c r="A4794" s="0" t="n">
        <v>4773</v>
      </c>
      <c r="B4794" s="0" t="s">
        <v>86</v>
      </c>
      <c r="C4794" s="17" t="n">
        <v>-0.32405012652453</v>
      </c>
      <c r="D4794" s="17" t="n">
        <f aca="false">(C4794-$B$4)/($B$6/SQRT($B$7))</f>
        <v>-1.62025063262265</v>
      </c>
      <c r="E4794" s="0" t="str">
        <f aca="false">IF(OR(AND($B$9="superior",D4794&gt;$B$10),AND($B$9="inferior",D4794&lt;-$B$10)),"Rechazar H0","No rechazar H0")</f>
        <v>No rechazar H0</v>
      </c>
      <c r="F4794" s="0" t="str">
        <f aca="false">IF(AND(B4794="H0 verdadera",E4794="Rechazar H0"),"Error tipo I",IF(AND(B4794="Ha verdadera",E4794="No rechazar H0"),"Error tipo II","Decisión correcta"))</f>
        <v>Error tipo II</v>
      </c>
    </row>
    <row r="4795" customFormat="false" ht="15" hidden="false" customHeight="false" outlineLevel="0" collapsed="false">
      <c r="A4795" s="0" t="n">
        <v>4774</v>
      </c>
      <c r="B4795" s="0" t="s">
        <v>85</v>
      </c>
      <c r="C4795" s="17" t="n">
        <v>0.461537375732615</v>
      </c>
      <c r="D4795" s="17" t="n">
        <f aca="false">(C4795-$B$4)/($B$6/SQRT($B$7))</f>
        <v>2.30768687866308</v>
      </c>
      <c r="E4795" s="0" t="str">
        <f aca="false">IF(OR(AND($B$9="superior",D4795&gt;$B$10),AND($B$9="inferior",D4795&lt;-$B$10)),"Rechazar H0","No rechazar H0")</f>
        <v>No rechazar H0</v>
      </c>
      <c r="F4795" s="0" t="str">
        <f aca="false">IF(AND(B4795="H0 verdadera",E4795="Rechazar H0"),"Error tipo I",IF(AND(B4795="Ha verdadera",E4795="No rechazar H0"),"Error tipo II","Decisión correcta"))</f>
        <v>Decisión correcta</v>
      </c>
    </row>
    <row r="4796" customFormat="false" ht="15" hidden="false" customHeight="false" outlineLevel="0" collapsed="false">
      <c r="A4796" s="0" t="n">
        <v>4775</v>
      </c>
      <c r="B4796" s="0" t="s">
        <v>86</v>
      </c>
      <c r="C4796" s="17" t="n">
        <v>-0.421972653206068</v>
      </c>
      <c r="D4796" s="17" t="n">
        <f aca="false">(C4796-$B$4)/($B$6/SQRT($B$7))</f>
        <v>-2.10986326603034</v>
      </c>
      <c r="E4796" s="0" t="str">
        <f aca="false">IF(OR(AND($B$9="superior",D4796&gt;$B$10),AND($B$9="inferior",D4796&lt;-$B$10)),"Rechazar H0","No rechazar H0")</f>
        <v>Rechazar H0</v>
      </c>
      <c r="F4796" s="0" t="str">
        <f aca="false">IF(AND(B4796="H0 verdadera",E4796="Rechazar H0"),"Error tipo I",IF(AND(B4796="Ha verdadera",E4796="No rechazar H0"),"Error tipo II","Decisión correcta"))</f>
        <v>Decisión correcta</v>
      </c>
    </row>
    <row r="4797" customFormat="false" ht="15" hidden="false" customHeight="false" outlineLevel="0" collapsed="false">
      <c r="A4797" s="0" t="n">
        <v>4776</v>
      </c>
      <c r="B4797" s="0" t="s">
        <v>85</v>
      </c>
      <c r="C4797" s="17" t="n">
        <v>-0.00243983576207617</v>
      </c>
      <c r="D4797" s="17" t="n">
        <f aca="false">(C4797-$B$4)/($B$6/SQRT($B$7))</f>
        <v>-0.0121991788103808</v>
      </c>
      <c r="E4797" s="0" t="str">
        <f aca="false">IF(OR(AND($B$9="superior",D4797&gt;$B$10),AND($B$9="inferior",D4797&lt;-$B$10)),"Rechazar H0","No rechazar H0")</f>
        <v>No rechazar H0</v>
      </c>
      <c r="F4797" s="0" t="str">
        <f aca="false">IF(AND(B4797="H0 verdadera",E4797="Rechazar H0"),"Error tipo I",IF(AND(B4797="Ha verdadera",E4797="No rechazar H0"),"Error tipo II","Decisión correcta"))</f>
        <v>Decisión correcta</v>
      </c>
    </row>
    <row r="4798" customFormat="false" ht="15" hidden="false" customHeight="false" outlineLevel="0" collapsed="false">
      <c r="A4798" s="0" t="n">
        <v>4777</v>
      </c>
      <c r="B4798" s="0" t="s">
        <v>86</v>
      </c>
      <c r="C4798" s="17" t="n">
        <v>-0.281846932649036</v>
      </c>
      <c r="D4798" s="17" t="n">
        <f aca="false">(C4798-$B$4)/($B$6/SQRT($B$7))</f>
        <v>-1.40923466324518</v>
      </c>
      <c r="E4798" s="0" t="str">
        <f aca="false">IF(OR(AND($B$9="superior",D4798&gt;$B$10),AND($B$9="inferior",D4798&lt;-$B$10)),"Rechazar H0","No rechazar H0")</f>
        <v>No rechazar H0</v>
      </c>
      <c r="F4798" s="0" t="str">
        <f aca="false">IF(AND(B4798="H0 verdadera",E4798="Rechazar H0"),"Error tipo I",IF(AND(B4798="Ha verdadera",E4798="No rechazar H0"),"Error tipo II","Decisión correcta"))</f>
        <v>Error tipo II</v>
      </c>
    </row>
    <row r="4799" customFormat="false" ht="15" hidden="false" customHeight="false" outlineLevel="0" collapsed="false">
      <c r="A4799" s="0" t="n">
        <v>4778</v>
      </c>
      <c r="B4799" s="0" t="s">
        <v>86</v>
      </c>
      <c r="C4799" s="17" t="n">
        <v>0.050990506620502</v>
      </c>
      <c r="D4799" s="17" t="n">
        <f aca="false">(C4799-$B$4)/($B$6/SQRT($B$7))</f>
        <v>0.25495253310251</v>
      </c>
      <c r="E4799" s="0" t="str">
        <f aca="false">IF(OR(AND($B$9="superior",D4799&gt;$B$10),AND($B$9="inferior",D4799&lt;-$B$10)),"Rechazar H0","No rechazar H0")</f>
        <v>No rechazar H0</v>
      </c>
      <c r="F4799" s="0" t="str">
        <f aca="false">IF(AND(B4799="H0 verdadera",E4799="Rechazar H0"),"Error tipo I",IF(AND(B4799="Ha verdadera",E4799="No rechazar H0"),"Error tipo II","Decisión correcta"))</f>
        <v>Error tipo II</v>
      </c>
    </row>
    <row r="4800" customFormat="false" ht="15" hidden="false" customHeight="false" outlineLevel="0" collapsed="false">
      <c r="A4800" s="0" t="n">
        <v>4779</v>
      </c>
      <c r="B4800" s="0" t="s">
        <v>86</v>
      </c>
      <c r="C4800" s="17" t="n">
        <v>-0.343465221300318</v>
      </c>
      <c r="D4800" s="17" t="n">
        <f aca="false">(C4800-$B$4)/($B$6/SQRT($B$7))</f>
        <v>-1.71732610650159</v>
      </c>
      <c r="E4800" s="0" t="str">
        <f aca="false">IF(OR(AND($B$9="superior",D4800&gt;$B$10),AND($B$9="inferior",D4800&lt;-$B$10)),"Rechazar H0","No rechazar H0")</f>
        <v>Rechazar H0</v>
      </c>
      <c r="F4800" s="0" t="str">
        <f aca="false">IF(AND(B4800="H0 verdadera",E4800="Rechazar H0"),"Error tipo I",IF(AND(B4800="Ha verdadera",E4800="No rechazar H0"),"Error tipo II","Decisión correcta"))</f>
        <v>Decisión correcta</v>
      </c>
    </row>
    <row r="4801" customFormat="false" ht="15" hidden="false" customHeight="false" outlineLevel="0" collapsed="false">
      <c r="A4801" s="0" t="n">
        <v>4780</v>
      </c>
      <c r="B4801" s="0" t="s">
        <v>85</v>
      </c>
      <c r="C4801" s="17" t="n">
        <v>-0.177632606265618</v>
      </c>
      <c r="D4801" s="17" t="n">
        <f aca="false">(C4801-$B$4)/($B$6/SQRT($B$7))</f>
        <v>-0.888163031328092</v>
      </c>
      <c r="E4801" s="0" t="str">
        <f aca="false">IF(OR(AND($B$9="superior",D4801&gt;$B$10),AND($B$9="inferior",D4801&lt;-$B$10)),"Rechazar H0","No rechazar H0")</f>
        <v>No rechazar H0</v>
      </c>
      <c r="F4801" s="0" t="str">
        <f aca="false">IF(AND(B4801="H0 verdadera",E4801="Rechazar H0"),"Error tipo I",IF(AND(B4801="Ha verdadera",E4801="No rechazar H0"),"Error tipo II","Decisión correcta"))</f>
        <v>Decisión correcta</v>
      </c>
    </row>
    <row r="4802" customFormat="false" ht="15" hidden="false" customHeight="false" outlineLevel="0" collapsed="false">
      <c r="A4802" s="0" t="n">
        <v>4781</v>
      </c>
      <c r="B4802" s="0" t="s">
        <v>86</v>
      </c>
      <c r="C4802" s="17" t="n">
        <v>-0.272367330476574</v>
      </c>
      <c r="D4802" s="17" t="n">
        <f aca="false">(C4802-$B$4)/($B$6/SQRT($B$7))</f>
        <v>-1.36183665238287</v>
      </c>
      <c r="E4802" s="0" t="str">
        <f aca="false">IF(OR(AND($B$9="superior",D4802&gt;$B$10),AND($B$9="inferior",D4802&lt;-$B$10)),"Rechazar H0","No rechazar H0")</f>
        <v>No rechazar H0</v>
      </c>
      <c r="F4802" s="0" t="str">
        <f aca="false">IF(AND(B4802="H0 verdadera",E4802="Rechazar H0"),"Error tipo I",IF(AND(B4802="Ha verdadera",E4802="No rechazar H0"),"Error tipo II","Decisión correcta"))</f>
        <v>Error tipo II</v>
      </c>
    </row>
    <row r="4803" customFormat="false" ht="15" hidden="false" customHeight="false" outlineLevel="0" collapsed="false">
      <c r="A4803" s="0" t="n">
        <v>4782</v>
      </c>
      <c r="B4803" s="0" t="s">
        <v>85</v>
      </c>
      <c r="C4803" s="17" t="n">
        <v>-0.00640680265418834</v>
      </c>
      <c r="D4803" s="17" t="n">
        <f aca="false">(C4803-$B$4)/($B$6/SQRT($B$7))</f>
        <v>-0.0320340132709417</v>
      </c>
      <c r="E4803" s="0" t="str">
        <f aca="false">IF(OR(AND($B$9="superior",D4803&gt;$B$10),AND($B$9="inferior",D4803&lt;-$B$10)),"Rechazar H0","No rechazar H0")</f>
        <v>No rechazar H0</v>
      </c>
      <c r="F4803" s="0" t="str">
        <f aca="false">IF(AND(B4803="H0 verdadera",E4803="Rechazar H0"),"Error tipo I",IF(AND(B4803="Ha verdadera",E4803="No rechazar H0"),"Error tipo II","Decisión correcta"))</f>
        <v>Decisión correcta</v>
      </c>
    </row>
    <row r="4804" customFormat="false" ht="15" hidden="false" customHeight="false" outlineLevel="0" collapsed="false">
      <c r="A4804" s="0" t="n">
        <v>4783</v>
      </c>
      <c r="B4804" s="0" t="s">
        <v>85</v>
      </c>
      <c r="C4804" s="17" t="n">
        <v>0.102844534526005</v>
      </c>
      <c r="D4804" s="17" t="n">
        <f aca="false">(C4804-$B$4)/($B$6/SQRT($B$7))</f>
        <v>0.514222672630026</v>
      </c>
      <c r="E4804" s="0" t="str">
        <f aca="false">IF(OR(AND($B$9="superior",D4804&gt;$B$10),AND($B$9="inferior",D4804&lt;-$B$10)),"Rechazar H0","No rechazar H0")</f>
        <v>No rechazar H0</v>
      </c>
      <c r="F4804" s="0" t="str">
        <f aca="false">IF(AND(B4804="H0 verdadera",E4804="Rechazar H0"),"Error tipo I",IF(AND(B4804="Ha verdadera",E4804="No rechazar H0"),"Error tipo II","Decisión correcta"))</f>
        <v>Decisión correcta</v>
      </c>
    </row>
    <row r="4805" customFormat="false" ht="15" hidden="false" customHeight="false" outlineLevel="0" collapsed="false">
      <c r="A4805" s="0" t="n">
        <v>4784</v>
      </c>
      <c r="B4805" s="0" t="s">
        <v>85</v>
      </c>
      <c r="C4805" s="17" t="n">
        <v>-0.200135196293258</v>
      </c>
      <c r="D4805" s="17" t="n">
        <f aca="false">(C4805-$B$4)/($B$6/SQRT($B$7))</f>
        <v>-1.00067598146629</v>
      </c>
      <c r="E4805" s="0" t="str">
        <f aca="false">IF(OR(AND($B$9="superior",D4805&gt;$B$10),AND($B$9="inferior",D4805&lt;-$B$10)),"Rechazar H0","No rechazar H0")</f>
        <v>No rechazar H0</v>
      </c>
      <c r="F4805" s="0" t="str">
        <f aca="false">IF(AND(B4805="H0 verdadera",E4805="Rechazar H0"),"Error tipo I",IF(AND(B4805="Ha verdadera",E4805="No rechazar H0"),"Error tipo II","Decisión correcta"))</f>
        <v>Decisión correcta</v>
      </c>
    </row>
    <row r="4806" customFormat="false" ht="15" hidden="false" customHeight="false" outlineLevel="0" collapsed="false">
      <c r="A4806" s="0" t="n">
        <v>4785</v>
      </c>
      <c r="B4806" s="0" t="s">
        <v>86</v>
      </c>
      <c r="C4806" s="17" t="n">
        <v>-0.0298366962570814</v>
      </c>
      <c r="D4806" s="17" t="n">
        <f aca="false">(C4806-$B$4)/($B$6/SQRT($B$7))</f>
        <v>-0.149183481285407</v>
      </c>
      <c r="E4806" s="0" t="str">
        <f aca="false">IF(OR(AND($B$9="superior",D4806&gt;$B$10),AND($B$9="inferior",D4806&lt;-$B$10)),"Rechazar H0","No rechazar H0")</f>
        <v>No rechazar H0</v>
      </c>
      <c r="F4806" s="0" t="str">
        <f aca="false">IF(AND(B4806="H0 verdadera",E4806="Rechazar H0"),"Error tipo I",IF(AND(B4806="Ha verdadera",E4806="No rechazar H0"),"Error tipo II","Decisión correcta"))</f>
        <v>Error tipo II</v>
      </c>
    </row>
    <row r="4807" customFormat="false" ht="15" hidden="false" customHeight="false" outlineLevel="0" collapsed="false">
      <c r="A4807" s="0" t="n">
        <v>4786</v>
      </c>
      <c r="B4807" s="0" t="s">
        <v>85</v>
      </c>
      <c r="C4807" s="17" t="n">
        <v>0.288034257583104</v>
      </c>
      <c r="D4807" s="17" t="n">
        <f aca="false">(C4807-$B$4)/($B$6/SQRT($B$7))</f>
        <v>1.44017128791552</v>
      </c>
      <c r="E4807" s="0" t="str">
        <f aca="false">IF(OR(AND($B$9="superior",D4807&gt;$B$10),AND($B$9="inferior",D4807&lt;-$B$10)),"Rechazar H0","No rechazar H0")</f>
        <v>No rechazar H0</v>
      </c>
      <c r="F4807" s="0" t="str">
        <f aca="false">IF(AND(B4807="H0 verdadera",E4807="Rechazar H0"),"Error tipo I",IF(AND(B4807="Ha verdadera",E4807="No rechazar H0"),"Error tipo II","Decisión correcta"))</f>
        <v>Decisión correcta</v>
      </c>
    </row>
    <row r="4808" customFormat="false" ht="15" hidden="false" customHeight="false" outlineLevel="0" collapsed="false">
      <c r="A4808" s="0" t="n">
        <v>4787</v>
      </c>
      <c r="B4808" s="0" t="s">
        <v>85</v>
      </c>
      <c r="C4808" s="17" t="n">
        <v>0.00948254702696886</v>
      </c>
      <c r="D4808" s="17" t="n">
        <f aca="false">(C4808-$B$4)/($B$6/SQRT($B$7))</f>
        <v>0.0474127351348443</v>
      </c>
      <c r="E4808" s="0" t="str">
        <f aca="false">IF(OR(AND($B$9="superior",D4808&gt;$B$10),AND($B$9="inferior",D4808&lt;-$B$10)),"Rechazar H0","No rechazar H0")</f>
        <v>No rechazar H0</v>
      </c>
      <c r="F4808" s="0" t="str">
        <f aca="false">IF(AND(B4808="H0 verdadera",E4808="Rechazar H0"),"Error tipo I",IF(AND(B4808="Ha verdadera",E4808="No rechazar H0"),"Error tipo II","Decisión correcta"))</f>
        <v>Decisión correcta</v>
      </c>
    </row>
    <row r="4809" customFormat="false" ht="15" hidden="false" customHeight="false" outlineLevel="0" collapsed="false">
      <c r="A4809" s="0" t="n">
        <v>4788</v>
      </c>
      <c r="B4809" s="0" t="s">
        <v>86</v>
      </c>
      <c r="C4809" s="17" t="n">
        <v>-0.0735616649457845</v>
      </c>
      <c r="D4809" s="17" t="n">
        <f aca="false">(C4809-$B$4)/($B$6/SQRT($B$7))</f>
        <v>-0.367808324728923</v>
      </c>
      <c r="E4809" s="0" t="str">
        <f aca="false">IF(OR(AND($B$9="superior",D4809&gt;$B$10),AND($B$9="inferior",D4809&lt;-$B$10)),"Rechazar H0","No rechazar H0")</f>
        <v>No rechazar H0</v>
      </c>
      <c r="F4809" s="0" t="str">
        <f aca="false">IF(AND(B4809="H0 verdadera",E4809="Rechazar H0"),"Error tipo I",IF(AND(B4809="Ha verdadera",E4809="No rechazar H0"),"Error tipo II","Decisión correcta"))</f>
        <v>Error tipo II</v>
      </c>
    </row>
    <row r="4810" customFormat="false" ht="15" hidden="false" customHeight="false" outlineLevel="0" collapsed="false">
      <c r="A4810" s="0" t="n">
        <v>4789</v>
      </c>
      <c r="B4810" s="0" t="s">
        <v>85</v>
      </c>
      <c r="C4810" s="17" t="n">
        <v>0.0776411897423011</v>
      </c>
      <c r="D4810" s="17" t="n">
        <f aca="false">(C4810-$B$4)/($B$6/SQRT($B$7))</f>
        <v>0.388205948711505</v>
      </c>
      <c r="E4810" s="0" t="str">
        <f aca="false">IF(OR(AND($B$9="superior",D4810&gt;$B$10),AND($B$9="inferior",D4810&lt;-$B$10)),"Rechazar H0","No rechazar H0")</f>
        <v>No rechazar H0</v>
      </c>
      <c r="F4810" s="0" t="str">
        <f aca="false">IF(AND(B4810="H0 verdadera",E4810="Rechazar H0"),"Error tipo I",IF(AND(B4810="Ha verdadera",E4810="No rechazar H0"),"Error tipo II","Decisión correcta"))</f>
        <v>Decisión correcta</v>
      </c>
    </row>
    <row r="4811" customFormat="false" ht="15" hidden="false" customHeight="false" outlineLevel="0" collapsed="false">
      <c r="A4811" s="0" t="n">
        <v>4790</v>
      </c>
      <c r="B4811" s="0" t="s">
        <v>86</v>
      </c>
      <c r="C4811" s="17" t="n">
        <v>-0.302049578750016</v>
      </c>
      <c r="D4811" s="17" t="n">
        <f aca="false">(C4811-$B$4)/($B$6/SQRT($B$7))</f>
        <v>-1.51024789375008</v>
      </c>
      <c r="E4811" s="0" t="str">
        <f aca="false">IF(OR(AND($B$9="superior",D4811&gt;$B$10),AND($B$9="inferior",D4811&lt;-$B$10)),"Rechazar H0","No rechazar H0")</f>
        <v>No rechazar H0</v>
      </c>
      <c r="F4811" s="0" t="str">
        <f aca="false">IF(AND(B4811="H0 verdadera",E4811="Rechazar H0"),"Error tipo I",IF(AND(B4811="Ha verdadera",E4811="No rechazar H0"),"Error tipo II","Decisión correcta"))</f>
        <v>Error tipo II</v>
      </c>
    </row>
    <row r="4812" customFormat="false" ht="15" hidden="false" customHeight="false" outlineLevel="0" collapsed="false">
      <c r="A4812" s="0" t="n">
        <v>4791</v>
      </c>
      <c r="B4812" s="0" t="s">
        <v>86</v>
      </c>
      <c r="C4812" s="17" t="n">
        <v>-0.531692757827725</v>
      </c>
      <c r="D4812" s="17" t="n">
        <f aca="false">(C4812-$B$4)/($B$6/SQRT($B$7))</f>
        <v>-2.65846378913863</v>
      </c>
      <c r="E4812" s="0" t="str">
        <f aca="false">IF(OR(AND($B$9="superior",D4812&gt;$B$10),AND($B$9="inferior",D4812&lt;-$B$10)),"Rechazar H0","No rechazar H0")</f>
        <v>Rechazar H0</v>
      </c>
      <c r="F4812" s="0" t="str">
        <f aca="false">IF(AND(B4812="H0 verdadera",E4812="Rechazar H0"),"Error tipo I",IF(AND(B4812="Ha verdadera",E4812="No rechazar H0"),"Error tipo II","Decisión correcta"))</f>
        <v>Decisión correcta</v>
      </c>
    </row>
    <row r="4813" customFormat="false" ht="15" hidden="false" customHeight="false" outlineLevel="0" collapsed="false">
      <c r="A4813" s="0" t="n">
        <v>4792</v>
      </c>
      <c r="B4813" s="0" t="s">
        <v>85</v>
      </c>
      <c r="C4813" s="17" t="n">
        <v>-0.202632671268386</v>
      </c>
      <c r="D4813" s="17" t="n">
        <f aca="false">(C4813-$B$4)/($B$6/SQRT($B$7))</f>
        <v>-1.01316335634193</v>
      </c>
      <c r="E4813" s="0" t="str">
        <f aca="false">IF(OR(AND($B$9="superior",D4813&gt;$B$10),AND($B$9="inferior",D4813&lt;-$B$10)),"Rechazar H0","No rechazar H0")</f>
        <v>No rechazar H0</v>
      </c>
      <c r="F4813" s="0" t="str">
        <f aca="false">IF(AND(B4813="H0 verdadera",E4813="Rechazar H0"),"Error tipo I",IF(AND(B4813="Ha verdadera",E4813="No rechazar H0"),"Error tipo II","Decisión correcta"))</f>
        <v>Decisión correcta</v>
      </c>
    </row>
    <row r="4814" customFormat="false" ht="15" hidden="false" customHeight="false" outlineLevel="0" collapsed="false">
      <c r="A4814" s="0" t="n">
        <v>4793</v>
      </c>
      <c r="B4814" s="0" t="s">
        <v>86</v>
      </c>
      <c r="C4814" s="17" t="n">
        <v>-0.600750994700767</v>
      </c>
      <c r="D4814" s="17" t="n">
        <f aca="false">(C4814-$B$4)/($B$6/SQRT($B$7))</f>
        <v>-3.00375497350384</v>
      </c>
      <c r="E4814" s="0" t="str">
        <f aca="false">IF(OR(AND($B$9="superior",D4814&gt;$B$10),AND($B$9="inferior",D4814&lt;-$B$10)),"Rechazar H0","No rechazar H0")</f>
        <v>Rechazar H0</v>
      </c>
      <c r="F4814" s="0" t="str">
        <f aca="false">IF(AND(B4814="H0 verdadera",E4814="Rechazar H0"),"Error tipo I",IF(AND(B4814="Ha verdadera",E4814="No rechazar H0"),"Error tipo II","Decisión correcta"))</f>
        <v>Decisión correcta</v>
      </c>
    </row>
    <row r="4815" customFormat="false" ht="15" hidden="false" customHeight="false" outlineLevel="0" collapsed="false">
      <c r="A4815" s="0" t="n">
        <v>4794</v>
      </c>
      <c r="B4815" s="0" t="s">
        <v>85</v>
      </c>
      <c r="C4815" s="17" t="n">
        <v>0.02593951878887</v>
      </c>
      <c r="D4815" s="17" t="n">
        <f aca="false">(C4815-$B$4)/($B$6/SQRT($B$7))</f>
        <v>0.12969759394435</v>
      </c>
      <c r="E4815" s="0" t="str">
        <f aca="false">IF(OR(AND($B$9="superior",D4815&gt;$B$10),AND($B$9="inferior",D4815&lt;-$B$10)),"Rechazar H0","No rechazar H0")</f>
        <v>No rechazar H0</v>
      </c>
      <c r="F4815" s="0" t="str">
        <f aca="false">IF(AND(B4815="H0 verdadera",E4815="Rechazar H0"),"Error tipo I",IF(AND(B4815="Ha verdadera",E4815="No rechazar H0"),"Error tipo II","Decisión correcta"))</f>
        <v>Decisión correcta</v>
      </c>
    </row>
    <row r="4816" customFormat="false" ht="15" hidden="false" customHeight="false" outlineLevel="0" collapsed="false">
      <c r="A4816" s="0" t="n">
        <v>4795</v>
      </c>
      <c r="B4816" s="0" t="s">
        <v>85</v>
      </c>
      <c r="C4816" s="17" t="n">
        <v>-0.0126953299356375</v>
      </c>
      <c r="D4816" s="17" t="n">
        <f aca="false">(C4816-$B$4)/($B$6/SQRT($B$7))</f>
        <v>-0.0634766496781877</v>
      </c>
      <c r="E4816" s="0" t="str">
        <f aca="false">IF(OR(AND($B$9="superior",D4816&gt;$B$10),AND($B$9="inferior",D4816&lt;-$B$10)),"Rechazar H0","No rechazar H0")</f>
        <v>No rechazar H0</v>
      </c>
      <c r="F4816" s="0" t="str">
        <f aca="false">IF(AND(B4816="H0 verdadera",E4816="Rechazar H0"),"Error tipo I",IF(AND(B4816="Ha verdadera",E4816="No rechazar H0"),"Error tipo II","Decisión correcta"))</f>
        <v>Decisión correcta</v>
      </c>
    </row>
    <row r="4817" customFormat="false" ht="15" hidden="false" customHeight="false" outlineLevel="0" collapsed="false">
      <c r="A4817" s="0" t="n">
        <v>4796</v>
      </c>
      <c r="B4817" s="0" t="s">
        <v>86</v>
      </c>
      <c r="C4817" s="17" t="n">
        <v>-0.404900273988726</v>
      </c>
      <c r="D4817" s="17" t="n">
        <f aca="false">(C4817-$B$4)/($B$6/SQRT($B$7))</f>
        <v>-2.02450136994363</v>
      </c>
      <c r="E4817" s="0" t="str">
        <f aca="false">IF(OR(AND($B$9="superior",D4817&gt;$B$10),AND($B$9="inferior",D4817&lt;-$B$10)),"Rechazar H0","No rechazar H0")</f>
        <v>Rechazar H0</v>
      </c>
      <c r="F4817" s="0" t="str">
        <f aca="false">IF(AND(B4817="H0 verdadera",E4817="Rechazar H0"),"Error tipo I",IF(AND(B4817="Ha verdadera",E4817="No rechazar H0"),"Error tipo II","Decisión correcta"))</f>
        <v>Decisión correcta</v>
      </c>
    </row>
    <row r="4818" customFormat="false" ht="15" hidden="false" customHeight="false" outlineLevel="0" collapsed="false">
      <c r="A4818" s="0" t="n">
        <v>4797</v>
      </c>
      <c r="B4818" s="0" t="s">
        <v>85</v>
      </c>
      <c r="C4818" s="17" t="n">
        <v>-0.139913617342353</v>
      </c>
      <c r="D4818" s="17" t="n">
        <f aca="false">(C4818-$B$4)/($B$6/SQRT($B$7))</f>
        <v>-0.699568086711763</v>
      </c>
      <c r="E4818" s="0" t="str">
        <f aca="false">IF(OR(AND($B$9="superior",D4818&gt;$B$10),AND($B$9="inferior",D4818&lt;-$B$10)),"Rechazar H0","No rechazar H0")</f>
        <v>No rechazar H0</v>
      </c>
      <c r="F4818" s="0" t="str">
        <f aca="false">IF(AND(B4818="H0 verdadera",E4818="Rechazar H0"),"Error tipo I",IF(AND(B4818="Ha verdadera",E4818="No rechazar H0"),"Error tipo II","Decisión correcta"))</f>
        <v>Decisión correcta</v>
      </c>
    </row>
    <row r="4819" customFormat="false" ht="15" hidden="false" customHeight="false" outlineLevel="0" collapsed="false">
      <c r="A4819" s="0" t="n">
        <v>4798</v>
      </c>
      <c r="B4819" s="0" t="s">
        <v>86</v>
      </c>
      <c r="C4819" s="17" t="n">
        <v>-0.350619140219499</v>
      </c>
      <c r="D4819" s="17" t="n">
        <f aca="false">(C4819-$B$4)/($B$6/SQRT($B$7))</f>
        <v>-1.75309570109749</v>
      </c>
      <c r="E4819" s="0" t="str">
        <f aca="false">IF(OR(AND($B$9="superior",D4819&gt;$B$10),AND($B$9="inferior",D4819&lt;-$B$10)),"Rechazar H0","No rechazar H0")</f>
        <v>Rechazar H0</v>
      </c>
      <c r="F4819" s="0" t="str">
        <f aca="false">IF(AND(B4819="H0 verdadera",E4819="Rechazar H0"),"Error tipo I",IF(AND(B4819="Ha verdadera",E4819="No rechazar H0"),"Error tipo II","Decisión correcta"))</f>
        <v>Decisión correcta</v>
      </c>
    </row>
    <row r="4820" customFormat="false" ht="15" hidden="false" customHeight="false" outlineLevel="0" collapsed="false">
      <c r="A4820" s="0" t="n">
        <v>4799</v>
      </c>
      <c r="B4820" s="0" t="s">
        <v>86</v>
      </c>
      <c r="C4820" s="17" t="n">
        <v>0.0330560791002334</v>
      </c>
      <c r="D4820" s="17" t="n">
        <f aca="false">(C4820-$B$4)/($B$6/SQRT($B$7))</f>
        <v>0.165280395501167</v>
      </c>
      <c r="E4820" s="0" t="str">
        <f aca="false">IF(OR(AND($B$9="superior",D4820&gt;$B$10),AND($B$9="inferior",D4820&lt;-$B$10)),"Rechazar H0","No rechazar H0")</f>
        <v>No rechazar H0</v>
      </c>
      <c r="F4820" s="0" t="str">
        <f aca="false">IF(AND(B4820="H0 verdadera",E4820="Rechazar H0"),"Error tipo I",IF(AND(B4820="Ha verdadera",E4820="No rechazar H0"),"Error tipo II","Decisión correcta"))</f>
        <v>Error tipo II</v>
      </c>
    </row>
    <row r="4821" customFormat="false" ht="15" hidden="false" customHeight="false" outlineLevel="0" collapsed="false">
      <c r="A4821" s="0" t="n">
        <v>4800</v>
      </c>
      <c r="B4821" s="0" t="s">
        <v>86</v>
      </c>
      <c r="C4821" s="17" t="n">
        <v>-0.310672912058415</v>
      </c>
      <c r="D4821" s="17" t="n">
        <f aca="false">(C4821-$B$4)/($B$6/SQRT($B$7))</f>
        <v>-1.55336456029208</v>
      </c>
      <c r="E4821" s="0" t="str">
        <f aca="false">IF(OR(AND($B$9="superior",D4821&gt;$B$10),AND($B$9="inferior",D4821&lt;-$B$10)),"Rechazar H0","No rechazar H0")</f>
        <v>No rechazar H0</v>
      </c>
      <c r="F4821" s="0" t="str">
        <f aca="false">IF(AND(B4821="H0 verdadera",E4821="Rechazar H0"),"Error tipo I",IF(AND(B4821="Ha verdadera",E4821="No rechazar H0"),"Error tipo II","Decisión correcta"))</f>
        <v>Error tipo II</v>
      </c>
    </row>
    <row r="4822" customFormat="false" ht="15" hidden="false" customHeight="false" outlineLevel="0" collapsed="false">
      <c r="A4822" s="0" t="n">
        <v>4801</v>
      </c>
      <c r="B4822" s="0" t="s">
        <v>85</v>
      </c>
      <c r="C4822" s="17" t="n">
        <v>-0.208498040692833</v>
      </c>
      <c r="D4822" s="17" t="n">
        <f aca="false">(C4822-$B$4)/($B$6/SQRT($B$7))</f>
        <v>-1.04249020346417</v>
      </c>
      <c r="E4822" s="0" t="str">
        <f aca="false">IF(OR(AND($B$9="superior",D4822&gt;$B$10),AND($B$9="inferior",D4822&lt;-$B$10)),"Rechazar H0","No rechazar H0")</f>
        <v>No rechazar H0</v>
      </c>
      <c r="F4822" s="0" t="str">
        <f aca="false">IF(AND(B4822="H0 verdadera",E4822="Rechazar H0"),"Error tipo I",IF(AND(B4822="Ha verdadera",E4822="No rechazar H0"),"Error tipo II","Decisión correcta"))</f>
        <v>Decisión correcta</v>
      </c>
    </row>
    <row r="4823" customFormat="false" ht="15" hidden="false" customHeight="false" outlineLevel="0" collapsed="false">
      <c r="A4823" s="0" t="n">
        <v>4802</v>
      </c>
      <c r="B4823" s="0" t="s">
        <v>85</v>
      </c>
      <c r="C4823" s="17" t="n">
        <v>-0.182720594421978</v>
      </c>
      <c r="D4823" s="17" t="n">
        <f aca="false">(C4823-$B$4)/($B$6/SQRT($B$7))</f>
        <v>-0.913602972109888</v>
      </c>
      <c r="E4823" s="0" t="str">
        <f aca="false">IF(OR(AND($B$9="superior",D4823&gt;$B$10),AND($B$9="inferior",D4823&lt;-$B$10)),"Rechazar H0","No rechazar H0")</f>
        <v>No rechazar H0</v>
      </c>
      <c r="F4823" s="0" t="str">
        <f aca="false">IF(AND(B4823="H0 verdadera",E4823="Rechazar H0"),"Error tipo I",IF(AND(B4823="Ha verdadera",E4823="No rechazar H0"),"Error tipo II","Decisión correcta"))</f>
        <v>Decisión correcta</v>
      </c>
    </row>
    <row r="4824" customFormat="false" ht="15" hidden="false" customHeight="false" outlineLevel="0" collapsed="false">
      <c r="A4824" s="0" t="n">
        <v>4803</v>
      </c>
      <c r="B4824" s="0" t="s">
        <v>85</v>
      </c>
      <c r="C4824" s="17" t="n">
        <v>0.200438540216645</v>
      </c>
      <c r="D4824" s="17" t="n">
        <f aca="false">(C4824-$B$4)/($B$6/SQRT($B$7))</f>
        <v>1.00219270108323</v>
      </c>
      <c r="E4824" s="0" t="str">
        <f aca="false">IF(OR(AND($B$9="superior",D4824&gt;$B$10),AND($B$9="inferior",D4824&lt;-$B$10)),"Rechazar H0","No rechazar H0")</f>
        <v>No rechazar H0</v>
      </c>
      <c r="F4824" s="0" t="str">
        <f aca="false">IF(AND(B4824="H0 verdadera",E4824="Rechazar H0"),"Error tipo I",IF(AND(B4824="Ha verdadera",E4824="No rechazar H0"),"Error tipo II","Decisión correcta"))</f>
        <v>Decisión correcta</v>
      </c>
    </row>
    <row r="4825" customFormat="false" ht="15" hidden="false" customHeight="false" outlineLevel="0" collapsed="false">
      <c r="A4825" s="0" t="n">
        <v>4804</v>
      </c>
      <c r="B4825" s="0" t="s">
        <v>86</v>
      </c>
      <c r="C4825" s="17" t="n">
        <v>-0.190517125195473</v>
      </c>
      <c r="D4825" s="17" t="n">
        <f aca="false">(C4825-$B$4)/($B$6/SQRT($B$7))</f>
        <v>-0.952585625977363</v>
      </c>
      <c r="E4825" s="0" t="str">
        <f aca="false">IF(OR(AND($B$9="superior",D4825&gt;$B$10),AND($B$9="inferior",D4825&lt;-$B$10)),"Rechazar H0","No rechazar H0")</f>
        <v>No rechazar H0</v>
      </c>
      <c r="F4825" s="0" t="str">
        <f aca="false">IF(AND(B4825="H0 verdadera",E4825="Rechazar H0"),"Error tipo I",IF(AND(B4825="Ha verdadera",E4825="No rechazar H0"),"Error tipo II","Decisión correcta"))</f>
        <v>Error tipo II</v>
      </c>
    </row>
    <row r="4826" customFormat="false" ht="15" hidden="false" customHeight="false" outlineLevel="0" collapsed="false">
      <c r="A4826" s="0" t="n">
        <v>4805</v>
      </c>
      <c r="B4826" s="0" t="s">
        <v>86</v>
      </c>
      <c r="C4826" s="17" t="n">
        <v>-0.24054981957537</v>
      </c>
      <c r="D4826" s="17" t="n">
        <f aca="false">(C4826-$B$4)/($B$6/SQRT($B$7))</f>
        <v>-1.20274909787685</v>
      </c>
      <c r="E4826" s="0" t="str">
        <f aca="false">IF(OR(AND($B$9="superior",D4826&gt;$B$10),AND($B$9="inferior",D4826&lt;-$B$10)),"Rechazar H0","No rechazar H0")</f>
        <v>No rechazar H0</v>
      </c>
      <c r="F4826" s="0" t="str">
        <f aca="false">IF(AND(B4826="H0 verdadera",E4826="Rechazar H0"),"Error tipo I",IF(AND(B4826="Ha verdadera",E4826="No rechazar H0"),"Error tipo II","Decisión correcta"))</f>
        <v>Error tipo II</v>
      </c>
    </row>
    <row r="4827" customFormat="false" ht="15" hidden="false" customHeight="false" outlineLevel="0" collapsed="false">
      <c r="A4827" s="0" t="n">
        <v>4806</v>
      </c>
      <c r="B4827" s="0" t="s">
        <v>86</v>
      </c>
      <c r="C4827" s="17" t="n">
        <v>-0.726545037819388</v>
      </c>
      <c r="D4827" s="17" t="n">
        <f aca="false">(C4827-$B$4)/($B$6/SQRT($B$7))</f>
        <v>-3.63272518909694</v>
      </c>
      <c r="E4827" s="0" t="str">
        <f aca="false">IF(OR(AND($B$9="superior",D4827&gt;$B$10),AND($B$9="inferior",D4827&lt;-$B$10)),"Rechazar H0","No rechazar H0")</f>
        <v>Rechazar H0</v>
      </c>
      <c r="F4827" s="0" t="str">
        <f aca="false">IF(AND(B4827="H0 verdadera",E4827="Rechazar H0"),"Error tipo I",IF(AND(B4827="Ha verdadera",E4827="No rechazar H0"),"Error tipo II","Decisión correcta"))</f>
        <v>Decisión correcta</v>
      </c>
    </row>
    <row r="4828" customFormat="false" ht="15" hidden="false" customHeight="false" outlineLevel="0" collapsed="false">
      <c r="A4828" s="0" t="n">
        <v>4807</v>
      </c>
      <c r="B4828" s="0" t="s">
        <v>86</v>
      </c>
      <c r="C4828" s="17" t="n">
        <v>-0.238940407970726</v>
      </c>
      <c r="D4828" s="17" t="n">
        <f aca="false">(C4828-$B$4)/($B$6/SQRT($B$7))</f>
        <v>-1.19470203985363</v>
      </c>
      <c r="E4828" s="0" t="str">
        <f aca="false">IF(OR(AND($B$9="superior",D4828&gt;$B$10),AND($B$9="inferior",D4828&lt;-$B$10)),"Rechazar H0","No rechazar H0")</f>
        <v>No rechazar H0</v>
      </c>
      <c r="F4828" s="0" t="str">
        <f aca="false">IF(AND(B4828="H0 verdadera",E4828="Rechazar H0"),"Error tipo I",IF(AND(B4828="Ha verdadera",E4828="No rechazar H0"),"Error tipo II","Decisión correcta"))</f>
        <v>Error tipo II</v>
      </c>
    </row>
    <row r="4829" customFormat="false" ht="15" hidden="false" customHeight="false" outlineLevel="0" collapsed="false">
      <c r="A4829" s="0" t="n">
        <v>4808</v>
      </c>
      <c r="B4829" s="0" t="s">
        <v>86</v>
      </c>
      <c r="C4829" s="17" t="n">
        <v>-0.306275707938257</v>
      </c>
      <c r="D4829" s="17" t="n">
        <f aca="false">(C4829-$B$4)/($B$6/SQRT($B$7))</f>
        <v>-1.53137853969129</v>
      </c>
      <c r="E4829" s="0" t="str">
        <f aca="false">IF(OR(AND($B$9="superior",D4829&gt;$B$10),AND($B$9="inferior",D4829&lt;-$B$10)),"Rechazar H0","No rechazar H0")</f>
        <v>No rechazar H0</v>
      </c>
      <c r="F4829" s="0" t="str">
        <f aca="false">IF(AND(B4829="H0 verdadera",E4829="Rechazar H0"),"Error tipo I",IF(AND(B4829="Ha verdadera",E4829="No rechazar H0"),"Error tipo II","Decisión correcta"))</f>
        <v>Error tipo II</v>
      </c>
    </row>
    <row r="4830" customFormat="false" ht="15" hidden="false" customHeight="false" outlineLevel="0" collapsed="false">
      <c r="A4830" s="0" t="n">
        <v>4809</v>
      </c>
      <c r="B4830" s="0" t="s">
        <v>85</v>
      </c>
      <c r="C4830" s="17" t="n">
        <v>-0.553916559872962</v>
      </c>
      <c r="D4830" s="17" t="n">
        <f aca="false">(C4830-$B$4)/($B$6/SQRT($B$7))</f>
        <v>-2.76958279936481</v>
      </c>
      <c r="E4830" s="0" t="str">
        <f aca="false">IF(OR(AND($B$9="superior",D4830&gt;$B$10),AND($B$9="inferior",D4830&lt;-$B$10)),"Rechazar H0","No rechazar H0")</f>
        <v>Rechazar H0</v>
      </c>
      <c r="F4830" s="0" t="str">
        <f aca="false">IF(AND(B4830="H0 verdadera",E4830="Rechazar H0"),"Error tipo I",IF(AND(B4830="Ha verdadera",E4830="No rechazar H0"),"Error tipo II","Decisión correcta"))</f>
        <v>Error tipo I</v>
      </c>
    </row>
    <row r="4831" customFormat="false" ht="15" hidden="false" customHeight="false" outlineLevel="0" collapsed="false">
      <c r="A4831" s="0" t="n">
        <v>4810</v>
      </c>
      <c r="B4831" s="0" t="s">
        <v>85</v>
      </c>
      <c r="C4831" s="17" t="n">
        <v>-0.299022408195979</v>
      </c>
      <c r="D4831" s="17" t="n">
        <f aca="false">(C4831-$B$4)/($B$6/SQRT($B$7))</f>
        <v>-1.4951120409799</v>
      </c>
      <c r="E4831" s="0" t="str">
        <f aca="false">IF(OR(AND($B$9="superior",D4831&gt;$B$10),AND($B$9="inferior",D4831&lt;-$B$10)),"Rechazar H0","No rechazar H0")</f>
        <v>No rechazar H0</v>
      </c>
      <c r="F4831" s="0" t="str">
        <f aca="false">IF(AND(B4831="H0 verdadera",E4831="Rechazar H0"),"Error tipo I",IF(AND(B4831="Ha verdadera",E4831="No rechazar H0"),"Error tipo II","Decisión correcta"))</f>
        <v>Decisión correcta</v>
      </c>
    </row>
    <row r="4832" customFormat="false" ht="15" hidden="false" customHeight="false" outlineLevel="0" collapsed="false">
      <c r="A4832" s="0" t="n">
        <v>4811</v>
      </c>
      <c r="B4832" s="0" t="s">
        <v>86</v>
      </c>
      <c r="C4832" s="17" t="n">
        <v>-0.471409734984659</v>
      </c>
      <c r="D4832" s="17" t="n">
        <f aca="false">(C4832-$B$4)/($B$6/SQRT($B$7))</f>
        <v>-2.3570486749233</v>
      </c>
      <c r="E4832" s="0" t="str">
        <f aca="false">IF(OR(AND($B$9="superior",D4832&gt;$B$10),AND($B$9="inferior",D4832&lt;-$B$10)),"Rechazar H0","No rechazar H0")</f>
        <v>Rechazar H0</v>
      </c>
      <c r="F4832" s="0" t="str">
        <f aca="false">IF(AND(B4832="H0 verdadera",E4832="Rechazar H0"),"Error tipo I",IF(AND(B4832="Ha verdadera",E4832="No rechazar H0"),"Error tipo II","Decisión correcta"))</f>
        <v>Decisión correcta</v>
      </c>
    </row>
    <row r="4833" customFormat="false" ht="15" hidden="false" customHeight="false" outlineLevel="0" collapsed="false">
      <c r="A4833" s="0" t="n">
        <v>4812</v>
      </c>
      <c r="B4833" s="0" t="s">
        <v>86</v>
      </c>
      <c r="C4833" s="17" t="n">
        <v>-0.774555555002188</v>
      </c>
      <c r="D4833" s="17" t="n">
        <f aca="false">(C4833-$B$4)/($B$6/SQRT($B$7))</f>
        <v>-3.87277777501094</v>
      </c>
      <c r="E4833" s="0" t="str">
        <f aca="false">IF(OR(AND($B$9="superior",D4833&gt;$B$10),AND($B$9="inferior",D4833&lt;-$B$10)),"Rechazar H0","No rechazar H0")</f>
        <v>Rechazar H0</v>
      </c>
      <c r="F4833" s="0" t="str">
        <f aca="false">IF(AND(B4833="H0 verdadera",E4833="Rechazar H0"),"Error tipo I",IF(AND(B4833="Ha verdadera",E4833="No rechazar H0"),"Error tipo II","Decisión correcta"))</f>
        <v>Decisión correcta</v>
      </c>
    </row>
    <row r="4834" customFormat="false" ht="15" hidden="false" customHeight="false" outlineLevel="0" collapsed="false">
      <c r="A4834" s="0" t="n">
        <v>4813</v>
      </c>
      <c r="B4834" s="0" t="s">
        <v>86</v>
      </c>
      <c r="C4834" s="17" t="n">
        <v>-0.244556581427183</v>
      </c>
      <c r="D4834" s="17" t="n">
        <f aca="false">(C4834-$B$4)/($B$6/SQRT($B$7))</f>
        <v>-1.22278290713591</v>
      </c>
      <c r="E4834" s="0" t="str">
        <f aca="false">IF(OR(AND($B$9="superior",D4834&gt;$B$10),AND($B$9="inferior",D4834&lt;-$B$10)),"Rechazar H0","No rechazar H0")</f>
        <v>No rechazar H0</v>
      </c>
      <c r="F4834" s="0" t="str">
        <f aca="false">IF(AND(B4834="H0 verdadera",E4834="Rechazar H0"),"Error tipo I",IF(AND(B4834="Ha verdadera",E4834="No rechazar H0"),"Error tipo II","Decisión correcta"))</f>
        <v>Error tipo II</v>
      </c>
    </row>
    <row r="4835" customFormat="false" ht="15" hidden="false" customHeight="false" outlineLevel="0" collapsed="false">
      <c r="A4835" s="0" t="n">
        <v>4814</v>
      </c>
      <c r="B4835" s="0" t="s">
        <v>85</v>
      </c>
      <c r="C4835" s="17" t="n">
        <v>0.304764741038064</v>
      </c>
      <c r="D4835" s="17" t="n">
        <f aca="false">(C4835-$B$4)/($B$6/SQRT($B$7))</f>
        <v>1.52382370519032</v>
      </c>
      <c r="E4835" s="0" t="str">
        <f aca="false">IF(OR(AND($B$9="superior",D4835&gt;$B$10),AND($B$9="inferior",D4835&lt;-$B$10)),"Rechazar H0","No rechazar H0")</f>
        <v>No rechazar H0</v>
      </c>
      <c r="F4835" s="0" t="str">
        <f aca="false">IF(AND(B4835="H0 verdadera",E4835="Rechazar H0"),"Error tipo I",IF(AND(B4835="Ha verdadera",E4835="No rechazar H0"),"Error tipo II","Decisión correcta"))</f>
        <v>Decisión correcta</v>
      </c>
    </row>
    <row r="4836" customFormat="false" ht="15" hidden="false" customHeight="false" outlineLevel="0" collapsed="false">
      <c r="A4836" s="0" t="n">
        <v>4815</v>
      </c>
      <c r="B4836" s="0" t="s">
        <v>86</v>
      </c>
      <c r="C4836" s="17" t="n">
        <v>-0.326391879362902</v>
      </c>
      <c r="D4836" s="17" t="n">
        <f aca="false">(C4836-$B$4)/($B$6/SQRT($B$7))</f>
        <v>-1.63195939681451</v>
      </c>
      <c r="E4836" s="0" t="str">
        <f aca="false">IF(OR(AND($B$9="superior",D4836&gt;$B$10),AND($B$9="inferior",D4836&lt;-$B$10)),"Rechazar H0","No rechazar H0")</f>
        <v>No rechazar H0</v>
      </c>
      <c r="F4836" s="0" t="str">
        <f aca="false">IF(AND(B4836="H0 verdadera",E4836="Rechazar H0"),"Error tipo I",IF(AND(B4836="Ha verdadera",E4836="No rechazar H0"),"Error tipo II","Decisión correcta"))</f>
        <v>Error tipo II</v>
      </c>
    </row>
    <row r="4837" customFormat="false" ht="15" hidden="false" customHeight="false" outlineLevel="0" collapsed="false">
      <c r="A4837" s="0" t="n">
        <v>4816</v>
      </c>
      <c r="B4837" s="0" t="s">
        <v>86</v>
      </c>
      <c r="C4837" s="17" t="n">
        <v>-0.283644795458233</v>
      </c>
      <c r="D4837" s="17" t="n">
        <f aca="false">(C4837-$B$4)/($B$6/SQRT($B$7))</f>
        <v>-1.41822397729117</v>
      </c>
      <c r="E4837" s="0" t="str">
        <f aca="false">IF(OR(AND($B$9="superior",D4837&gt;$B$10),AND($B$9="inferior",D4837&lt;-$B$10)),"Rechazar H0","No rechazar H0")</f>
        <v>No rechazar H0</v>
      </c>
      <c r="F4837" s="0" t="str">
        <f aca="false">IF(AND(B4837="H0 verdadera",E4837="Rechazar H0"),"Error tipo I",IF(AND(B4837="Ha verdadera",E4837="No rechazar H0"),"Error tipo II","Decisión correcta"))</f>
        <v>Error tipo II</v>
      </c>
    </row>
    <row r="4838" customFormat="false" ht="15" hidden="false" customHeight="false" outlineLevel="0" collapsed="false">
      <c r="A4838" s="0" t="n">
        <v>4817</v>
      </c>
      <c r="B4838" s="0" t="s">
        <v>86</v>
      </c>
      <c r="C4838" s="17" t="n">
        <v>-0.616937257368788</v>
      </c>
      <c r="D4838" s="17" t="n">
        <f aca="false">(C4838-$B$4)/($B$6/SQRT($B$7))</f>
        <v>-3.08468628684394</v>
      </c>
      <c r="E4838" s="0" t="str">
        <f aca="false">IF(OR(AND($B$9="superior",D4838&gt;$B$10),AND($B$9="inferior",D4838&lt;-$B$10)),"Rechazar H0","No rechazar H0")</f>
        <v>Rechazar H0</v>
      </c>
      <c r="F4838" s="0" t="str">
        <f aca="false">IF(AND(B4838="H0 verdadera",E4838="Rechazar H0"),"Error tipo I",IF(AND(B4838="Ha verdadera",E4838="No rechazar H0"),"Error tipo II","Decisión correcta"))</f>
        <v>Decisión correcta</v>
      </c>
    </row>
    <row r="4839" customFormat="false" ht="15" hidden="false" customHeight="false" outlineLevel="0" collapsed="false">
      <c r="A4839" s="0" t="n">
        <v>4818</v>
      </c>
      <c r="B4839" s="0" t="s">
        <v>86</v>
      </c>
      <c r="C4839" s="17" t="n">
        <v>-0.756907187836849</v>
      </c>
      <c r="D4839" s="17" t="n">
        <f aca="false">(C4839-$B$4)/($B$6/SQRT($B$7))</f>
        <v>-3.78453593918425</v>
      </c>
      <c r="E4839" s="0" t="str">
        <f aca="false">IF(OR(AND($B$9="superior",D4839&gt;$B$10),AND($B$9="inferior",D4839&lt;-$B$10)),"Rechazar H0","No rechazar H0")</f>
        <v>Rechazar H0</v>
      </c>
      <c r="F4839" s="0" t="str">
        <f aca="false">IF(AND(B4839="H0 verdadera",E4839="Rechazar H0"),"Error tipo I",IF(AND(B4839="Ha verdadera",E4839="No rechazar H0"),"Error tipo II","Decisión correcta"))</f>
        <v>Decisión correcta</v>
      </c>
    </row>
    <row r="4840" customFormat="false" ht="15" hidden="false" customHeight="false" outlineLevel="0" collapsed="false">
      <c r="A4840" s="0" t="n">
        <v>4819</v>
      </c>
      <c r="B4840" s="0" t="s">
        <v>85</v>
      </c>
      <c r="C4840" s="17" t="n">
        <v>0.155770315319968</v>
      </c>
      <c r="D4840" s="17" t="n">
        <f aca="false">(C4840-$B$4)/($B$6/SQRT($B$7))</f>
        <v>0.778851576599841</v>
      </c>
      <c r="E4840" s="0" t="str">
        <f aca="false">IF(OR(AND($B$9="superior",D4840&gt;$B$10),AND($B$9="inferior",D4840&lt;-$B$10)),"Rechazar H0","No rechazar H0")</f>
        <v>No rechazar H0</v>
      </c>
      <c r="F4840" s="0" t="str">
        <f aca="false">IF(AND(B4840="H0 verdadera",E4840="Rechazar H0"),"Error tipo I",IF(AND(B4840="Ha verdadera",E4840="No rechazar H0"),"Error tipo II","Decisión correcta"))</f>
        <v>Decisión correcta</v>
      </c>
    </row>
    <row r="4841" customFormat="false" ht="15" hidden="false" customHeight="false" outlineLevel="0" collapsed="false">
      <c r="A4841" s="0" t="n">
        <v>4820</v>
      </c>
      <c r="B4841" s="0" t="s">
        <v>85</v>
      </c>
      <c r="C4841" s="17" t="n">
        <v>0.135395324198893</v>
      </c>
      <c r="D4841" s="17" t="n">
        <f aca="false">(C4841-$B$4)/($B$6/SQRT($B$7))</f>
        <v>0.676976620994466</v>
      </c>
      <c r="E4841" s="0" t="str">
        <f aca="false">IF(OR(AND($B$9="superior",D4841&gt;$B$10),AND($B$9="inferior",D4841&lt;-$B$10)),"Rechazar H0","No rechazar H0")</f>
        <v>No rechazar H0</v>
      </c>
      <c r="F4841" s="0" t="str">
        <f aca="false">IF(AND(B4841="H0 verdadera",E4841="Rechazar H0"),"Error tipo I",IF(AND(B4841="Ha verdadera",E4841="No rechazar H0"),"Error tipo II","Decisión correcta"))</f>
        <v>Decisión correcta</v>
      </c>
    </row>
    <row r="4842" customFormat="false" ht="15" hidden="false" customHeight="false" outlineLevel="0" collapsed="false">
      <c r="A4842" s="0" t="n">
        <v>4821</v>
      </c>
      <c r="B4842" s="0" t="s">
        <v>86</v>
      </c>
      <c r="C4842" s="17" t="n">
        <v>-0.342627270212682</v>
      </c>
      <c r="D4842" s="17" t="n">
        <f aca="false">(C4842-$B$4)/($B$6/SQRT($B$7))</f>
        <v>-1.71313635106341</v>
      </c>
      <c r="E4842" s="0" t="str">
        <f aca="false">IF(OR(AND($B$9="superior",D4842&gt;$B$10),AND($B$9="inferior",D4842&lt;-$B$10)),"Rechazar H0","No rechazar H0")</f>
        <v>Rechazar H0</v>
      </c>
      <c r="F4842" s="0" t="str">
        <f aca="false">IF(AND(B4842="H0 verdadera",E4842="Rechazar H0"),"Error tipo I",IF(AND(B4842="Ha verdadera",E4842="No rechazar H0"),"Error tipo II","Decisión correcta"))</f>
        <v>Decisión correcta</v>
      </c>
    </row>
    <row r="4843" customFormat="false" ht="15" hidden="false" customHeight="false" outlineLevel="0" collapsed="false">
      <c r="A4843" s="0" t="n">
        <v>4822</v>
      </c>
      <c r="B4843" s="0" t="s">
        <v>85</v>
      </c>
      <c r="C4843" s="17" t="n">
        <v>0.0818154976618618</v>
      </c>
      <c r="D4843" s="17" t="n">
        <f aca="false">(C4843-$B$4)/($B$6/SQRT($B$7))</f>
        <v>0.409077488309309</v>
      </c>
      <c r="E4843" s="0" t="str">
        <f aca="false">IF(OR(AND($B$9="superior",D4843&gt;$B$10),AND($B$9="inferior",D4843&lt;-$B$10)),"Rechazar H0","No rechazar H0")</f>
        <v>No rechazar H0</v>
      </c>
      <c r="F4843" s="0" t="str">
        <f aca="false">IF(AND(B4843="H0 verdadera",E4843="Rechazar H0"),"Error tipo I",IF(AND(B4843="Ha verdadera",E4843="No rechazar H0"),"Error tipo II","Decisión correcta"))</f>
        <v>Decisión correcta</v>
      </c>
    </row>
    <row r="4844" customFormat="false" ht="15" hidden="false" customHeight="false" outlineLevel="0" collapsed="false">
      <c r="A4844" s="0" t="n">
        <v>4823</v>
      </c>
      <c r="B4844" s="0" t="s">
        <v>86</v>
      </c>
      <c r="C4844" s="17" t="n">
        <v>-0.225282129689606</v>
      </c>
      <c r="D4844" s="17" t="n">
        <f aca="false">(C4844-$B$4)/($B$6/SQRT($B$7))</f>
        <v>-1.12641064844803</v>
      </c>
      <c r="E4844" s="0" t="str">
        <f aca="false">IF(OR(AND($B$9="superior",D4844&gt;$B$10),AND($B$9="inferior",D4844&lt;-$B$10)),"Rechazar H0","No rechazar H0")</f>
        <v>No rechazar H0</v>
      </c>
      <c r="F4844" s="0" t="str">
        <f aca="false">IF(AND(B4844="H0 verdadera",E4844="Rechazar H0"),"Error tipo I",IF(AND(B4844="Ha verdadera",E4844="No rechazar H0"),"Error tipo II","Decisión correcta"))</f>
        <v>Error tipo II</v>
      </c>
    </row>
    <row r="4845" customFormat="false" ht="15" hidden="false" customHeight="false" outlineLevel="0" collapsed="false">
      <c r="A4845" s="0" t="n">
        <v>4824</v>
      </c>
      <c r="B4845" s="0" t="s">
        <v>86</v>
      </c>
      <c r="C4845" s="17" t="n">
        <v>-0.117150325611152</v>
      </c>
      <c r="D4845" s="17" t="n">
        <f aca="false">(C4845-$B$4)/($B$6/SQRT($B$7))</f>
        <v>-0.58575162805576</v>
      </c>
      <c r="E4845" s="0" t="str">
        <f aca="false">IF(OR(AND($B$9="superior",D4845&gt;$B$10),AND($B$9="inferior",D4845&lt;-$B$10)),"Rechazar H0","No rechazar H0")</f>
        <v>No rechazar H0</v>
      </c>
      <c r="F4845" s="0" t="str">
        <f aca="false">IF(AND(B4845="H0 verdadera",E4845="Rechazar H0"),"Error tipo I",IF(AND(B4845="Ha verdadera",E4845="No rechazar H0"),"Error tipo II","Decisión correcta"))</f>
        <v>Error tipo II</v>
      </c>
    </row>
    <row r="4846" customFormat="false" ht="15" hidden="false" customHeight="false" outlineLevel="0" collapsed="false">
      <c r="A4846" s="0" t="n">
        <v>4825</v>
      </c>
      <c r="B4846" s="0" t="s">
        <v>85</v>
      </c>
      <c r="C4846" s="17" t="n">
        <v>-0.00807415244671099</v>
      </c>
      <c r="D4846" s="17" t="n">
        <f aca="false">(C4846-$B$4)/($B$6/SQRT($B$7))</f>
        <v>-0.0403707622335549</v>
      </c>
      <c r="E4846" s="0" t="str">
        <f aca="false">IF(OR(AND($B$9="superior",D4846&gt;$B$10),AND($B$9="inferior",D4846&lt;-$B$10)),"Rechazar H0","No rechazar H0")</f>
        <v>No rechazar H0</v>
      </c>
      <c r="F4846" s="0" t="str">
        <f aca="false">IF(AND(B4846="H0 verdadera",E4846="Rechazar H0"),"Error tipo I",IF(AND(B4846="Ha verdadera",E4846="No rechazar H0"),"Error tipo II","Decisión correcta"))</f>
        <v>Decisión correcta</v>
      </c>
    </row>
    <row r="4847" customFormat="false" ht="15" hidden="false" customHeight="false" outlineLevel="0" collapsed="false">
      <c r="A4847" s="0" t="n">
        <v>4826</v>
      </c>
      <c r="B4847" s="0" t="s">
        <v>85</v>
      </c>
      <c r="C4847" s="17" t="n">
        <v>0.0332807587947498</v>
      </c>
      <c r="D4847" s="17" t="n">
        <f aca="false">(C4847-$B$4)/($B$6/SQRT($B$7))</f>
        <v>0.166403793973749</v>
      </c>
      <c r="E4847" s="0" t="str">
        <f aca="false">IF(OR(AND($B$9="superior",D4847&gt;$B$10),AND($B$9="inferior",D4847&lt;-$B$10)),"Rechazar H0","No rechazar H0")</f>
        <v>No rechazar H0</v>
      </c>
      <c r="F4847" s="0" t="str">
        <f aca="false">IF(AND(B4847="H0 verdadera",E4847="Rechazar H0"),"Error tipo I",IF(AND(B4847="Ha verdadera",E4847="No rechazar H0"),"Error tipo II","Decisión correcta"))</f>
        <v>Decisión correcta</v>
      </c>
    </row>
    <row r="4848" customFormat="false" ht="15" hidden="false" customHeight="false" outlineLevel="0" collapsed="false">
      <c r="A4848" s="0" t="n">
        <v>4827</v>
      </c>
      <c r="B4848" s="0" t="s">
        <v>86</v>
      </c>
      <c r="C4848" s="17" t="n">
        <v>-0.195601390225072</v>
      </c>
      <c r="D4848" s="17" t="n">
        <f aca="false">(C4848-$B$4)/($B$6/SQRT($B$7))</f>
        <v>-0.978006951125358</v>
      </c>
      <c r="E4848" s="0" t="str">
        <f aca="false">IF(OR(AND($B$9="superior",D4848&gt;$B$10),AND($B$9="inferior",D4848&lt;-$B$10)),"Rechazar H0","No rechazar H0")</f>
        <v>No rechazar H0</v>
      </c>
      <c r="F4848" s="0" t="str">
        <f aca="false">IF(AND(B4848="H0 verdadera",E4848="Rechazar H0"),"Error tipo I",IF(AND(B4848="Ha verdadera",E4848="No rechazar H0"),"Error tipo II","Decisión correcta"))</f>
        <v>Error tipo II</v>
      </c>
    </row>
    <row r="4849" customFormat="false" ht="15" hidden="false" customHeight="false" outlineLevel="0" collapsed="false">
      <c r="A4849" s="0" t="n">
        <v>4828</v>
      </c>
      <c r="B4849" s="0" t="s">
        <v>85</v>
      </c>
      <c r="C4849" s="17" t="n">
        <v>-0.0619081216282076</v>
      </c>
      <c r="D4849" s="17" t="n">
        <f aca="false">(C4849-$B$4)/($B$6/SQRT($B$7))</f>
        <v>-0.309540608141038</v>
      </c>
      <c r="E4849" s="0" t="str">
        <f aca="false">IF(OR(AND($B$9="superior",D4849&gt;$B$10),AND($B$9="inferior",D4849&lt;-$B$10)),"Rechazar H0","No rechazar H0")</f>
        <v>No rechazar H0</v>
      </c>
      <c r="F4849" s="0" t="str">
        <f aca="false">IF(AND(B4849="H0 verdadera",E4849="Rechazar H0"),"Error tipo I",IF(AND(B4849="Ha verdadera",E4849="No rechazar H0"),"Error tipo II","Decisión correcta"))</f>
        <v>Decisión correcta</v>
      </c>
    </row>
    <row r="4850" customFormat="false" ht="15" hidden="false" customHeight="false" outlineLevel="0" collapsed="false">
      <c r="A4850" s="0" t="n">
        <v>4829</v>
      </c>
      <c r="B4850" s="0" t="s">
        <v>86</v>
      </c>
      <c r="C4850" s="17" t="n">
        <v>-0.40649023832137</v>
      </c>
      <c r="D4850" s="17" t="n">
        <f aca="false">(C4850-$B$4)/($B$6/SQRT($B$7))</f>
        <v>-2.03245119160685</v>
      </c>
      <c r="E4850" s="0" t="str">
        <f aca="false">IF(OR(AND($B$9="superior",D4850&gt;$B$10),AND($B$9="inferior",D4850&lt;-$B$10)),"Rechazar H0","No rechazar H0")</f>
        <v>Rechazar H0</v>
      </c>
      <c r="F4850" s="0" t="str">
        <f aca="false">IF(AND(B4850="H0 verdadera",E4850="Rechazar H0"),"Error tipo I",IF(AND(B4850="Ha verdadera",E4850="No rechazar H0"),"Error tipo II","Decisión correcta"))</f>
        <v>Decisión correcta</v>
      </c>
    </row>
    <row r="4851" customFormat="false" ht="15" hidden="false" customHeight="false" outlineLevel="0" collapsed="false">
      <c r="A4851" s="0" t="n">
        <v>4830</v>
      </c>
      <c r="B4851" s="0" t="s">
        <v>86</v>
      </c>
      <c r="C4851" s="17" t="n">
        <v>-0.352695445324401</v>
      </c>
      <c r="D4851" s="17" t="n">
        <f aca="false">(C4851-$B$4)/($B$6/SQRT($B$7))</f>
        <v>-1.763477226622</v>
      </c>
      <c r="E4851" s="0" t="str">
        <f aca="false">IF(OR(AND($B$9="superior",D4851&gt;$B$10),AND($B$9="inferior",D4851&lt;-$B$10)),"Rechazar H0","No rechazar H0")</f>
        <v>Rechazar H0</v>
      </c>
      <c r="F4851" s="0" t="str">
        <f aca="false">IF(AND(B4851="H0 verdadera",E4851="Rechazar H0"),"Error tipo I",IF(AND(B4851="Ha verdadera",E4851="No rechazar H0"),"Error tipo II","Decisión correcta"))</f>
        <v>Decisión correcta</v>
      </c>
    </row>
    <row r="4852" customFormat="false" ht="15" hidden="false" customHeight="false" outlineLevel="0" collapsed="false">
      <c r="A4852" s="0" t="n">
        <v>4831</v>
      </c>
      <c r="B4852" s="0" t="s">
        <v>86</v>
      </c>
      <c r="C4852" s="17" t="n">
        <v>-0.51030423539139</v>
      </c>
      <c r="D4852" s="17" t="n">
        <f aca="false">(C4852-$B$4)/($B$6/SQRT($B$7))</f>
        <v>-2.55152117695695</v>
      </c>
      <c r="E4852" s="0" t="str">
        <f aca="false">IF(OR(AND($B$9="superior",D4852&gt;$B$10),AND($B$9="inferior",D4852&lt;-$B$10)),"Rechazar H0","No rechazar H0")</f>
        <v>Rechazar H0</v>
      </c>
      <c r="F4852" s="0" t="str">
        <f aca="false">IF(AND(B4852="H0 verdadera",E4852="Rechazar H0"),"Error tipo I",IF(AND(B4852="Ha verdadera",E4852="No rechazar H0"),"Error tipo II","Decisión correcta"))</f>
        <v>Decisión correcta</v>
      </c>
    </row>
    <row r="4853" customFormat="false" ht="15" hidden="false" customHeight="false" outlineLevel="0" collapsed="false">
      <c r="A4853" s="0" t="n">
        <v>4832</v>
      </c>
      <c r="B4853" s="0" t="s">
        <v>85</v>
      </c>
      <c r="C4853" s="17" t="n">
        <v>-0.184343407022101</v>
      </c>
      <c r="D4853" s="17" t="n">
        <f aca="false">(C4853-$B$4)/($B$6/SQRT($B$7))</f>
        <v>-0.921717035110507</v>
      </c>
      <c r="E4853" s="0" t="str">
        <f aca="false">IF(OR(AND($B$9="superior",D4853&gt;$B$10),AND($B$9="inferior",D4853&lt;-$B$10)),"Rechazar H0","No rechazar H0")</f>
        <v>No rechazar H0</v>
      </c>
      <c r="F4853" s="0" t="str">
        <f aca="false">IF(AND(B4853="H0 verdadera",E4853="Rechazar H0"),"Error tipo I",IF(AND(B4853="Ha verdadera",E4853="No rechazar H0"),"Error tipo II","Decisión correcta"))</f>
        <v>Decisión correcta</v>
      </c>
    </row>
    <row r="4854" customFormat="false" ht="15" hidden="false" customHeight="false" outlineLevel="0" collapsed="false">
      <c r="A4854" s="0" t="n">
        <v>4833</v>
      </c>
      <c r="B4854" s="0" t="s">
        <v>85</v>
      </c>
      <c r="C4854" s="17" t="n">
        <v>0.190793143870093</v>
      </c>
      <c r="D4854" s="17" t="n">
        <f aca="false">(C4854-$B$4)/($B$6/SQRT($B$7))</f>
        <v>0.953965719350465</v>
      </c>
      <c r="E4854" s="0" t="str">
        <f aca="false">IF(OR(AND($B$9="superior",D4854&gt;$B$10),AND($B$9="inferior",D4854&lt;-$B$10)),"Rechazar H0","No rechazar H0")</f>
        <v>No rechazar H0</v>
      </c>
      <c r="F4854" s="0" t="str">
        <f aca="false">IF(AND(B4854="H0 verdadera",E4854="Rechazar H0"),"Error tipo I",IF(AND(B4854="Ha verdadera",E4854="No rechazar H0"),"Error tipo II","Decisión correcta"))</f>
        <v>Decisión correcta</v>
      </c>
    </row>
    <row r="4855" customFormat="false" ht="15" hidden="false" customHeight="false" outlineLevel="0" collapsed="false">
      <c r="A4855" s="0" t="n">
        <v>4834</v>
      </c>
      <c r="B4855" s="0" t="s">
        <v>85</v>
      </c>
      <c r="C4855" s="17" t="n">
        <v>-0.231577291935665</v>
      </c>
      <c r="D4855" s="17" t="n">
        <f aca="false">(C4855-$B$4)/($B$6/SQRT($B$7))</f>
        <v>-1.15788645967832</v>
      </c>
      <c r="E4855" s="0" t="str">
        <f aca="false">IF(OR(AND($B$9="superior",D4855&gt;$B$10),AND($B$9="inferior",D4855&lt;-$B$10)),"Rechazar H0","No rechazar H0")</f>
        <v>No rechazar H0</v>
      </c>
      <c r="F4855" s="0" t="str">
        <f aca="false">IF(AND(B4855="H0 verdadera",E4855="Rechazar H0"),"Error tipo I",IF(AND(B4855="Ha verdadera",E4855="No rechazar H0"),"Error tipo II","Decisión correcta"))</f>
        <v>Decisión correcta</v>
      </c>
    </row>
    <row r="4856" customFormat="false" ht="15" hidden="false" customHeight="false" outlineLevel="0" collapsed="false">
      <c r="A4856" s="0" t="n">
        <v>4835</v>
      </c>
      <c r="B4856" s="0" t="s">
        <v>86</v>
      </c>
      <c r="C4856" s="17" t="n">
        <v>-0.360815067294637</v>
      </c>
      <c r="D4856" s="17" t="n">
        <f aca="false">(C4856-$B$4)/($B$6/SQRT($B$7))</f>
        <v>-1.80407533647319</v>
      </c>
      <c r="E4856" s="0" t="str">
        <f aca="false">IF(OR(AND($B$9="superior",D4856&gt;$B$10),AND($B$9="inferior",D4856&lt;-$B$10)),"Rechazar H0","No rechazar H0")</f>
        <v>Rechazar H0</v>
      </c>
      <c r="F4856" s="0" t="str">
        <f aca="false">IF(AND(B4856="H0 verdadera",E4856="Rechazar H0"),"Error tipo I",IF(AND(B4856="Ha verdadera",E4856="No rechazar H0"),"Error tipo II","Decisión correcta"))</f>
        <v>Decisión correcta</v>
      </c>
    </row>
    <row r="4857" customFormat="false" ht="15" hidden="false" customHeight="false" outlineLevel="0" collapsed="false">
      <c r="A4857" s="0" t="n">
        <v>4836</v>
      </c>
      <c r="B4857" s="0" t="s">
        <v>85</v>
      </c>
      <c r="C4857" s="17" t="n">
        <v>0.563369036969078</v>
      </c>
      <c r="D4857" s="17" t="n">
        <f aca="false">(C4857-$B$4)/($B$6/SQRT($B$7))</f>
        <v>2.81684518484539</v>
      </c>
      <c r="E4857" s="0" t="str">
        <f aca="false">IF(OR(AND($B$9="superior",D4857&gt;$B$10),AND($B$9="inferior",D4857&lt;-$B$10)),"Rechazar H0","No rechazar H0")</f>
        <v>No rechazar H0</v>
      </c>
      <c r="F4857" s="0" t="str">
        <f aca="false">IF(AND(B4857="H0 verdadera",E4857="Rechazar H0"),"Error tipo I",IF(AND(B4857="Ha verdadera",E4857="No rechazar H0"),"Error tipo II","Decisión correcta"))</f>
        <v>Decisión correcta</v>
      </c>
    </row>
    <row r="4858" customFormat="false" ht="15" hidden="false" customHeight="false" outlineLevel="0" collapsed="false">
      <c r="A4858" s="0" t="n">
        <v>4837</v>
      </c>
      <c r="B4858" s="0" t="s">
        <v>85</v>
      </c>
      <c r="C4858" s="17" t="n">
        <v>-0.27582922819177</v>
      </c>
      <c r="D4858" s="17" t="n">
        <f aca="false">(C4858-$B$4)/($B$6/SQRT($B$7))</f>
        <v>-1.37914614095885</v>
      </c>
      <c r="E4858" s="0" t="str">
        <f aca="false">IF(OR(AND($B$9="superior",D4858&gt;$B$10),AND($B$9="inferior",D4858&lt;-$B$10)),"Rechazar H0","No rechazar H0")</f>
        <v>No rechazar H0</v>
      </c>
      <c r="F4858" s="0" t="str">
        <f aca="false">IF(AND(B4858="H0 verdadera",E4858="Rechazar H0"),"Error tipo I",IF(AND(B4858="Ha verdadera",E4858="No rechazar H0"),"Error tipo II","Decisión correcta"))</f>
        <v>Decisión correcta</v>
      </c>
    </row>
    <row r="4859" customFormat="false" ht="15" hidden="false" customHeight="false" outlineLevel="0" collapsed="false">
      <c r="A4859" s="0" t="n">
        <v>4838</v>
      </c>
      <c r="B4859" s="0" t="s">
        <v>85</v>
      </c>
      <c r="C4859" s="17" t="n">
        <v>0.258814056724161</v>
      </c>
      <c r="D4859" s="17" t="n">
        <f aca="false">(C4859-$B$4)/($B$6/SQRT($B$7))</f>
        <v>1.2940702836208</v>
      </c>
      <c r="E4859" s="0" t="str">
        <f aca="false">IF(OR(AND($B$9="superior",D4859&gt;$B$10),AND($B$9="inferior",D4859&lt;-$B$10)),"Rechazar H0","No rechazar H0")</f>
        <v>No rechazar H0</v>
      </c>
      <c r="F4859" s="0" t="str">
        <f aca="false">IF(AND(B4859="H0 verdadera",E4859="Rechazar H0"),"Error tipo I",IF(AND(B4859="Ha verdadera",E4859="No rechazar H0"),"Error tipo II","Decisión correcta"))</f>
        <v>Decisión correcta</v>
      </c>
    </row>
    <row r="4860" customFormat="false" ht="15" hidden="false" customHeight="false" outlineLevel="0" collapsed="false">
      <c r="A4860" s="0" t="n">
        <v>4839</v>
      </c>
      <c r="B4860" s="0" t="s">
        <v>86</v>
      </c>
      <c r="C4860" s="17" t="n">
        <v>-0.374540598743922</v>
      </c>
      <c r="D4860" s="17" t="n">
        <f aca="false">(C4860-$B$4)/($B$6/SQRT($B$7))</f>
        <v>-1.87270299371961</v>
      </c>
      <c r="E4860" s="0" t="str">
        <f aca="false">IF(OR(AND($B$9="superior",D4860&gt;$B$10),AND($B$9="inferior",D4860&lt;-$B$10)),"Rechazar H0","No rechazar H0")</f>
        <v>Rechazar H0</v>
      </c>
      <c r="F4860" s="0" t="str">
        <f aca="false">IF(AND(B4860="H0 verdadera",E4860="Rechazar H0"),"Error tipo I",IF(AND(B4860="Ha verdadera",E4860="No rechazar H0"),"Error tipo II","Decisión correcta"))</f>
        <v>Decisión correcta</v>
      </c>
    </row>
    <row r="4861" customFormat="false" ht="15" hidden="false" customHeight="false" outlineLevel="0" collapsed="false">
      <c r="A4861" s="0" t="n">
        <v>4840</v>
      </c>
      <c r="B4861" s="0" t="s">
        <v>85</v>
      </c>
      <c r="C4861" s="17" t="n">
        <v>0.210198115537467</v>
      </c>
      <c r="D4861" s="17" t="n">
        <f aca="false">(C4861-$B$4)/($B$6/SQRT($B$7))</f>
        <v>1.05099057768733</v>
      </c>
      <c r="E4861" s="0" t="str">
        <f aca="false">IF(OR(AND($B$9="superior",D4861&gt;$B$10),AND($B$9="inferior",D4861&lt;-$B$10)),"Rechazar H0","No rechazar H0")</f>
        <v>No rechazar H0</v>
      </c>
      <c r="F4861" s="0" t="str">
        <f aca="false">IF(AND(B4861="H0 verdadera",E4861="Rechazar H0"),"Error tipo I",IF(AND(B4861="Ha verdadera",E4861="No rechazar H0"),"Error tipo II","Decisión correcta"))</f>
        <v>Decisión correcta</v>
      </c>
    </row>
    <row r="4862" customFormat="false" ht="15" hidden="false" customHeight="false" outlineLevel="0" collapsed="false">
      <c r="A4862" s="0" t="n">
        <v>4841</v>
      </c>
      <c r="B4862" s="0" t="s">
        <v>85</v>
      </c>
      <c r="C4862" s="17" t="n">
        <v>-0.0547661116264333</v>
      </c>
      <c r="D4862" s="17" t="n">
        <f aca="false">(C4862-$B$4)/($B$6/SQRT($B$7))</f>
        <v>-0.273830558132167</v>
      </c>
      <c r="E4862" s="0" t="str">
        <f aca="false">IF(OR(AND($B$9="superior",D4862&gt;$B$10),AND($B$9="inferior",D4862&lt;-$B$10)),"Rechazar H0","No rechazar H0")</f>
        <v>No rechazar H0</v>
      </c>
      <c r="F4862" s="0" t="str">
        <f aca="false">IF(AND(B4862="H0 verdadera",E4862="Rechazar H0"),"Error tipo I",IF(AND(B4862="Ha verdadera",E4862="No rechazar H0"),"Error tipo II","Decisión correcta"))</f>
        <v>Decisión correcta</v>
      </c>
    </row>
    <row r="4863" customFormat="false" ht="15" hidden="false" customHeight="false" outlineLevel="0" collapsed="false">
      <c r="A4863" s="0" t="n">
        <v>4842</v>
      </c>
      <c r="B4863" s="0" t="s">
        <v>86</v>
      </c>
      <c r="C4863" s="17" t="n">
        <v>0.0800514971698413</v>
      </c>
      <c r="D4863" s="17" t="n">
        <f aca="false">(C4863-$B$4)/($B$6/SQRT($B$7))</f>
        <v>0.400257485849206</v>
      </c>
      <c r="E4863" s="0" t="str">
        <f aca="false">IF(OR(AND($B$9="superior",D4863&gt;$B$10),AND($B$9="inferior",D4863&lt;-$B$10)),"Rechazar H0","No rechazar H0")</f>
        <v>No rechazar H0</v>
      </c>
      <c r="F4863" s="0" t="str">
        <f aca="false">IF(AND(B4863="H0 verdadera",E4863="Rechazar H0"),"Error tipo I",IF(AND(B4863="Ha verdadera",E4863="No rechazar H0"),"Error tipo II","Decisión correcta"))</f>
        <v>Error tipo II</v>
      </c>
    </row>
    <row r="4864" customFormat="false" ht="15" hidden="false" customHeight="false" outlineLevel="0" collapsed="false">
      <c r="A4864" s="0" t="n">
        <v>4843</v>
      </c>
      <c r="B4864" s="0" t="s">
        <v>86</v>
      </c>
      <c r="C4864" s="17" t="n">
        <v>-0.677189972842988</v>
      </c>
      <c r="D4864" s="17" t="n">
        <f aca="false">(C4864-$B$4)/($B$6/SQRT($B$7))</f>
        <v>-3.38594986421494</v>
      </c>
      <c r="E4864" s="0" t="str">
        <f aca="false">IF(OR(AND($B$9="superior",D4864&gt;$B$10),AND($B$9="inferior",D4864&lt;-$B$10)),"Rechazar H0","No rechazar H0")</f>
        <v>Rechazar H0</v>
      </c>
      <c r="F4864" s="0" t="str">
        <f aca="false">IF(AND(B4864="H0 verdadera",E4864="Rechazar H0"),"Error tipo I",IF(AND(B4864="Ha verdadera",E4864="No rechazar H0"),"Error tipo II","Decisión correcta"))</f>
        <v>Decisión correcta</v>
      </c>
    </row>
    <row r="4865" customFormat="false" ht="15" hidden="false" customHeight="false" outlineLevel="0" collapsed="false">
      <c r="A4865" s="0" t="n">
        <v>4844</v>
      </c>
      <c r="B4865" s="0" t="s">
        <v>86</v>
      </c>
      <c r="C4865" s="17" t="n">
        <v>-0.151444254993033</v>
      </c>
      <c r="D4865" s="17" t="n">
        <f aca="false">(C4865-$B$4)/($B$6/SQRT($B$7))</f>
        <v>-0.757221274965166</v>
      </c>
      <c r="E4865" s="0" t="str">
        <f aca="false">IF(OR(AND($B$9="superior",D4865&gt;$B$10),AND($B$9="inferior",D4865&lt;-$B$10)),"Rechazar H0","No rechazar H0")</f>
        <v>No rechazar H0</v>
      </c>
      <c r="F4865" s="0" t="str">
        <f aca="false">IF(AND(B4865="H0 verdadera",E4865="Rechazar H0"),"Error tipo I",IF(AND(B4865="Ha verdadera",E4865="No rechazar H0"),"Error tipo II","Decisión correcta"))</f>
        <v>Error tipo II</v>
      </c>
    </row>
    <row r="4866" customFormat="false" ht="15" hidden="false" customHeight="false" outlineLevel="0" collapsed="false">
      <c r="A4866" s="0" t="n">
        <v>4845</v>
      </c>
      <c r="B4866" s="0" t="s">
        <v>85</v>
      </c>
      <c r="C4866" s="17" t="n">
        <v>-0.301186660880212</v>
      </c>
      <c r="D4866" s="17" t="n">
        <f aca="false">(C4866-$B$4)/($B$6/SQRT($B$7))</f>
        <v>-1.50593330440106</v>
      </c>
      <c r="E4866" s="0" t="str">
        <f aca="false">IF(OR(AND($B$9="superior",D4866&gt;$B$10),AND($B$9="inferior",D4866&lt;-$B$10)),"Rechazar H0","No rechazar H0")</f>
        <v>No rechazar H0</v>
      </c>
      <c r="F4866" s="0" t="str">
        <f aca="false">IF(AND(B4866="H0 verdadera",E4866="Rechazar H0"),"Error tipo I",IF(AND(B4866="Ha verdadera",E4866="No rechazar H0"),"Error tipo II","Decisión correcta"))</f>
        <v>Decisión correcta</v>
      </c>
    </row>
    <row r="4867" customFormat="false" ht="15" hidden="false" customHeight="false" outlineLevel="0" collapsed="false">
      <c r="A4867" s="0" t="n">
        <v>4846</v>
      </c>
      <c r="B4867" s="0" t="s">
        <v>86</v>
      </c>
      <c r="C4867" s="17" t="n">
        <v>-0.682063390149468</v>
      </c>
      <c r="D4867" s="17" t="n">
        <f aca="false">(C4867-$B$4)/($B$6/SQRT($B$7))</f>
        <v>-3.41031695074734</v>
      </c>
      <c r="E4867" s="0" t="str">
        <f aca="false">IF(OR(AND($B$9="superior",D4867&gt;$B$10),AND($B$9="inferior",D4867&lt;-$B$10)),"Rechazar H0","No rechazar H0")</f>
        <v>Rechazar H0</v>
      </c>
      <c r="F4867" s="0" t="str">
        <f aca="false">IF(AND(B4867="H0 verdadera",E4867="Rechazar H0"),"Error tipo I",IF(AND(B4867="Ha verdadera",E4867="No rechazar H0"),"Error tipo II","Decisión correcta"))</f>
        <v>Decisión correcta</v>
      </c>
    </row>
    <row r="4868" customFormat="false" ht="15" hidden="false" customHeight="false" outlineLevel="0" collapsed="false">
      <c r="A4868" s="0" t="n">
        <v>4847</v>
      </c>
      <c r="B4868" s="0" t="s">
        <v>86</v>
      </c>
      <c r="C4868" s="17" t="n">
        <v>-0.230881945686334</v>
      </c>
      <c r="D4868" s="17" t="n">
        <f aca="false">(C4868-$B$4)/($B$6/SQRT($B$7))</f>
        <v>-1.15440972843167</v>
      </c>
      <c r="E4868" s="0" t="str">
        <f aca="false">IF(OR(AND($B$9="superior",D4868&gt;$B$10),AND($B$9="inferior",D4868&lt;-$B$10)),"Rechazar H0","No rechazar H0")</f>
        <v>No rechazar H0</v>
      </c>
      <c r="F4868" s="0" t="str">
        <f aca="false">IF(AND(B4868="H0 verdadera",E4868="Rechazar H0"),"Error tipo I",IF(AND(B4868="Ha verdadera",E4868="No rechazar H0"),"Error tipo II","Decisión correcta"))</f>
        <v>Error tipo II</v>
      </c>
    </row>
    <row r="4869" customFormat="false" ht="15" hidden="false" customHeight="false" outlineLevel="0" collapsed="false">
      <c r="A4869" s="0" t="n">
        <v>4848</v>
      </c>
      <c r="B4869" s="0" t="s">
        <v>86</v>
      </c>
      <c r="C4869" s="17" t="n">
        <v>-0.912199622965368</v>
      </c>
      <c r="D4869" s="17" t="n">
        <f aca="false">(C4869-$B$4)/($B$6/SQRT($B$7))</f>
        <v>-4.56099811482684</v>
      </c>
      <c r="E4869" s="0" t="str">
        <f aca="false">IF(OR(AND($B$9="superior",D4869&gt;$B$10),AND($B$9="inferior",D4869&lt;-$B$10)),"Rechazar H0","No rechazar H0")</f>
        <v>Rechazar H0</v>
      </c>
      <c r="F4869" s="0" t="str">
        <f aca="false">IF(AND(B4869="H0 verdadera",E4869="Rechazar H0"),"Error tipo I",IF(AND(B4869="Ha verdadera",E4869="No rechazar H0"),"Error tipo II","Decisión correcta"))</f>
        <v>Decisión correcta</v>
      </c>
    </row>
    <row r="4870" customFormat="false" ht="15" hidden="false" customHeight="false" outlineLevel="0" collapsed="false">
      <c r="A4870" s="0" t="n">
        <v>4849</v>
      </c>
      <c r="B4870" s="0" t="s">
        <v>86</v>
      </c>
      <c r="C4870" s="17" t="n">
        <v>-0.325117055127331</v>
      </c>
      <c r="D4870" s="17" t="n">
        <f aca="false">(C4870-$B$4)/($B$6/SQRT($B$7))</f>
        <v>-1.62558527563665</v>
      </c>
      <c r="E4870" s="0" t="str">
        <f aca="false">IF(OR(AND($B$9="superior",D4870&gt;$B$10),AND($B$9="inferior",D4870&lt;-$B$10)),"Rechazar H0","No rechazar H0")</f>
        <v>No rechazar H0</v>
      </c>
      <c r="F4870" s="0" t="str">
        <f aca="false">IF(AND(B4870="H0 verdadera",E4870="Rechazar H0"),"Error tipo I",IF(AND(B4870="Ha verdadera",E4870="No rechazar H0"),"Error tipo II","Decisión correcta"))</f>
        <v>Error tipo II</v>
      </c>
    </row>
    <row r="4871" customFormat="false" ht="15" hidden="false" customHeight="false" outlineLevel="0" collapsed="false">
      <c r="A4871" s="0" t="n">
        <v>4850</v>
      </c>
      <c r="B4871" s="0" t="s">
        <v>85</v>
      </c>
      <c r="C4871" s="17" t="n">
        <v>-0.00614869998280701</v>
      </c>
      <c r="D4871" s="17" t="n">
        <f aca="false">(C4871-$B$4)/($B$6/SQRT($B$7))</f>
        <v>-0.030743499914035</v>
      </c>
      <c r="E4871" s="0" t="str">
        <f aca="false">IF(OR(AND($B$9="superior",D4871&gt;$B$10),AND($B$9="inferior",D4871&lt;-$B$10)),"Rechazar H0","No rechazar H0")</f>
        <v>No rechazar H0</v>
      </c>
      <c r="F4871" s="0" t="str">
        <f aca="false">IF(AND(B4871="H0 verdadera",E4871="Rechazar H0"),"Error tipo I",IF(AND(B4871="Ha verdadera",E4871="No rechazar H0"),"Error tipo II","Decisión correcta"))</f>
        <v>Decisión correcta</v>
      </c>
    </row>
    <row r="4872" customFormat="false" ht="15" hidden="false" customHeight="false" outlineLevel="0" collapsed="false">
      <c r="A4872" s="0" t="n">
        <v>4851</v>
      </c>
      <c r="B4872" s="0" t="s">
        <v>86</v>
      </c>
      <c r="C4872" s="17" t="n">
        <v>-0.944377805848116</v>
      </c>
      <c r="D4872" s="17" t="n">
        <f aca="false">(C4872-$B$4)/($B$6/SQRT($B$7))</f>
        <v>-4.72188902924058</v>
      </c>
      <c r="E4872" s="0" t="str">
        <f aca="false">IF(OR(AND($B$9="superior",D4872&gt;$B$10),AND($B$9="inferior",D4872&lt;-$B$10)),"Rechazar H0","No rechazar H0")</f>
        <v>Rechazar H0</v>
      </c>
      <c r="F4872" s="0" t="str">
        <f aca="false">IF(AND(B4872="H0 verdadera",E4872="Rechazar H0"),"Error tipo I",IF(AND(B4872="Ha verdadera",E4872="No rechazar H0"),"Error tipo II","Decisión correcta"))</f>
        <v>Decisión correcta</v>
      </c>
    </row>
    <row r="4873" customFormat="false" ht="15" hidden="false" customHeight="false" outlineLevel="0" collapsed="false">
      <c r="A4873" s="0" t="n">
        <v>4852</v>
      </c>
      <c r="B4873" s="0" t="s">
        <v>85</v>
      </c>
      <c r="C4873" s="17" t="n">
        <v>0.0404972226680665</v>
      </c>
      <c r="D4873" s="17" t="n">
        <f aca="false">(C4873-$B$4)/($B$6/SQRT($B$7))</f>
        <v>0.202486113340333</v>
      </c>
      <c r="E4873" s="0" t="str">
        <f aca="false">IF(OR(AND($B$9="superior",D4873&gt;$B$10),AND($B$9="inferior",D4873&lt;-$B$10)),"Rechazar H0","No rechazar H0")</f>
        <v>No rechazar H0</v>
      </c>
      <c r="F4873" s="0" t="str">
        <f aca="false">IF(AND(B4873="H0 verdadera",E4873="Rechazar H0"),"Error tipo I",IF(AND(B4873="Ha verdadera",E4873="No rechazar H0"),"Error tipo II","Decisión correcta"))</f>
        <v>Decisión correcta</v>
      </c>
    </row>
    <row r="4874" customFormat="false" ht="15" hidden="false" customHeight="false" outlineLevel="0" collapsed="false">
      <c r="A4874" s="0" t="n">
        <v>4853</v>
      </c>
      <c r="B4874" s="0" t="s">
        <v>86</v>
      </c>
      <c r="C4874" s="17" t="n">
        <v>-0.332063842781555</v>
      </c>
      <c r="D4874" s="17" t="n">
        <f aca="false">(C4874-$B$4)/($B$6/SQRT($B$7))</f>
        <v>-1.66031921390777</v>
      </c>
      <c r="E4874" s="0" t="str">
        <f aca="false">IF(OR(AND($B$9="superior",D4874&gt;$B$10),AND($B$9="inferior",D4874&lt;-$B$10)),"Rechazar H0","No rechazar H0")</f>
        <v>Rechazar H0</v>
      </c>
      <c r="F4874" s="0" t="str">
        <f aca="false">IF(AND(B4874="H0 verdadera",E4874="Rechazar H0"),"Error tipo I",IF(AND(B4874="Ha verdadera",E4874="No rechazar H0"),"Error tipo II","Decisión correcta"))</f>
        <v>Decisión correcta</v>
      </c>
    </row>
    <row r="4875" customFormat="false" ht="15" hidden="false" customHeight="false" outlineLevel="0" collapsed="false">
      <c r="A4875" s="0" t="n">
        <v>4854</v>
      </c>
      <c r="B4875" s="0" t="s">
        <v>86</v>
      </c>
      <c r="C4875" s="17" t="n">
        <v>-0.318850747171195</v>
      </c>
      <c r="D4875" s="17" t="n">
        <f aca="false">(C4875-$B$4)/($B$6/SQRT($B$7))</f>
        <v>-1.59425373585597</v>
      </c>
      <c r="E4875" s="0" t="str">
        <f aca="false">IF(OR(AND($B$9="superior",D4875&gt;$B$10),AND($B$9="inferior",D4875&lt;-$B$10)),"Rechazar H0","No rechazar H0")</f>
        <v>No rechazar H0</v>
      </c>
      <c r="F4875" s="0" t="str">
        <f aca="false">IF(AND(B4875="H0 verdadera",E4875="Rechazar H0"),"Error tipo I",IF(AND(B4875="Ha verdadera",E4875="No rechazar H0"),"Error tipo II","Decisión correcta"))</f>
        <v>Error tipo II</v>
      </c>
    </row>
    <row r="4876" customFormat="false" ht="15" hidden="false" customHeight="false" outlineLevel="0" collapsed="false">
      <c r="A4876" s="0" t="n">
        <v>4855</v>
      </c>
      <c r="B4876" s="0" t="s">
        <v>86</v>
      </c>
      <c r="C4876" s="17" t="n">
        <v>-0.54616433759097</v>
      </c>
      <c r="D4876" s="17" t="n">
        <f aca="false">(C4876-$B$4)/($B$6/SQRT($B$7))</f>
        <v>-2.73082168795485</v>
      </c>
      <c r="E4876" s="0" t="str">
        <f aca="false">IF(OR(AND($B$9="superior",D4876&gt;$B$10),AND($B$9="inferior",D4876&lt;-$B$10)),"Rechazar H0","No rechazar H0")</f>
        <v>Rechazar H0</v>
      </c>
      <c r="F4876" s="0" t="str">
        <f aca="false">IF(AND(B4876="H0 verdadera",E4876="Rechazar H0"),"Error tipo I",IF(AND(B4876="Ha verdadera",E4876="No rechazar H0"),"Error tipo II","Decisión correcta"))</f>
        <v>Decisión correcta</v>
      </c>
    </row>
    <row r="4877" customFormat="false" ht="15" hidden="false" customHeight="false" outlineLevel="0" collapsed="false">
      <c r="A4877" s="0" t="n">
        <v>4856</v>
      </c>
      <c r="B4877" s="0" t="s">
        <v>85</v>
      </c>
      <c r="C4877" s="17" t="n">
        <v>0.055074567910408</v>
      </c>
      <c r="D4877" s="17" t="n">
        <f aca="false">(C4877-$B$4)/($B$6/SQRT($B$7))</f>
        <v>0.27537283955204</v>
      </c>
      <c r="E4877" s="0" t="str">
        <f aca="false">IF(OR(AND($B$9="superior",D4877&gt;$B$10),AND($B$9="inferior",D4877&lt;-$B$10)),"Rechazar H0","No rechazar H0")</f>
        <v>No rechazar H0</v>
      </c>
      <c r="F4877" s="0" t="str">
        <f aca="false">IF(AND(B4877="H0 verdadera",E4877="Rechazar H0"),"Error tipo I",IF(AND(B4877="Ha verdadera",E4877="No rechazar H0"),"Error tipo II","Decisión correcta"))</f>
        <v>Decisión correcta</v>
      </c>
    </row>
    <row r="4878" customFormat="false" ht="15" hidden="false" customHeight="false" outlineLevel="0" collapsed="false">
      <c r="A4878" s="0" t="n">
        <v>4857</v>
      </c>
      <c r="B4878" s="0" t="s">
        <v>86</v>
      </c>
      <c r="C4878" s="17" t="n">
        <v>-0.650355641472563</v>
      </c>
      <c r="D4878" s="17" t="n">
        <f aca="false">(C4878-$B$4)/($B$6/SQRT($B$7))</f>
        <v>-3.25177820736281</v>
      </c>
      <c r="E4878" s="0" t="str">
        <f aca="false">IF(OR(AND($B$9="superior",D4878&gt;$B$10),AND($B$9="inferior",D4878&lt;-$B$10)),"Rechazar H0","No rechazar H0")</f>
        <v>Rechazar H0</v>
      </c>
      <c r="F4878" s="0" t="str">
        <f aca="false">IF(AND(B4878="H0 verdadera",E4878="Rechazar H0"),"Error tipo I",IF(AND(B4878="Ha verdadera",E4878="No rechazar H0"),"Error tipo II","Decisión correcta"))</f>
        <v>Decisión correcta</v>
      </c>
    </row>
    <row r="4879" customFormat="false" ht="15" hidden="false" customHeight="false" outlineLevel="0" collapsed="false">
      <c r="A4879" s="0" t="n">
        <v>4858</v>
      </c>
      <c r="B4879" s="0" t="s">
        <v>86</v>
      </c>
      <c r="C4879" s="17" t="n">
        <v>-0.405079193199665</v>
      </c>
      <c r="D4879" s="17" t="n">
        <f aca="false">(C4879-$B$4)/($B$6/SQRT($B$7))</f>
        <v>-2.02539596599832</v>
      </c>
      <c r="E4879" s="0" t="str">
        <f aca="false">IF(OR(AND($B$9="superior",D4879&gt;$B$10),AND($B$9="inferior",D4879&lt;-$B$10)),"Rechazar H0","No rechazar H0")</f>
        <v>Rechazar H0</v>
      </c>
      <c r="F4879" s="0" t="str">
        <f aca="false">IF(AND(B4879="H0 verdadera",E4879="Rechazar H0"),"Error tipo I",IF(AND(B4879="Ha verdadera",E4879="No rechazar H0"),"Error tipo II","Decisión correcta"))</f>
        <v>Decisión correcta</v>
      </c>
    </row>
    <row r="4880" customFormat="false" ht="15" hidden="false" customHeight="false" outlineLevel="0" collapsed="false">
      <c r="A4880" s="0" t="n">
        <v>4859</v>
      </c>
      <c r="B4880" s="0" t="s">
        <v>86</v>
      </c>
      <c r="C4880" s="17" t="n">
        <v>-0.540512823156469</v>
      </c>
      <c r="D4880" s="17" t="n">
        <f aca="false">(C4880-$B$4)/($B$6/SQRT($B$7))</f>
        <v>-2.70256411578235</v>
      </c>
      <c r="E4880" s="0" t="str">
        <f aca="false">IF(OR(AND($B$9="superior",D4880&gt;$B$10),AND($B$9="inferior",D4880&lt;-$B$10)),"Rechazar H0","No rechazar H0")</f>
        <v>Rechazar H0</v>
      </c>
      <c r="F4880" s="0" t="str">
        <f aca="false">IF(AND(B4880="H0 verdadera",E4880="Rechazar H0"),"Error tipo I",IF(AND(B4880="Ha verdadera",E4880="No rechazar H0"),"Error tipo II","Decisión correcta"))</f>
        <v>Decisión correcta</v>
      </c>
    </row>
    <row r="4881" customFormat="false" ht="15" hidden="false" customHeight="false" outlineLevel="0" collapsed="false">
      <c r="A4881" s="0" t="n">
        <v>4860</v>
      </c>
      <c r="B4881" s="0" t="s">
        <v>85</v>
      </c>
      <c r="C4881" s="17" t="n">
        <v>0.338916908627616</v>
      </c>
      <c r="D4881" s="17" t="n">
        <f aca="false">(C4881-$B$4)/($B$6/SQRT($B$7))</f>
        <v>1.69458454313808</v>
      </c>
      <c r="E4881" s="0" t="str">
        <f aca="false">IF(OR(AND($B$9="superior",D4881&gt;$B$10),AND($B$9="inferior",D4881&lt;-$B$10)),"Rechazar H0","No rechazar H0")</f>
        <v>No rechazar H0</v>
      </c>
      <c r="F4881" s="0" t="str">
        <f aca="false">IF(AND(B4881="H0 verdadera",E4881="Rechazar H0"),"Error tipo I",IF(AND(B4881="Ha verdadera",E4881="No rechazar H0"),"Error tipo II","Decisión correcta"))</f>
        <v>Decisión correcta</v>
      </c>
    </row>
    <row r="4882" customFormat="false" ht="15" hidden="false" customHeight="false" outlineLevel="0" collapsed="false">
      <c r="A4882" s="0" t="n">
        <v>4861</v>
      </c>
      <c r="B4882" s="0" t="s">
        <v>86</v>
      </c>
      <c r="C4882" s="17" t="n">
        <v>-0.448937119185091</v>
      </c>
      <c r="D4882" s="17" t="n">
        <f aca="false">(C4882-$B$4)/($B$6/SQRT($B$7))</f>
        <v>-2.24468559592546</v>
      </c>
      <c r="E4882" s="0" t="str">
        <f aca="false">IF(OR(AND($B$9="superior",D4882&gt;$B$10),AND($B$9="inferior",D4882&lt;-$B$10)),"Rechazar H0","No rechazar H0")</f>
        <v>Rechazar H0</v>
      </c>
      <c r="F4882" s="0" t="str">
        <f aca="false">IF(AND(B4882="H0 verdadera",E4882="Rechazar H0"),"Error tipo I",IF(AND(B4882="Ha verdadera",E4882="No rechazar H0"),"Error tipo II","Decisión correcta"))</f>
        <v>Decisión correcta</v>
      </c>
    </row>
    <row r="4883" customFormat="false" ht="15" hidden="false" customHeight="false" outlineLevel="0" collapsed="false">
      <c r="A4883" s="0" t="n">
        <v>4862</v>
      </c>
      <c r="B4883" s="0" t="s">
        <v>86</v>
      </c>
      <c r="C4883" s="17" t="n">
        <v>-0.352391651666271</v>
      </c>
      <c r="D4883" s="17" t="n">
        <f aca="false">(C4883-$B$4)/($B$6/SQRT($B$7))</f>
        <v>-1.76195825833135</v>
      </c>
      <c r="E4883" s="0" t="str">
        <f aca="false">IF(OR(AND($B$9="superior",D4883&gt;$B$10),AND($B$9="inferior",D4883&lt;-$B$10)),"Rechazar H0","No rechazar H0")</f>
        <v>Rechazar H0</v>
      </c>
      <c r="F4883" s="0" t="str">
        <f aca="false">IF(AND(B4883="H0 verdadera",E4883="Rechazar H0"),"Error tipo I",IF(AND(B4883="Ha verdadera",E4883="No rechazar H0"),"Error tipo II","Decisión correcta"))</f>
        <v>Decisión correcta</v>
      </c>
    </row>
    <row r="4884" customFormat="false" ht="15" hidden="false" customHeight="false" outlineLevel="0" collapsed="false">
      <c r="A4884" s="0" t="n">
        <v>4863</v>
      </c>
      <c r="B4884" s="0" t="s">
        <v>86</v>
      </c>
      <c r="C4884" s="17" t="n">
        <v>-0.111188915607783</v>
      </c>
      <c r="D4884" s="17" t="n">
        <f aca="false">(C4884-$B$4)/($B$6/SQRT($B$7))</f>
        <v>-0.555944578038914</v>
      </c>
      <c r="E4884" s="0" t="str">
        <f aca="false">IF(OR(AND($B$9="superior",D4884&gt;$B$10),AND($B$9="inferior",D4884&lt;-$B$10)),"Rechazar H0","No rechazar H0")</f>
        <v>No rechazar H0</v>
      </c>
      <c r="F4884" s="0" t="str">
        <f aca="false">IF(AND(B4884="H0 verdadera",E4884="Rechazar H0"),"Error tipo I",IF(AND(B4884="Ha verdadera",E4884="No rechazar H0"),"Error tipo II","Decisión correcta"))</f>
        <v>Error tipo II</v>
      </c>
    </row>
    <row r="4885" customFormat="false" ht="15" hidden="false" customHeight="false" outlineLevel="0" collapsed="false">
      <c r="A4885" s="0" t="n">
        <v>4864</v>
      </c>
      <c r="B4885" s="0" t="s">
        <v>85</v>
      </c>
      <c r="C4885" s="17" t="n">
        <v>-0.256175391692257</v>
      </c>
      <c r="D4885" s="17" t="n">
        <f aca="false">(C4885-$B$4)/($B$6/SQRT($B$7))</f>
        <v>-1.28087695846128</v>
      </c>
      <c r="E4885" s="0" t="str">
        <f aca="false">IF(OR(AND($B$9="superior",D4885&gt;$B$10),AND($B$9="inferior",D4885&lt;-$B$10)),"Rechazar H0","No rechazar H0")</f>
        <v>No rechazar H0</v>
      </c>
      <c r="F4885" s="0" t="str">
        <f aca="false">IF(AND(B4885="H0 verdadera",E4885="Rechazar H0"),"Error tipo I",IF(AND(B4885="Ha verdadera",E4885="No rechazar H0"),"Error tipo II","Decisión correcta"))</f>
        <v>Decisión correcta</v>
      </c>
    </row>
    <row r="4886" customFormat="false" ht="15" hidden="false" customHeight="false" outlineLevel="0" collapsed="false">
      <c r="A4886" s="0" t="n">
        <v>4865</v>
      </c>
      <c r="B4886" s="0" t="s">
        <v>85</v>
      </c>
      <c r="C4886" s="17" t="n">
        <v>0.266391196458785</v>
      </c>
      <c r="D4886" s="17" t="n">
        <f aca="false">(C4886-$B$4)/($B$6/SQRT($B$7))</f>
        <v>1.33195598229393</v>
      </c>
      <c r="E4886" s="0" t="str">
        <f aca="false">IF(OR(AND($B$9="superior",D4886&gt;$B$10),AND($B$9="inferior",D4886&lt;-$B$10)),"Rechazar H0","No rechazar H0")</f>
        <v>No rechazar H0</v>
      </c>
      <c r="F4886" s="0" t="str">
        <f aca="false">IF(AND(B4886="H0 verdadera",E4886="Rechazar H0"),"Error tipo I",IF(AND(B4886="Ha verdadera",E4886="No rechazar H0"),"Error tipo II","Decisión correcta"))</f>
        <v>Decisión correcta</v>
      </c>
    </row>
    <row r="4887" customFormat="false" ht="15" hidden="false" customHeight="false" outlineLevel="0" collapsed="false">
      <c r="A4887" s="0" t="n">
        <v>4866</v>
      </c>
      <c r="B4887" s="0" t="s">
        <v>85</v>
      </c>
      <c r="C4887" s="17" t="n">
        <v>0.117936100861202</v>
      </c>
      <c r="D4887" s="17" t="n">
        <f aca="false">(C4887-$B$4)/($B$6/SQRT($B$7))</f>
        <v>0.589680504306011</v>
      </c>
      <c r="E4887" s="0" t="str">
        <f aca="false">IF(OR(AND($B$9="superior",D4887&gt;$B$10),AND($B$9="inferior",D4887&lt;-$B$10)),"Rechazar H0","No rechazar H0")</f>
        <v>No rechazar H0</v>
      </c>
      <c r="F4887" s="0" t="str">
        <f aca="false">IF(AND(B4887="H0 verdadera",E4887="Rechazar H0"),"Error tipo I",IF(AND(B4887="Ha verdadera",E4887="No rechazar H0"),"Error tipo II","Decisión correcta"))</f>
        <v>Decisión correcta</v>
      </c>
    </row>
    <row r="4888" customFormat="false" ht="15" hidden="false" customHeight="false" outlineLevel="0" collapsed="false">
      <c r="A4888" s="0" t="n">
        <v>4867</v>
      </c>
      <c r="B4888" s="0" t="s">
        <v>86</v>
      </c>
      <c r="C4888" s="17" t="n">
        <v>-0.311713506748229</v>
      </c>
      <c r="D4888" s="17" t="n">
        <f aca="false">(C4888-$B$4)/($B$6/SQRT($B$7))</f>
        <v>-1.55856753374115</v>
      </c>
      <c r="E4888" s="0" t="str">
        <f aca="false">IF(OR(AND($B$9="superior",D4888&gt;$B$10),AND($B$9="inferior",D4888&lt;-$B$10)),"Rechazar H0","No rechazar H0")</f>
        <v>No rechazar H0</v>
      </c>
      <c r="F4888" s="0" t="str">
        <f aca="false">IF(AND(B4888="H0 verdadera",E4888="Rechazar H0"),"Error tipo I",IF(AND(B4888="Ha verdadera",E4888="No rechazar H0"),"Error tipo II","Decisión correcta"))</f>
        <v>Error tipo II</v>
      </c>
    </row>
    <row r="4889" customFormat="false" ht="15" hidden="false" customHeight="false" outlineLevel="0" collapsed="false">
      <c r="A4889" s="0" t="n">
        <v>4868</v>
      </c>
      <c r="B4889" s="0" t="s">
        <v>85</v>
      </c>
      <c r="C4889" s="17" t="n">
        <v>-0.312839130563118</v>
      </c>
      <c r="D4889" s="17" t="n">
        <f aca="false">(C4889-$B$4)/($B$6/SQRT($B$7))</f>
        <v>-1.56419565281559</v>
      </c>
      <c r="E4889" s="0" t="str">
        <f aca="false">IF(OR(AND($B$9="superior",D4889&gt;$B$10),AND($B$9="inferior",D4889&lt;-$B$10)),"Rechazar H0","No rechazar H0")</f>
        <v>No rechazar H0</v>
      </c>
      <c r="F4889" s="0" t="str">
        <f aca="false">IF(AND(B4889="H0 verdadera",E4889="Rechazar H0"),"Error tipo I",IF(AND(B4889="Ha verdadera",E4889="No rechazar H0"),"Error tipo II","Decisión correcta"))</f>
        <v>Decisión correcta</v>
      </c>
    </row>
    <row r="4890" customFormat="false" ht="15" hidden="false" customHeight="false" outlineLevel="0" collapsed="false">
      <c r="A4890" s="0" t="n">
        <v>4869</v>
      </c>
      <c r="B4890" s="0" t="s">
        <v>86</v>
      </c>
      <c r="C4890" s="17" t="n">
        <v>-0.227572772925123</v>
      </c>
      <c r="D4890" s="17" t="n">
        <f aca="false">(C4890-$B$4)/($B$6/SQRT($B$7))</f>
        <v>-1.13786386462561</v>
      </c>
      <c r="E4890" s="0" t="str">
        <f aca="false">IF(OR(AND($B$9="superior",D4890&gt;$B$10),AND($B$9="inferior",D4890&lt;-$B$10)),"Rechazar H0","No rechazar H0")</f>
        <v>No rechazar H0</v>
      </c>
      <c r="F4890" s="0" t="str">
        <f aca="false">IF(AND(B4890="H0 verdadera",E4890="Rechazar H0"),"Error tipo I",IF(AND(B4890="Ha verdadera",E4890="No rechazar H0"),"Error tipo II","Decisión correcta"))</f>
        <v>Error tipo II</v>
      </c>
    </row>
    <row r="4891" customFormat="false" ht="15" hidden="false" customHeight="false" outlineLevel="0" collapsed="false">
      <c r="A4891" s="0" t="n">
        <v>4870</v>
      </c>
      <c r="B4891" s="0" t="s">
        <v>86</v>
      </c>
      <c r="C4891" s="17" t="n">
        <v>-0.254162581803851</v>
      </c>
      <c r="D4891" s="17" t="n">
        <f aca="false">(C4891-$B$4)/($B$6/SQRT($B$7))</f>
        <v>-1.27081290901926</v>
      </c>
      <c r="E4891" s="0" t="str">
        <f aca="false">IF(OR(AND($B$9="superior",D4891&gt;$B$10),AND($B$9="inferior",D4891&lt;-$B$10)),"Rechazar H0","No rechazar H0")</f>
        <v>No rechazar H0</v>
      </c>
      <c r="F4891" s="0" t="str">
        <f aca="false">IF(AND(B4891="H0 verdadera",E4891="Rechazar H0"),"Error tipo I",IF(AND(B4891="Ha verdadera",E4891="No rechazar H0"),"Error tipo II","Decisión correcta"))</f>
        <v>Error tipo II</v>
      </c>
    </row>
    <row r="4892" customFormat="false" ht="15" hidden="false" customHeight="false" outlineLevel="0" collapsed="false">
      <c r="A4892" s="0" t="n">
        <v>4871</v>
      </c>
      <c r="B4892" s="0" t="s">
        <v>86</v>
      </c>
      <c r="C4892" s="17" t="n">
        <v>-0.331749012749464</v>
      </c>
      <c r="D4892" s="17" t="n">
        <f aca="false">(C4892-$B$4)/($B$6/SQRT($B$7))</f>
        <v>-1.65874506374732</v>
      </c>
      <c r="E4892" s="0" t="str">
        <f aca="false">IF(OR(AND($B$9="superior",D4892&gt;$B$10),AND($B$9="inferior",D4892&lt;-$B$10)),"Rechazar H0","No rechazar H0")</f>
        <v>Rechazar H0</v>
      </c>
      <c r="F4892" s="0" t="str">
        <f aca="false">IF(AND(B4892="H0 verdadera",E4892="Rechazar H0"),"Error tipo I",IF(AND(B4892="Ha verdadera",E4892="No rechazar H0"),"Error tipo II","Decisión correcta"))</f>
        <v>Decisión correcta</v>
      </c>
    </row>
    <row r="4893" customFormat="false" ht="15" hidden="false" customHeight="false" outlineLevel="0" collapsed="false">
      <c r="A4893" s="0" t="n">
        <v>4872</v>
      </c>
      <c r="B4893" s="0" t="s">
        <v>85</v>
      </c>
      <c r="C4893" s="17" t="n">
        <v>-0.00430513073349056</v>
      </c>
      <c r="D4893" s="17" t="n">
        <f aca="false">(C4893-$B$4)/($B$6/SQRT($B$7))</f>
        <v>-0.0215256536674528</v>
      </c>
      <c r="E4893" s="0" t="str">
        <f aca="false">IF(OR(AND($B$9="superior",D4893&gt;$B$10),AND($B$9="inferior",D4893&lt;-$B$10)),"Rechazar H0","No rechazar H0")</f>
        <v>No rechazar H0</v>
      </c>
      <c r="F4893" s="0" t="str">
        <f aca="false">IF(AND(B4893="H0 verdadera",E4893="Rechazar H0"),"Error tipo I",IF(AND(B4893="Ha verdadera",E4893="No rechazar H0"),"Error tipo II","Decisión correcta"))</f>
        <v>Decisión correcta</v>
      </c>
    </row>
    <row r="4894" customFormat="false" ht="15" hidden="false" customHeight="false" outlineLevel="0" collapsed="false">
      <c r="A4894" s="0" t="n">
        <v>4873</v>
      </c>
      <c r="B4894" s="0" t="s">
        <v>86</v>
      </c>
      <c r="C4894" s="17" t="n">
        <v>-0.396834100437778</v>
      </c>
      <c r="D4894" s="17" t="n">
        <f aca="false">(C4894-$B$4)/($B$6/SQRT($B$7))</f>
        <v>-1.98417050218889</v>
      </c>
      <c r="E4894" s="0" t="str">
        <f aca="false">IF(OR(AND($B$9="superior",D4894&gt;$B$10),AND($B$9="inferior",D4894&lt;-$B$10)),"Rechazar H0","No rechazar H0")</f>
        <v>Rechazar H0</v>
      </c>
      <c r="F4894" s="0" t="str">
        <f aca="false">IF(AND(B4894="H0 verdadera",E4894="Rechazar H0"),"Error tipo I",IF(AND(B4894="Ha verdadera",E4894="No rechazar H0"),"Error tipo II","Decisión correcta"))</f>
        <v>Decisión correcta</v>
      </c>
    </row>
    <row r="4895" customFormat="false" ht="15" hidden="false" customHeight="false" outlineLevel="0" collapsed="false">
      <c r="A4895" s="0" t="n">
        <v>4874</v>
      </c>
      <c r="B4895" s="0" t="s">
        <v>85</v>
      </c>
      <c r="C4895" s="17" t="n">
        <v>-0.0510308165865047</v>
      </c>
      <c r="D4895" s="17" t="n">
        <f aca="false">(C4895-$B$4)/($B$6/SQRT($B$7))</f>
        <v>-0.255154082932524</v>
      </c>
      <c r="E4895" s="0" t="str">
        <f aca="false">IF(OR(AND($B$9="superior",D4895&gt;$B$10),AND($B$9="inferior",D4895&lt;-$B$10)),"Rechazar H0","No rechazar H0")</f>
        <v>No rechazar H0</v>
      </c>
      <c r="F4895" s="0" t="str">
        <f aca="false">IF(AND(B4895="H0 verdadera",E4895="Rechazar H0"),"Error tipo I",IF(AND(B4895="Ha verdadera",E4895="No rechazar H0"),"Error tipo II","Decisión correcta"))</f>
        <v>Decisión correcta</v>
      </c>
    </row>
    <row r="4896" customFormat="false" ht="15" hidden="false" customHeight="false" outlineLevel="0" collapsed="false">
      <c r="A4896" s="0" t="n">
        <v>4875</v>
      </c>
      <c r="B4896" s="0" t="s">
        <v>85</v>
      </c>
      <c r="C4896" s="17" t="n">
        <v>0.430711331714285</v>
      </c>
      <c r="D4896" s="17" t="n">
        <f aca="false">(C4896-$B$4)/($B$6/SQRT($B$7))</f>
        <v>2.15355665857143</v>
      </c>
      <c r="E4896" s="0" t="str">
        <f aca="false">IF(OR(AND($B$9="superior",D4896&gt;$B$10),AND($B$9="inferior",D4896&lt;-$B$10)),"Rechazar H0","No rechazar H0")</f>
        <v>No rechazar H0</v>
      </c>
      <c r="F4896" s="0" t="str">
        <f aca="false">IF(AND(B4896="H0 verdadera",E4896="Rechazar H0"),"Error tipo I",IF(AND(B4896="Ha verdadera",E4896="No rechazar H0"),"Error tipo II","Decisión correcta"))</f>
        <v>Decisión correcta</v>
      </c>
    </row>
    <row r="4897" customFormat="false" ht="15" hidden="false" customHeight="false" outlineLevel="0" collapsed="false">
      <c r="A4897" s="0" t="n">
        <v>4876</v>
      </c>
      <c r="B4897" s="0" t="s">
        <v>85</v>
      </c>
      <c r="C4897" s="17" t="n">
        <v>0.0824439005180091</v>
      </c>
      <c r="D4897" s="17" t="n">
        <f aca="false">(C4897-$B$4)/($B$6/SQRT($B$7))</f>
        <v>0.412219502590045</v>
      </c>
      <c r="E4897" s="0" t="str">
        <f aca="false">IF(OR(AND($B$9="superior",D4897&gt;$B$10),AND($B$9="inferior",D4897&lt;-$B$10)),"Rechazar H0","No rechazar H0")</f>
        <v>No rechazar H0</v>
      </c>
      <c r="F4897" s="0" t="str">
        <f aca="false">IF(AND(B4897="H0 verdadera",E4897="Rechazar H0"),"Error tipo I",IF(AND(B4897="Ha verdadera",E4897="No rechazar H0"),"Error tipo II","Decisión correcta"))</f>
        <v>Decisión correcta</v>
      </c>
    </row>
    <row r="4898" customFormat="false" ht="15" hidden="false" customHeight="false" outlineLevel="0" collapsed="false">
      <c r="A4898" s="0" t="n">
        <v>4877</v>
      </c>
      <c r="B4898" s="0" t="s">
        <v>86</v>
      </c>
      <c r="C4898" s="17" t="n">
        <v>-0.115712367742031</v>
      </c>
      <c r="D4898" s="17" t="n">
        <f aca="false">(C4898-$B$4)/($B$6/SQRT($B$7))</f>
        <v>-0.578561838710153</v>
      </c>
      <c r="E4898" s="0" t="str">
        <f aca="false">IF(OR(AND($B$9="superior",D4898&gt;$B$10),AND($B$9="inferior",D4898&lt;-$B$10)),"Rechazar H0","No rechazar H0")</f>
        <v>No rechazar H0</v>
      </c>
      <c r="F4898" s="0" t="str">
        <f aca="false">IF(AND(B4898="H0 verdadera",E4898="Rechazar H0"),"Error tipo I",IF(AND(B4898="Ha verdadera",E4898="No rechazar H0"),"Error tipo II","Decisión correcta"))</f>
        <v>Error tipo II</v>
      </c>
    </row>
    <row r="4899" customFormat="false" ht="15" hidden="false" customHeight="false" outlineLevel="0" collapsed="false">
      <c r="A4899" s="0" t="n">
        <v>4878</v>
      </c>
      <c r="B4899" s="0" t="s">
        <v>86</v>
      </c>
      <c r="C4899" s="17" t="n">
        <v>-0.772150461631779</v>
      </c>
      <c r="D4899" s="17" t="n">
        <f aca="false">(C4899-$B$4)/($B$6/SQRT($B$7))</f>
        <v>-3.86075230815889</v>
      </c>
      <c r="E4899" s="0" t="str">
        <f aca="false">IF(OR(AND($B$9="superior",D4899&gt;$B$10),AND($B$9="inferior",D4899&lt;-$B$10)),"Rechazar H0","No rechazar H0")</f>
        <v>Rechazar H0</v>
      </c>
      <c r="F4899" s="0" t="str">
        <f aca="false">IF(AND(B4899="H0 verdadera",E4899="Rechazar H0"),"Error tipo I",IF(AND(B4899="Ha verdadera",E4899="No rechazar H0"),"Error tipo II","Decisión correcta"))</f>
        <v>Decisión correcta</v>
      </c>
    </row>
    <row r="4900" customFormat="false" ht="15" hidden="false" customHeight="false" outlineLevel="0" collapsed="false">
      <c r="A4900" s="0" t="n">
        <v>4879</v>
      </c>
      <c r="B4900" s="0" t="s">
        <v>86</v>
      </c>
      <c r="C4900" s="17" t="n">
        <v>-0.036813776528137</v>
      </c>
      <c r="D4900" s="17" t="n">
        <f aca="false">(C4900-$B$4)/($B$6/SQRT($B$7))</f>
        <v>-0.184068882640685</v>
      </c>
      <c r="E4900" s="0" t="str">
        <f aca="false">IF(OR(AND($B$9="superior",D4900&gt;$B$10),AND($B$9="inferior",D4900&lt;-$B$10)),"Rechazar H0","No rechazar H0")</f>
        <v>No rechazar H0</v>
      </c>
      <c r="F4900" s="0" t="str">
        <f aca="false">IF(AND(B4900="H0 verdadera",E4900="Rechazar H0"),"Error tipo I",IF(AND(B4900="Ha verdadera",E4900="No rechazar H0"),"Error tipo II","Decisión correcta"))</f>
        <v>Error tipo II</v>
      </c>
    </row>
    <row r="4901" customFormat="false" ht="15" hidden="false" customHeight="false" outlineLevel="0" collapsed="false">
      <c r="A4901" s="0" t="n">
        <v>4880</v>
      </c>
      <c r="B4901" s="0" t="s">
        <v>85</v>
      </c>
      <c r="C4901" s="17" t="n">
        <v>-0.0302077444299986</v>
      </c>
      <c r="D4901" s="17" t="n">
        <f aca="false">(C4901-$B$4)/($B$6/SQRT($B$7))</f>
        <v>-0.151038722149993</v>
      </c>
      <c r="E4901" s="0" t="str">
        <f aca="false">IF(OR(AND($B$9="superior",D4901&gt;$B$10),AND($B$9="inferior",D4901&lt;-$B$10)),"Rechazar H0","No rechazar H0")</f>
        <v>No rechazar H0</v>
      </c>
      <c r="F4901" s="0" t="str">
        <f aca="false">IF(AND(B4901="H0 verdadera",E4901="Rechazar H0"),"Error tipo I",IF(AND(B4901="Ha verdadera",E4901="No rechazar H0"),"Error tipo II","Decisión correcta"))</f>
        <v>Decisión correcta</v>
      </c>
    </row>
    <row r="4902" customFormat="false" ht="15" hidden="false" customHeight="false" outlineLevel="0" collapsed="false">
      <c r="A4902" s="0" t="n">
        <v>4881</v>
      </c>
      <c r="B4902" s="0" t="s">
        <v>86</v>
      </c>
      <c r="C4902" s="17" t="n">
        <v>-0.225074628651874</v>
      </c>
      <c r="D4902" s="17" t="n">
        <f aca="false">(C4902-$B$4)/($B$6/SQRT($B$7))</f>
        <v>-1.12537314325937</v>
      </c>
      <c r="E4902" s="0" t="str">
        <f aca="false">IF(OR(AND($B$9="superior",D4902&gt;$B$10),AND($B$9="inferior",D4902&lt;-$B$10)),"Rechazar H0","No rechazar H0")</f>
        <v>No rechazar H0</v>
      </c>
      <c r="F4902" s="0" t="str">
        <f aca="false">IF(AND(B4902="H0 verdadera",E4902="Rechazar H0"),"Error tipo I",IF(AND(B4902="Ha verdadera",E4902="No rechazar H0"),"Error tipo II","Decisión correcta"))</f>
        <v>Error tipo II</v>
      </c>
    </row>
    <row r="4903" customFormat="false" ht="15" hidden="false" customHeight="false" outlineLevel="0" collapsed="false">
      <c r="A4903" s="0" t="n">
        <v>4882</v>
      </c>
      <c r="B4903" s="0" t="s">
        <v>85</v>
      </c>
      <c r="C4903" s="17" t="n">
        <v>-0.336311160793844</v>
      </c>
      <c r="D4903" s="17" t="n">
        <f aca="false">(C4903-$B$4)/($B$6/SQRT($B$7))</f>
        <v>-1.68155580396922</v>
      </c>
      <c r="E4903" s="0" t="str">
        <f aca="false">IF(OR(AND($B$9="superior",D4903&gt;$B$10),AND($B$9="inferior",D4903&lt;-$B$10)),"Rechazar H0","No rechazar H0")</f>
        <v>Rechazar H0</v>
      </c>
      <c r="F4903" s="0" t="str">
        <f aca="false">IF(AND(B4903="H0 verdadera",E4903="Rechazar H0"),"Error tipo I",IF(AND(B4903="Ha verdadera",E4903="No rechazar H0"),"Error tipo II","Decisión correcta"))</f>
        <v>Error tipo I</v>
      </c>
    </row>
    <row r="4904" customFormat="false" ht="15" hidden="false" customHeight="false" outlineLevel="0" collapsed="false">
      <c r="A4904" s="0" t="n">
        <v>4883</v>
      </c>
      <c r="B4904" s="0" t="s">
        <v>86</v>
      </c>
      <c r="C4904" s="17" t="n">
        <v>-0.700997899292305</v>
      </c>
      <c r="D4904" s="17" t="n">
        <f aca="false">(C4904-$B$4)/($B$6/SQRT($B$7))</f>
        <v>-3.50498949646152</v>
      </c>
      <c r="E4904" s="0" t="str">
        <f aca="false">IF(OR(AND($B$9="superior",D4904&gt;$B$10),AND($B$9="inferior",D4904&lt;-$B$10)),"Rechazar H0","No rechazar H0")</f>
        <v>Rechazar H0</v>
      </c>
      <c r="F4904" s="0" t="str">
        <f aca="false">IF(AND(B4904="H0 verdadera",E4904="Rechazar H0"),"Error tipo I",IF(AND(B4904="Ha verdadera",E4904="No rechazar H0"),"Error tipo II","Decisión correcta"))</f>
        <v>Decisión correcta</v>
      </c>
    </row>
    <row r="4905" customFormat="false" ht="15" hidden="false" customHeight="false" outlineLevel="0" collapsed="false">
      <c r="A4905" s="0" t="n">
        <v>4884</v>
      </c>
      <c r="B4905" s="0" t="s">
        <v>85</v>
      </c>
      <c r="C4905" s="17" t="n">
        <v>-0.179029229892605</v>
      </c>
      <c r="D4905" s="17" t="n">
        <f aca="false">(C4905-$B$4)/($B$6/SQRT($B$7))</f>
        <v>-0.895146149463023</v>
      </c>
      <c r="E4905" s="0" t="str">
        <f aca="false">IF(OR(AND($B$9="superior",D4905&gt;$B$10),AND($B$9="inferior",D4905&lt;-$B$10)),"Rechazar H0","No rechazar H0")</f>
        <v>No rechazar H0</v>
      </c>
      <c r="F4905" s="0" t="str">
        <f aca="false">IF(AND(B4905="H0 verdadera",E4905="Rechazar H0"),"Error tipo I",IF(AND(B4905="Ha verdadera",E4905="No rechazar H0"),"Error tipo II","Decisión correcta"))</f>
        <v>Decisión correcta</v>
      </c>
    </row>
    <row r="4906" customFormat="false" ht="15" hidden="false" customHeight="false" outlineLevel="0" collapsed="false">
      <c r="A4906" s="0" t="n">
        <v>4885</v>
      </c>
      <c r="B4906" s="0" t="s">
        <v>86</v>
      </c>
      <c r="C4906" s="17" t="n">
        <v>-0.436956420918485</v>
      </c>
      <c r="D4906" s="17" t="n">
        <f aca="false">(C4906-$B$4)/($B$6/SQRT($B$7))</f>
        <v>-2.18478210459242</v>
      </c>
      <c r="E4906" s="0" t="str">
        <f aca="false">IF(OR(AND($B$9="superior",D4906&gt;$B$10),AND($B$9="inferior",D4906&lt;-$B$10)),"Rechazar H0","No rechazar H0")</f>
        <v>Rechazar H0</v>
      </c>
      <c r="F4906" s="0" t="str">
        <f aca="false">IF(AND(B4906="H0 verdadera",E4906="Rechazar H0"),"Error tipo I",IF(AND(B4906="Ha verdadera",E4906="No rechazar H0"),"Error tipo II","Decisión correcta"))</f>
        <v>Decisión correcta</v>
      </c>
    </row>
    <row r="4907" customFormat="false" ht="15" hidden="false" customHeight="false" outlineLevel="0" collapsed="false">
      <c r="A4907" s="0" t="n">
        <v>4886</v>
      </c>
      <c r="B4907" s="0" t="s">
        <v>86</v>
      </c>
      <c r="C4907" s="17" t="n">
        <v>-0.449697837641629</v>
      </c>
      <c r="D4907" s="17" t="n">
        <f aca="false">(C4907-$B$4)/($B$6/SQRT($B$7))</f>
        <v>-2.24848918820815</v>
      </c>
      <c r="E4907" s="0" t="str">
        <f aca="false">IF(OR(AND($B$9="superior",D4907&gt;$B$10),AND($B$9="inferior",D4907&lt;-$B$10)),"Rechazar H0","No rechazar H0")</f>
        <v>Rechazar H0</v>
      </c>
      <c r="F4907" s="0" t="str">
        <f aca="false">IF(AND(B4907="H0 verdadera",E4907="Rechazar H0"),"Error tipo I",IF(AND(B4907="Ha verdadera",E4907="No rechazar H0"),"Error tipo II","Decisión correcta"))</f>
        <v>Decisión correcta</v>
      </c>
    </row>
    <row r="4908" customFormat="false" ht="15" hidden="false" customHeight="false" outlineLevel="0" collapsed="false">
      <c r="A4908" s="0" t="n">
        <v>4887</v>
      </c>
      <c r="B4908" s="0" t="s">
        <v>85</v>
      </c>
      <c r="C4908" s="17" t="n">
        <v>-0.114945221608732</v>
      </c>
      <c r="D4908" s="17" t="n">
        <f aca="false">(C4908-$B$4)/($B$6/SQRT($B$7))</f>
        <v>-0.574726108043659</v>
      </c>
      <c r="E4908" s="0" t="str">
        <f aca="false">IF(OR(AND($B$9="superior",D4908&gt;$B$10),AND($B$9="inferior",D4908&lt;-$B$10)),"Rechazar H0","No rechazar H0")</f>
        <v>No rechazar H0</v>
      </c>
      <c r="F4908" s="0" t="str">
        <f aca="false">IF(AND(B4908="H0 verdadera",E4908="Rechazar H0"),"Error tipo I",IF(AND(B4908="Ha verdadera",E4908="No rechazar H0"),"Error tipo II","Decisión correcta"))</f>
        <v>Decisión correcta</v>
      </c>
    </row>
    <row r="4909" customFormat="false" ht="15" hidden="false" customHeight="false" outlineLevel="0" collapsed="false">
      <c r="A4909" s="0" t="n">
        <v>4888</v>
      </c>
      <c r="B4909" s="0" t="s">
        <v>86</v>
      </c>
      <c r="C4909" s="17" t="n">
        <v>-0.340334055528419</v>
      </c>
      <c r="D4909" s="17" t="n">
        <f aca="false">(C4909-$B$4)/($B$6/SQRT($B$7))</f>
        <v>-1.70167027764209</v>
      </c>
      <c r="E4909" s="0" t="str">
        <f aca="false">IF(OR(AND($B$9="superior",D4909&gt;$B$10),AND($B$9="inferior",D4909&lt;-$B$10)),"Rechazar H0","No rechazar H0")</f>
        <v>Rechazar H0</v>
      </c>
      <c r="F4909" s="0" t="str">
        <f aca="false">IF(AND(B4909="H0 verdadera",E4909="Rechazar H0"),"Error tipo I",IF(AND(B4909="Ha verdadera",E4909="No rechazar H0"),"Error tipo II","Decisión correcta"))</f>
        <v>Decisión correcta</v>
      </c>
    </row>
    <row r="4910" customFormat="false" ht="15" hidden="false" customHeight="false" outlineLevel="0" collapsed="false">
      <c r="A4910" s="0" t="n">
        <v>4889</v>
      </c>
      <c r="B4910" s="0" t="s">
        <v>85</v>
      </c>
      <c r="C4910" s="17" t="n">
        <v>0.301347801589289</v>
      </c>
      <c r="D4910" s="17" t="n">
        <f aca="false">(C4910-$B$4)/($B$6/SQRT($B$7))</f>
        <v>1.50673900794644</v>
      </c>
      <c r="E4910" s="0" t="str">
        <f aca="false">IF(OR(AND($B$9="superior",D4910&gt;$B$10),AND($B$9="inferior",D4910&lt;-$B$10)),"Rechazar H0","No rechazar H0")</f>
        <v>No rechazar H0</v>
      </c>
      <c r="F4910" s="0" t="str">
        <f aca="false">IF(AND(B4910="H0 verdadera",E4910="Rechazar H0"),"Error tipo I",IF(AND(B4910="Ha verdadera",E4910="No rechazar H0"),"Error tipo II","Decisión correcta"))</f>
        <v>Decisión correcta</v>
      </c>
    </row>
    <row r="4911" customFormat="false" ht="15" hidden="false" customHeight="false" outlineLevel="0" collapsed="false">
      <c r="A4911" s="0" t="n">
        <v>4890</v>
      </c>
      <c r="B4911" s="0" t="s">
        <v>86</v>
      </c>
      <c r="C4911" s="17" t="n">
        <v>-0.50745684879443</v>
      </c>
      <c r="D4911" s="17" t="n">
        <f aca="false">(C4911-$B$4)/($B$6/SQRT($B$7))</f>
        <v>-2.53728424397215</v>
      </c>
      <c r="E4911" s="0" t="str">
        <f aca="false">IF(OR(AND($B$9="superior",D4911&gt;$B$10),AND($B$9="inferior",D4911&lt;-$B$10)),"Rechazar H0","No rechazar H0")</f>
        <v>Rechazar H0</v>
      </c>
      <c r="F4911" s="0" t="str">
        <f aca="false">IF(AND(B4911="H0 verdadera",E4911="Rechazar H0"),"Error tipo I",IF(AND(B4911="Ha verdadera",E4911="No rechazar H0"),"Error tipo II","Decisión correcta"))</f>
        <v>Decisión correcta</v>
      </c>
    </row>
    <row r="4912" customFormat="false" ht="15" hidden="false" customHeight="false" outlineLevel="0" collapsed="false">
      <c r="A4912" s="0" t="n">
        <v>4891</v>
      </c>
      <c r="B4912" s="0" t="s">
        <v>85</v>
      </c>
      <c r="C4912" s="17" t="n">
        <v>0.062107292776402</v>
      </c>
      <c r="D4912" s="17" t="n">
        <f aca="false">(C4912-$B$4)/($B$6/SQRT($B$7))</f>
        <v>0.31053646388201</v>
      </c>
      <c r="E4912" s="0" t="str">
        <f aca="false">IF(OR(AND($B$9="superior",D4912&gt;$B$10),AND($B$9="inferior",D4912&lt;-$B$10)),"Rechazar H0","No rechazar H0")</f>
        <v>No rechazar H0</v>
      </c>
      <c r="F4912" s="0" t="str">
        <f aca="false">IF(AND(B4912="H0 verdadera",E4912="Rechazar H0"),"Error tipo I",IF(AND(B4912="Ha verdadera",E4912="No rechazar H0"),"Error tipo II","Decisión correcta"))</f>
        <v>Decisión correcta</v>
      </c>
    </row>
    <row r="4913" customFormat="false" ht="15" hidden="false" customHeight="false" outlineLevel="0" collapsed="false">
      <c r="A4913" s="0" t="n">
        <v>4892</v>
      </c>
      <c r="B4913" s="0" t="s">
        <v>85</v>
      </c>
      <c r="C4913" s="17" t="n">
        <v>0.101292312338921</v>
      </c>
      <c r="D4913" s="17" t="n">
        <f aca="false">(C4913-$B$4)/($B$6/SQRT($B$7))</f>
        <v>0.506461561694603</v>
      </c>
      <c r="E4913" s="0" t="str">
        <f aca="false">IF(OR(AND($B$9="superior",D4913&gt;$B$10),AND($B$9="inferior",D4913&lt;-$B$10)),"Rechazar H0","No rechazar H0")</f>
        <v>No rechazar H0</v>
      </c>
      <c r="F4913" s="0" t="str">
        <f aca="false">IF(AND(B4913="H0 verdadera",E4913="Rechazar H0"),"Error tipo I",IF(AND(B4913="Ha verdadera",E4913="No rechazar H0"),"Error tipo II","Decisión correcta"))</f>
        <v>Decisión correcta</v>
      </c>
    </row>
    <row r="4914" customFormat="false" ht="15" hidden="false" customHeight="false" outlineLevel="0" collapsed="false">
      <c r="A4914" s="0" t="n">
        <v>4893</v>
      </c>
      <c r="B4914" s="0" t="s">
        <v>86</v>
      </c>
      <c r="C4914" s="17" t="n">
        <v>-0.54695076965785</v>
      </c>
      <c r="D4914" s="17" t="n">
        <f aca="false">(C4914-$B$4)/($B$6/SQRT($B$7))</f>
        <v>-2.73475384828925</v>
      </c>
      <c r="E4914" s="0" t="str">
        <f aca="false">IF(OR(AND($B$9="superior",D4914&gt;$B$10),AND($B$9="inferior",D4914&lt;-$B$10)),"Rechazar H0","No rechazar H0")</f>
        <v>Rechazar H0</v>
      </c>
      <c r="F4914" s="0" t="str">
        <f aca="false">IF(AND(B4914="H0 verdadera",E4914="Rechazar H0"),"Error tipo I",IF(AND(B4914="Ha verdadera",E4914="No rechazar H0"),"Error tipo II","Decisión correcta"))</f>
        <v>Decisión correcta</v>
      </c>
    </row>
    <row r="4915" customFormat="false" ht="15" hidden="false" customHeight="false" outlineLevel="0" collapsed="false">
      <c r="A4915" s="0" t="n">
        <v>4894</v>
      </c>
      <c r="B4915" s="0" t="s">
        <v>85</v>
      </c>
      <c r="C4915" s="17" t="n">
        <v>0.151941214860627</v>
      </c>
      <c r="D4915" s="17" t="n">
        <f aca="false">(C4915-$B$4)/($B$6/SQRT($B$7))</f>
        <v>0.759706074303137</v>
      </c>
      <c r="E4915" s="0" t="str">
        <f aca="false">IF(OR(AND($B$9="superior",D4915&gt;$B$10),AND($B$9="inferior",D4915&lt;-$B$10)),"Rechazar H0","No rechazar H0")</f>
        <v>No rechazar H0</v>
      </c>
      <c r="F4915" s="0" t="str">
        <f aca="false">IF(AND(B4915="H0 verdadera",E4915="Rechazar H0"),"Error tipo I",IF(AND(B4915="Ha verdadera",E4915="No rechazar H0"),"Error tipo II","Decisión correcta"))</f>
        <v>Decisión correcta</v>
      </c>
    </row>
    <row r="4916" customFormat="false" ht="15" hidden="false" customHeight="false" outlineLevel="0" collapsed="false">
      <c r="A4916" s="0" t="n">
        <v>4895</v>
      </c>
      <c r="B4916" s="0" t="s">
        <v>86</v>
      </c>
      <c r="C4916" s="17" t="n">
        <v>-0.490831738957523</v>
      </c>
      <c r="D4916" s="17" t="n">
        <f aca="false">(C4916-$B$4)/($B$6/SQRT($B$7))</f>
        <v>-2.45415869478762</v>
      </c>
      <c r="E4916" s="0" t="str">
        <f aca="false">IF(OR(AND($B$9="superior",D4916&gt;$B$10),AND($B$9="inferior",D4916&lt;-$B$10)),"Rechazar H0","No rechazar H0")</f>
        <v>Rechazar H0</v>
      </c>
      <c r="F4916" s="0" t="str">
        <f aca="false">IF(AND(B4916="H0 verdadera",E4916="Rechazar H0"),"Error tipo I",IF(AND(B4916="Ha verdadera",E4916="No rechazar H0"),"Error tipo II","Decisión correcta"))</f>
        <v>Decisión correcta</v>
      </c>
    </row>
    <row r="4917" customFormat="false" ht="15" hidden="false" customHeight="false" outlineLevel="0" collapsed="false">
      <c r="A4917" s="0" t="n">
        <v>4896</v>
      </c>
      <c r="B4917" s="0" t="s">
        <v>85</v>
      </c>
      <c r="C4917" s="17" t="n">
        <v>-0.257096232937285</v>
      </c>
      <c r="D4917" s="17" t="n">
        <f aca="false">(C4917-$B$4)/($B$6/SQRT($B$7))</f>
        <v>-1.28548116468642</v>
      </c>
      <c r="E4917" s="0" t="str">
        <f aca="false">IF(OR(AND($B$9="superior",D4917&gt;$B$10),AND($B$9="inferior",D4917&lt;-$B$10)),"Rechazar H0","No rechazar H0")</f>
        <v>No rechazar H0</v>
      </c>
      <c r="F4917" s="0" t="str">
        <f aca="false">IF(AND(B4917="H0 verdadera",E4917="Rechazar H0"),"Error tipo I",IF(AND(B4917="Ha verdadera",E4917="No rechazar H0"),"Error tipo II","Decisión correcta"))</f>
        <v>Decisión correcta</v>
      </c>
    </row>
    <row r="4918" customFormat="false" ht="15" hidden="false" customHeight="false" outlineLevel="0" collapsed="false">
      <c r="A4918" s="0" t="n">
        <v>4897</v>
      </c>
      <c r="B4918" s="0" t="s">
        <v>86</v>
      </c>
      <c r="C4918" s="17" t="n">
        <v>-0.44604089590888</v>
      </c>
      <c r="D4918" s="17" t="n">
        <f aca="false">(C4918-$B$4)/($B$6/SQRT($B$7))</f>
        <v>-2.2302044795444</v>
      </c>
      <c r="E4918" s="0" t="str">
        <f aca="false">IF(OR(AND($B$9="superior",D4918&gt;$B$10),AND($B$9="inferior",D4918&lt;-$B$10)),"Rechazar H0","No rechazar H0")</f>
        <v>Rechazar H0</v>
      </c>
      <c r="F4918" s="0" t="str">
        <f aca="false">IF(AND(B4918="H0 verdadera",E4918="Rechazar H0"),"Error tipo I",IF(AND(B4918="Ha verdadera",E4918="No rechazar H0"),"Error tipo II","Decisión correcta"))</f>
        <v>Decisión correcta</v>
      </c>
    </row>
    <row r="4919" customFormat="false" ht="15" hidden="false" customHeight="false" outlineLevel="0" collapsed="false">
      <c r="A4919" s="0" t="n">
        <v>4898</v>
      </c>
      <c r="B4919" s="0" t="s">
        <v>85</v>
      </c>
      <c r="C4919" s="17" t="n">
        <v>0.17279225757064</v>
      </c>
      <c r="D4919" s="17" t="n">
        <f aca="false">(C4919-$B$4)/($B$6/SQRT($B$7))</f>
        <v>0.8639612878532</v>
      </c>
      <c r="E4919" s="0" t="str">
        <f aca="false">IF(OR(AND($B$9="superior",D4919&gt;$B$10),AND($B$9="inferior",D4919&lt;-$B$10)),"Rechazar H0","No rechazar H0")</f>
        <v>No rechazar H0</v>
      </c>
      <c r="F4919" s="0" t="str">
        <f aca="false">IF(AND(B4919="H0 verdadera",E4919="Rechazar H0"),"Error tipo I",IF(AND(B4919="Ha verdadera",E4919="No rechazar H0"),"Error tipo II","Decisión correcta"))</f>
        <v>Decisión correcta</v>
      </c>
    </row>
    <row r="4920" customFormat="false" ht="15" hidden="false" customHeight="false" outlineLevel="0" collapsed="false">
      <c r="A4920" s="0" t="n">
        <v>4899</v>
      </c>
      <c r="B4920" s="0" t="s">
        <v>86</v>
      </c>
      <c r="C4920" s="17" t="n">
        <v>-0.543307996984866</v>
      </c>
      <c r="D4920" s="17" t="n">
        <f aca="false">(C4920-$B$4)/($B$6/SQRT($B$7))</f>
        <v>-2.71653998492433</v>
      </c>
      <c r="E4920" s="0" t="str">
        <f aca="false">IF(OR(AND($B$9="superior",D4920&gt;$B$10),AND($B$9="inferior",D4920&lt;-$B$10)),"Rechazar H0","No rechazar H0")</f>
        <v>Rechazar H0</v>
      </c>
      <c r="F4920" s="0" t="str">
        <f aca="false">IF(AND(B4920="H0 verdadera",E4920="Rechazar H0"),"Error tipo I",IF(AND(B4920="Ha verdadera",E4920="No rechazar H0"),"Error tipo II","Decisión correcta"))</f>
        <v>Decisión correcta</v>
      </c>
    </row>
    <row r="4921" customFormat="false" ht="15" hidden="false" customHeight="false" outlineLevel="0" collapsed="false">
      <c r="A4921" s="0" t="n">
        <v>4900</v>
      </c>
      <c r="B4921" s="0" t="s">
        <v>86</v>
      </c>
      <c r="C4921" s="17" t="n">
        <v>-0.32927807812337</v>
      </c>
      <c r="D4921" s="17" t="n">
        <f aca="false">(C4921-$B$4)/($B$6/SQRT($B$7))</f>
        <v>-1.64639039061685</v>
      </c>
      <c r="E4921" s="0" t="str">
        <f aca="false">IF(OR(AND($B$9="superior",D4921&gt;$B$10),AND($B$9="inferior",D4921&lt;-$B$10)),"Rechazar H0","No rechazar H0")</f>
        <v>Rechazar H0</v>
      </c>
      <c r="F4921" s="0" t="str">
        <f aca="false">IF(AND(B4921="H0 verdadera",E4921="Rechazar H0"),"Error tipo I",IF(AND(B4921="Ha verdadera",E4921="No rechazar H0"),"Error tipo II","Decisión correcta"))</f>
        <v>Decisión correcta</v>
      </c>
    </row>
    <row r="4922" customFormat="false" ht="15" hidden="false" customHeight="false" outlineLevel="0" collapsed="false">
      <c r="A4922" s="0" t="n">
        <v>4901</v>
      </c>
      <c r="B4922" s="0" t="s">
        <v>86</v>
      </c>
      <c r="C4922" s="17" t="n">
        <v>-0.281294362922306</v>
      </c>
      <c r="D4922" s="17" t="n">
        <f aca="false">(C4922-$B$4)/($B$6/SQRT($B$7))</f>
        <v>-1.40647181461153</v>
      </c>
      <c r="E4922" s="0" t="str">
        <f aca="false">IF(OR(AND($B$9="superior",D4922&gt;$B$10),AND($B$9="inferior",D4922&lt;-$B$10)),"Rechazar H0","No rechazar H0")</f>
        <v>No rechazar H0</v>
      </c>
      <c r="F4922" s="0" t="str">
        <f aca="false">IF(AND(B4922="H0 verdadera",E4922="Rechazar H0"),"Error tipo I",IF(AND(B4922="Ha verdadera",E4922="No rechazar H0"),"Error tipo II","Decisión correcta"))</f>
        <v>Error tipo II</v>
      </c>
    </row>
    <row r="4923" customFormat="false" ht="15" hidden="false" customHeight="false" outlineLevel="0" collapsed="false">
      <c r="A4923" s="0" t="n">
        <v>4902</v>
      </c>
      <c r="B4923" s="0" t="s">
        <v>85</v>
      </c>
      <c r="C4923" s="17" t="n">
        <v>0.0596939237435026</v>
      </c>
      <c r="D4923" s="17" t="n">
        <f aca="false">(C4923-$B$4)/($B$6/SQRT($B$7))</f>
        <v>0.298469618717513</v>
      </c>
      <c r="E4923" s="0" t="str">
        <f aca="false">IF(OR(AND($B$9="superior",D4923&gt;$B$10),AND($B$9="inferior",D4923&lt;-$B$10)),"Rechazar H0","No rechazar H0")</f>
        <v>No rechazar H0</v>
      </c>
      <c r="F4923" s="0" t="str">
        <f aca="false">IF(AND(B4923="H0 verdadera",E4923="Rechazar H0"),"Error tipo I",IF(AND(B4923="Ha verdadera",E4923="No rechazar H0"),"Error tipo II","Decisión correcta"))</f>
        <v>Decisión correcta</v>
      </c>
    </row>
    <row r="4924" customFormat="false" ht="15" hidden="false" customHeight="false" outlineLevel="0" collapsed="false">
      <c r="A4924" s="0" t="n">
        <v>4903</v>
      </c>
      <c r="B4924" s="0" t="s">
        <v>85</v>
      </c>
      <c r="C4924" s="17" t="n">
        <v>0.18915313500009</v>
      </c>
      <c r="D4924" s="17" t="n">
        <f aca="false">(C4924-$B$4)/($B$6/SQRT($B$7))</f>
        <v>0.945765675000448</v>
      </c>
      <c r="E4924" s="0" t="str">
        <f aca="false">IF(OR(AND($B$9="superior",D4924&gt;$B$10),AND($B$9="inferior",D4924&lt;-$B$10)),"Rechazar H0","No rechazar H0")</f>
        <v>No rechazar H0</v>
      </c>
      <c r="F4924" s="0" t="str">
        <f aca="false">IF(AND(B4924="H0 verdadera",E4924="Rechazar H0"),"Error tipo I",IF(AND(B4924="Ha verdadera",E4924="No rechazar H0"),"Error tipo II","Decisión correcta"))</f>
        <v>Decisión correcta</v>
      </c>
    </row>
    <row r="4925" customFormat="false" ht="15" hidden="false" customHeight="false" outlineLevel="0" collapsed="false">
      <c r="A4925" s="0" t="n">
        <v>4904</v>
      </c>
      <c r="B4925" s="0" t="s">
        <v>86</v>
      </c>
      <c r="C4925" s="17" t="n">
        <v>-0.664724157635009</v>
      </c>
      <c r="D4925" s="17" t="n">
        <f aca="false">(C4925-$B$4)/($B$6/SQRT($B$7))</f>
        <v>-3.32362078817505</v>
      </c>
      <c r="E4925" s="0" t="str">
        <f aca="false">IF(OR(AND($B$9="superior",D4925&gt;$B$10),AND($B$9="inferior",D4925&lt;-$B$10)),"Rechazar H0","No rechazar H0")</f>
        <v>Rechazar H0</v>
      </c>
      <c r="F4925" s="0" t="str">
        <f aca="false">IF(AND(B4925="H0 verdadera",E4925="Rechazar H0"),"Error tipo I",IF(AND(B4925="Ha verdadera",E4925="No rechazar H0"),"Error tipo II","Decisión correcta"))</f>
        <v>Decisión correcta</v>
      </c>
    </row>
    <row r="4926" customFormat="false" ht="15" hidden="false" customHeight="false" outlineLevel="0" collapsed="false">
      <c r="A4926" s="0" t="n">
        <v>4905</v>
      </c>
      <c r="B4926" s="0" t="s">
        <v>86</v>
      </c>
      <c r="C4926" s="17" t="n">
        <v>-0.151406331915012</v>
      </c>
      <c r="D4926" s="17" t="n">
        <f aca="false">(C4926-$B$4)/($B$6/SQRT($B$7))</f>
        <v>-0.757031659575057</v>
      </c>
      <c r="E4926" s="0" t="str">
        <f aca="false">IF(OR(AND($B$9="superior",D4926&gt;$B$10),AND($B$9="inferior",D4926&lt;-$B$10)),"Rechazar H0","No rechazar H0")</f>
        <v>No rechazar H0</v>
      </c>
      <c r="F4926" s="0" t="str">
        <f aca="false">IF(AND(B4926="H0 verdadera",E4926="Rechazar H0"),"Error tipo I",IF(AND(B4926="Ha verdadera",E4926="No rechazar H0"),"Error tipo II","Decisión correcta"))</f>
        <v>Error tipo II</v>
      </c>
    </row>
    <row r="4927" customFormat="false" ht="15" hidden="false" customHeight="false" outlineLevel="0" collapsed="false">
      <c r="A4927" s="0" t="n">
        <v>4906</v>
      </c>
      <c r="B4927" s="0" t="s">
        <v>86</v>
      </c>
      <c r="C4927" s="17" t="n">
        <v>-0.518439475712248</v>
      </c>
      <c r="D4927" s="17" t="n">
        <f aca="false">(C4927-$B$4)/($B$6/SQRT($B$7))</f>
        <v>-2.59219737856124</v>
      </c>
      <c r="E4927" s="0" t="str">
        <f aca="false">IF(OR(AND($B$9="superior",D4927&gt;$B$10),AND($B$9="inferior",D4927&lt;-$B$10)),"Rechazar H0","No rechazar H0")</f>
        <v>Rechazar H0</v>
      </c>
      <c r="F4927" s="0" t="str">
        <f aca="false">IF(AND(B4927="H0 verdadera",E4927="Rechazar H0"),"Error tipo I",IF(AND(B4927="Ha verdadera",E4927="No rechazar H0"),"Error tipo II","Decisión correcta"))</f>
        <v>Decisión correcta</v>
      </c>
    </row>
    <row r="4928" customFormat="false" ht="15" hidden="false" customHeight="false" outlineLevel="0" collapsed="false">
      <c r="A4928" s="0" t="n">
        <v>4907</v>
      </c>
      <c r="B4928" s="0" t="s">
        <v>86</v>
      </c>
      <c r="C4928" s="17" t="n">
        <v>-0.0240296662832677</v>
      </c>
      <c r="D4928" s="17" t="n">
        <f aca="false">(C4928-$B$4)/($B$6/SQRT($B$7))</f>
        <v>-0.120148331416339</v>
      </c>
      <c r="E4928" s="0" t="str">
        <f aca="false">IF(OR(AND($B$9="superior",D4928&gt;$B$10),AND($B$9="inferior",D4928&lt;-$B$10)),"Rechazar H0","No rechazar H0")</f>
        <v>No rechazar H0</v>
      </c>
      <c r="F4928" s="0" t="str">
        <f aca="false">IF(AND(B4928="H0 verdadera",E4928="Rechazar H0"),"Error tipo I",IF(AND(B4928="Ha verdadera",E4928="No rechazar H0"),"Error tipo II","Decisión correcta"))</f>
        <v>Error tipo II</v>
      </c>
    </row>
    <row r="4929" customFormat="false" ht="15" hidden="false" customHeight="false" outlineLevel="0" collapsed="false">
      <c r="A4929" s="0" t="n">
        <v>4908</v>
      </c>
      <c r="B4929" s="0" t="s">
        <v>85</v>
      </c>
      <c r="C4929" s="17" t="n">
        <v>-0.180433075335874</v>
      </c>
      <c r="D4929" s="17" t="n">
        <f aca="false">(C4929-$B$4)/($B$6/SQRT($B$7))</f>
        <v>-0.902165376679372</v>
      </c>
      <c r="E4929" s="0" t="str">
        <f aca="false">IF(OR(AND($B$9="superior",D4929&gt;$B$10),AND($B$9="inferior",D4929&lt;-$B$10)),"Rechazar H0","No rechazar H0")</f>
        <v>No rechazar H0</v>
      </c>
      <c r="F4929" s="0" t="str">
        <f aca="false">IF(AND(B4929="H0 verdadera",E4929="Rechazar H0"),"Error tipo I",IF(AND(B4929="Ha verdadera",E4929="No rechazar H0"),"Error tipo II","Decisión correcta"))</f>
        <v>Decisión correcta</v>
      </c>
    </row>
    <row r="4930" customFormat="false" ht="15" hidden="false" customHeight="false" outlineLevel="0" collapsed="false">
      <c r="A4930" s="0" t="n">
        <v>4909</v>
      </c>
      <c r="B4930" s="0" t="s">
        <v>86</v>
      </c>
      <c r="C4930" s="17" t="n">
        <v>-0.224457443730437</v>
      </c>
      <c r="D4930" s="17" t="n">
        <f aca="false">(C4930-$B$4)/($B$6/SQRT($B$7))</f>
        <v>-1.12228721865218</v>
      </c>
      <c r="E4930" s="0" t="str">
        <f aca="false">IF(OR(AND($B$9="superior",D4930&gt;$B$10),AND($B$9="inferior",D4930&lt;-$B$10)),"Rechazar H0","No rechazar H0")</f>
        <v>No rechazar H0</v>
      </c>
      <c r="F4930" s="0" t="str">
        <f aca="false">IF(AND(B4930="H0 verdadera",E4930="Rechazar H0"),"Error tipo I",IF(AND(B4930="Ha verdadera",E4930="No rechazar H0"),"Error tipo II","Decisión correcta"))</f>
        <v>Error tipo II</v>
      </c>
    </row>
    <row r="4931" customFormat="false" ht="15" hidden="false" customHeight="false" outlineLevel="0" collapsed="false">
      <c r="A4931" s="0" t="n">
        <v>4910</v>
      </c>
      <c r="B4931" s="0" t="s">
        <v>86</v>
      </c>
      <c r="C4931" s="17" t="n">
        <v>-0.16757643821323</v>
      </c>
      <c r="D4931" s="17" t="n">
        <f aca="false">(C4931-$B$4)/($B$6/SQRT($B$7))</f>
        <v>-0.83788219106615</v>
      </c>
      <c r="E4931" s="0" t="str">
        <f aca="false">IF(OR(AND($B$9="superior",D4931&gt;$B$10),AND($B$9="inferior",D4931&lt;-$B$10)),"Rechazar H0","No rechazar H0")</f>
        <v>No rechazar H0</v>
      </c>
      <c r="F4931" s="0" t="str">
        <f aca="false">IF(AND(B4931="H0 verdadera",E4931="Rechazar H0"),"Error tipo I",IF(AND(B4931="Ha verdadera",E4931="No rechazar H0"),"Error tipo II","Decisión correcta"))</f>
        <v>Error tipo II</v>
      </c>
    </row>
    <row r="4932" customFormat="false" ht="15" hidden="false" customHeight="false" outlineLevel="0" collapsed="false">
      <c r="A4932" s="0" t="n">
        <v>4911</v>
      </c>
      <c r="B4932" s="0" t="s">
        <v>86</v>
      </c>
      <c r="C4932" s="17" t="n">
        <v>-0.390686371928001</v>
      </c>
      <c r="D4932" s="17" t="n">
        <f aca="false">(C4932-$B$4)/($B$6/SQRT($B$7))</f>
        <v>-1.95343185964</v>
      </c>
      <c r="E4932" s="0" t="str">
        <f aca="false">IF(OR(AND($B$9="superior",D4932&gt;$B$10),AND($B$9="inferior",D4932&lt;-$B$10)),"Rechazar H0","No rechazar H0")</f>
        <v>Rechazar H0</v>
      </c>
      <c r="F4932" s="0" t="str">
        <f aca="false">IF(AND(B4932="H0 verdadera",E4932="Rechazar H0"),"Error tipo I",IF(AND(B4932="Ha verdadera",E4932="No rechazar H0"),"Error tipo II","Decisión correcta"))</f>
        <v>Decisión correcta</v>
      </c>
    </row>
    <row r="4933" customFormat="false" ht="15" hidden="false" customHeight="false" outlineLevel="0" collapsed="false">
      <c r="A4933" s="0" t="n">
        <v>4912</v>
      </c>
      <c r="B4933" s="0" t="s">
        <v>85</v>
      </c>
      <c r="C4933" s="17" t="n">
        <v>0.070234847879458</v>
      </c>
      <c r="D4933" s="17" t="n">
        <f aca="false">(C4933-$B$4)/($B$6/SQRT($B$7))</f>
        <v>0.35117423939729</v>
      </c>
      <c r="E4933" s="0" t="str">
        <f aca="false">IF(OR(AND($B$9="superior",D4933&gt;$B$10),AND($B$9="inferior",D4933&lt;-$B$10)),"Rechazar H0","No rechazar H0")</f>
        <v>No rechazar H0</v>
      </c>
      <c r="F4933" s="0" t="str">
        <f aca="false">IF(AND(B4933="H0 verdadera",E4933="Rechazar H0"),"Error tipo I",IF(AND(B4933="Ha verdadera",E4933="No rechazar H0"),"Error tipo II","Decisión correcta"))</f>
        <v>Decisión correcta</v>
      </c>
    </row>
    <row r="4934" customFormat="false" ht="15" hidden="false" customHeight="false" outlineLevel="0" collapsed="false">
      <c r="A4934" s="0" t="n">
        <v>4913</v>
      </c>
      <c r="B4934" s="0" t="s">
        <v>85</v>
      </c>
      <c r="C4934" s="17" t="n">
        <v>-0.0291661875251693</v>
      </c>
      <c r="D4934" s="17" t="n">
        <f aca="false">(C4934-$B$4)/($B$6/SQRT($B$7))</f>
        <v>-0.145830937625847</v>
      </c>
      <c r="E4934" s="0" t="str">
        <f aca="false">IF(OR(AND($B$9="superior",D4934&gt;$B$10),AND($B$9="inferior",D4934&lt;-$B$10)),"Rechazar H0","No rechazar H0")</f>
        <v>No rechazar H0</v>
      </c>
      <c r="F4934" s="0" t="str">
        <f aca="false">IF(AND(B4934="H0 verdadera",E4934="Rechazar H0"),"Error tipo I",IF(AND(B4934="Ha verdadera",E4934="No rechazar H0"),"Error tipo II","Decisión correcta"))</f>
        <v>Decisión correcta</v>
      </c>
    </row>
    <row r="4935" customFormat="false" ht="15" hidden="false" customHeight="false" outlineLevel="0" collapsed="false">
      <c r="A4935" s="0" t="n">
        <v>4914</v>
      </c>
      <c r="B4935" s="0" t="s">
        <v>86</v>
      </c>
      <c r="C4935" s="17" t="n">
        <v>-0.36638134059449</v>
      </c>
      <c r="D4935" s="17" t="n">
        <f aca="false">(C4935-$B$4)/($B$6/SQRT($B$7))</f>
        <v>-1.83190670297245</v>
      </c>
      <c r="E4935" s="0" t="str">
        <f aca="false">IF(OR(AND($B$9="superior",D4935&gt;$B$10),AND($B$9="inferior",D4935&lt;-$B$10)),"Rechazar H0","No rechazar H0")</f>
        <v>Rechazar H0</v>
      </c>
      <c r="F4935" s="0" t="str">
        <f aca="false">IF(AND(B4935="H0 verdadera",E4935="Rechazar H0"),"Error tipo I",IF(AND(B4935="Ha verdadera",E4935="No rechazar H0"),"Error tipo II","Decisión correcta"))</f>
        <v>Decisión correcta</v>
      </c>
    </row>
    <row r="4936" customFormat="false" ht="15" hidden="false" customHeight="false" outlineLevel="0" collapsed="false">
      <c r="A4936" s="0" t="n">
        <v>4915</v>
      </c>
      <c r="B4936" s="0" t="s">
        <v>86</v>
      </c>
      <c r="C4936" s="17" t="n">
        <v>-0.740676494693954</v>
      </c>
      <c r="D4936" s="17" t="n">
        <f aca="false">(C4936-$B$4)/($B$6/SQRT($B$7))</f>
        <v>-3.70338247346977</v>
      </c>
      <c r="E4936" s="0" t="str">
        <f aca="false">IF(OR(AND($B$9="superior",D4936&gt;$B$10),AND($B$9="inferior",D4936&lt;-$B$10)),"Rechazar H0","No rechazar H0")</f>
        <v>Rechazar H0</v>
      </c>
      <c r="F4936" s="0" t="str">
        <f aca="false">IF(AND(B4936="H0 verdadera",E4936="Rechazar H0"),"Error tipo I",IF(AND(B4936="Ha verdadera",E4936="No rechazar H0"),"Error tipo II","Decisión correcta"))</f>
        <v>Decisión correcta</v>
      </c>
    </row>
    <row r="4937" customFormat="false" ht="15" hidden="false" customHeight="false" outlineLevel="0" collapsed="false">
      <c r="A4937" s="0" t="n">
        <v>4916</v>
      </c>
      <c r="B4937" s="0" t="s">
        <v>86</v>
      </c>
      <c r="C4937" s="17" t="n">
        <v>-0.356975086181355</v>
      </c>
      <c r="D4937" s="17" t="n">
        <f aca="false">(C4937-$B$4)/($B$6/SQRT($B$7))</f>
        <v>-1.78487543090678</v>
      </c>
      <c r="E4937" s="0" t="str">
        <f aca="false">IF(OR(AND($B$9="superior",D4937&gt;$B$10),AND($B$9="inferior",D4937&lt;-$B$10)),"Rechazar H0","No rechazar H0")</f>
        <v>Rechazar H0</v>
      </c>
      <c r="F4937" s="0" t="str">
        <f aca="false">IF(AND(B4937="H0 verdadera",E4937="Rechazar H0"),"Error tipo I",IF(AND(B4937="Ha verdadera",E4937="No rechazar H0"),"Error tipo II","Decisión correcta"))</f>
        <v>Decisión correcta</v>
      </c>
    </row>
    <row r="4938" customFormat="false" ht="15" hidden="false" customHeight="false" outlineLevel="0" collapsed="false">
      <c r="A4938" s="0" t="n">
        <v>4917</v>
      </c>
      <c r="B4938" s="0" t="s">
        <v>85</v>
      </c>
      <c r="C4938" s="17" t="n">
        <v>-0.431138754110419</v>
      </c>
      <c r="D4938" s="17" t="n">
        <f aca="false">(C4938-$B$4)/($B$6/SQRT($B$7))</f>
        <v>-2.15569377055209</v>
      </c>
      <c r="E4938" s="0" t="str">
        <f aca="false">IF(OR(AND($B$9="superior",D4938&gt;$B$10),AND($B$9="inferior",D4938&lt;-$B$10)),"Rechazar H0","No rechazar H0")</f>
        <v>Rechazar H0</v>
      </c>
      <c r="F4938" s="0" t="str">
        <f aca="false">IF(AND(B4938="H0 verdadera",E4938="Rechazar H0"),"Error tipo I",IF(AND(B4938="Ha verdadera",E4938="No rechazar H0"),"Error tipo II","Decisión correcta"))</f>
        <v>Error tipo I</v>
      </c>
    </row>
    <row r="4939" customFormat="false" ht="15" hidden="false" customHeight="false" outlineLevel="0" collapsed="false">
      <c r="A4939" s="0" t="n">
        <v>4918</v>
      </c>
      <c r="B4939" s="0" t="s">
        <v>86</v>
      </c>
      <c r="C4939" s="17" t="n">
        <v>-0.032194090307306</v>
      </c>
      <c r="D4939" s="17" t="n">
        <f aca="false">(C4939-$B$4)/($B$6/SQRT($B$7))</f>
        <v>-0.16097045153653</v>
      </c>
      <c r="E4939" s="0" t="str">
        <f aca="false">IF(OR(AND($B$9="superior",D4939&gt;$B$10),AND($B$9="inferior",D4939&lt;-$B$10)),"Rechazar H0","No rechazar H0")</f>
        <v>No rechazar H0</v>
      </c>
      <c r="F4939" s="0" t="str">
        <f aca="false">IF(AND(B4939="H0 verdadera",E4939="Rechazar H0"),"Error tipo I",IF(AND(B4939="Ha verdadera",E4939="No rechazar H0"),"Error tipo II","Decisión correcta"))</f>
        <v>Error tipo II</v>
      </c>
    </row>
    <row r="4940" customFormat="false" ht="15" hidden="false" customHeight="false" outlineLevel="0" collapsed="false">
      <c r="A4940" s="0" t="n">
        <v>4919</v>
      </c>
      <c r="B4940" s="0" t="s">
        <v>85</v>
      </c>
      <c r="C4940" s="17" t="n">
        <v>-0.199532401769913</v>
      </c>
      <c r="D4940" s="17" t="n">
        <f aca="false">(C4940-$B$4)/($B$6/SQRT($B$7))</f>
        <v>-0.997662008849564</v>
      </c>
      <c r="E4940" s="0" t="str">
        <f aca="false">IF(OR(AND($B$9="superior",D4940&gt;$B$10),AND($B$9="inferior",D4940&lt;-$B$10)),"Rechazar H0","No rechazar H0")</f>
        <v>No rechazar H0</v>
      </c>
      <c r="F4940" s="0" t="str">
        <f aca="false">IF(AND(B4940="H0 verdadera",E4940="Rechazar H0"),"Error tipo I",IF(AND(B4940="Ha verdadera",E4940="No rechazar H0"),"Error tipo II","Decisión correcta"))</f>
        <v>Decisión correcta</v>
      </c>
    </row>
    <row r="4941" customFormat="false" ht="15" hidden="false" customHeight="false" outlineLevel="0" collapsed="false">
      <c r="A4941" s="0" t="n">
        <v>4920</v>
      </c>
      <c r="B4941" s="0" t="s">
        <v>85</v>
      </c>
      <c r="C4941" s="17" t="n">
        <v>0.399342362175303</v>
      </c>
      <c r="D4941" s="17" t="n">
        <f aca="false">(C4941-$B$4)/($B$6/SQRT($B$7))</f>
        <v>1.99671181087652</v>
      </c>
      <c r="E4941" s="0" t="str">
        <f aca="false">IF(OR(AND($B$9="superior",D4941&gt;$B$10),AND($B$9="inferior",D4941&lt;-$B$10)),"Rechazar H0","No rechazar H0")</f>
        <v>No rechazar H0</v>
      </c>
      <c r="F4941" s="0" t="str">
        <f aca="false">IF(AND(B4941="H0 verdadera",E4941="Rechazar H0"),"Error tipo I",IF(AND(B4941="Ha verdadera",E4941="No rechazar H0"),"Error tipo II","Decisión correcta"))</f>
        <v>Decisión correcta</v>
      </c>
    </row>
    <row r="4942" customFormat="false" ht="15" hidden="false" customHeight="false" outlineLevel="0" collapsed="false">
      <c r="A4942" s="0" t="n">
        <v>4921</v>
      </c>
      <c r="B4942" s="0" t="s">
        <v>85</v>
      </c>
      <c r="C4942" s="17" t="n">
        <v>-0.0723855982144427</v>
      </c>
      <c r="D4942" s="17" t="n">
        <f aca="false">(C4942-$B$4)/($B$6/SQRT($B$7))</f>
        <v>-0.361927991072213</v>
      </c>
      <c r="E4942" s="0" t="str">
        <f aca="false">IF(OR(AND($B$9="superior",D4942&gt;$B$10),AND($B$9="inferior",D4942&lt;-$B$10)),"Rechazar H0","No rechazar H0")</f>
        <v>No rechazar H0</v>
      </c>
      <c r="F4942" s="0" t="str">
        <f aca="false">IF(AND(B4942="H0 verdadera",E4942="Rechazar H0"),"Error tipo I",IF(AND(B4942="Ha verdadera",E4942="No rechazar H0"),"Error tipo II","Decisión correcta"))</f>
        <v>Decisión correcta</v>
      </c>
    </row>
    <row r="4943" customFormat="false" ht="15" hidden="false" customHeight="false" outlineLevel="0" collapsed="false">
      <c r="A4943" s="0" t="n">
        <v>4922</v>
      </c>
      <c r="B4943" s="0" t="s">
        <v>86</v>
      </c>
      <c r="C4943" s="17" t="n">
        <v>-0.513834122534327</v>
      </c>
      <c r="D4943" s="17" t="n">
        <f aca="false">(C4943-$B$4)/($B$6/SQRT($B$7))</f>
        <v>-2.56917061267164</v>
      </c>
      <c r="E4943" s="0" t="str">
        <f aca="false">IF(OR(AND($B$9="superior",D4943&gt;$B$10),AND($B$9="inferior",D4943&lt;-$B$10)),"Rechazar H0","No rechazar H0")</f>
        <v>Rechazar H0</v>
      </c>
      <c r="F4943" s="0" t="str">
        <f aca="false">IF(AND(B4943="H0 verdadera",E4943="Rechazar H0"),"Error tipo I",IF(AND(B4943="Ha verdadera",E4943="No rechazar H0"),"Error tipo II","Decisión correcta"))</f>
        <v>Decisión correcta</v>
      </c>
    </row>
    <row r="4944" customFormat="false" ht="15" hidden="false" customHeight="false" outlineLevel="0" collapsed="false">
      <c r="A4944" s="0" t="n">
        <v>4923</v>
      </c>
      <c r="B4944" s="0" t="s">
        <v>85</v>
      </c>
      <c r="C4944" s="17" t="n">
        <v>0.124899645332423</v>
      </c>
      <c r="D4944" s="17" t="n">
        <f aca="false">(C4944-$B$4)/($B$6/SQRT($B$7))</f>
        <v>0.624498226662114</v>
      </c>
      <c r="E4944" s="0" t="str">
        <f aca="false">IF(OR(AND($B$9="superior",D4944&gt;$B$10),AND($B$9="inferior",D4944&lt;-$B$10)),"Rechazar H0","No rechazar H0")</f>
        <v>No rechazar H0</v>
      </c>
      <c r="F4944" s="0" t="str">
        <f aca="false">IF(AND(B4944="H0 verdadera",E4944="Rechazar H0"),"Error tipo I",IF(AND(B4944="Ha verdadera",E4944="No rechazar H0"),"Error tipo II","Decisión correcta"))</f>
        <v>Decisión correcta</v>
      </c>
    </row>
    <row r="4945" customFormat="false" ht="15" hidden="false" customHeight="false" outlineLevel="0" collapsed="false">
      <c r="A4945" s="0" t="n">
        <v>4924</v>
      </c>
      <c r="B4945" s="0" t="s">
        <v>85</v>
      </c>
      <c r="C4945" s="17" t="n">
        <v>-0.488193567476618</v>
      </c>
      <c r="D4945" s="17" t="n">
        <f aca="false">(C4945-$B$4)/($B$6/SQRT($B$7))</f>
        <v>-2.44096783738309</v>
      </c>
      <c r="E4945" s="0" t="str">
        <f aca="false">IF(OR(AND($B$9="superior",D4945&gt;$B$10),AND($B$9="inferior",D4945&lt;-$B$10)),"Rechazar H0","No rechazar H0")</f>
        <v>Rechazar H0</v>
      </c>
      <c r="F4945" s="0" t="str">
        <f aca="false">IF(AND(B4945="H0 verdadera",E4945="Rechazar H0"),"Error tipo I",IF(AND(B4945="Ha verdadera",E4945="No rechazar H0"),"Error tipo II","Decisión correcta"))</f>
        <v>Error tipo I</v>
      </c>
    </row>
    <row r="4946" customFormat="false" ht="15" hidden="false" customHeight="false" outlineLevel="0" collapsed="false">
      <c r="A4946" s="0" t="n">
        <v>4925</v>
      </c>
      <c r="B4946" s="0" t="s">
        <v>85</v>
      </c>
      <c r="C4946" s="17" t="n">
        <v>-0.0896152426601167</v>
      </c>
      <c r="D4946" s="17" t="n">
        <f aca="false">(C4946-$B$4)/($B$6/SQRT($B$7))</f>
        <v>-0.448076213300583</v>
      </c>
      <c r="E4946" s="0" t="str">
        <f aca="false">IF(OR(AND($B$9="superior",D4946&gt;$B$10),AND($B$9="inferior",D4946&lt;-$B$10)),"Rechazar H0","No rechazar H0")</f>
        <v>No rechazar H0</v>
      </c>
      <c r="F4946" s="0" t="str">
        <f aca="false">IF(AND(B4946="H0 verdadera",E4946="Rechazar H0"),"Error tipo I",IF(AND(B4946="Ha verdadera",E4946="No rechazar H0"),"Error tipo II","Decisión correcta"))</f>
        <v>Decisión correcta</v>
      </c>
    </row>
    <row r="4947" customFormat="false" ht="15" hidden="false" customHeight="false" outlineLevel="0" collapsed="false">
      <c r="A4947" s="0" t="n">
        <v>4926</v>
      </c>
      <c r="B4947" s="0" t="s">
        <v>85</v>
      </c>
      <c r="C4947" s="17" t="n">
        <v>0.308701569573131</v>
      </c>
      <c r="D4947" s="17" t="n">
        <f aca="false">(C4947-$B$4)/($B$6/SQRT($B$7))</f>
        <v>1.54350784786566</v>
      </c>
      <c r="E4947" s="0" t="str">
        <f aca="false">IF(OR(AND($B$9="superior",D4947&gt;$B$10),AND($B$9="inferior",D4947&lt;-$B$10)),"Rechazar H0","No rechazar H0")</f>
        <v>No rechazar H0</v>
      </c>
      <c r="F4947" s="0" t="str">
        <f aca="false">IF(AND(B4947="H0 verdadera",E4947="Rechazar H0"),"Error tipo I",IF(AND(B4947="Ha verdadera",E4947="No rechazar H0"),"Error tipo II","Decisión correcta"))</f>
        <v>Decisión correcta</v>
      </c>
    </row>
    <row r="4948" customFormat="false" ht="15" hidden="false" customHeight="false" outlineLevel="0" collapsed="false">
      <c r="A4948" s="0" t="n">
        <v>4927</v>
      </c>
      <c r="B4948" s="0" t="s">
        <v>86</v>
      </c>
      <c r="C4948" s="17" t="n">
        <v>-0.740156348572572</v>
      </c>
      <c r="D4948" s="17" t="n">
        <f aca="false">(C4948-$B$4)/($B$6/SQRT($B$7))</f>
        <v>-3.70078174286286</v>
      </c>
      <c r="E4948" s="0" t="str">
        <f aca="false">IF(OR(AND($B$9="superior",D4948&gt;$B$10),AND($B$9="inferior",D4948&lt;-$B$10)),"Rechazar H0","No rechazar H0")</f>
        <v>Rechazar H0</v>
      </c>
      <c r="F4948" s="0" t="str">
        <f aca="false">IF(AND(B4948="H0 verdadera",E4948="Rechazar H0"),"Error tipo I",IF(AND(B4948="Ha verdadera",E4948="No rechazar H0"),"Error tipo II","Decisión correcta"))</f>
        <v>Decisión correcta</v>
      </c>
    </row>
    <row r="4949" customFormat="false" ht="15" hidden="false" customHeight="false" outlineLevel="0" collapsed="false">
      <c r="A4949" s="0" t="n">
        <v>4928</v>
      </c>
      <c r="B4949" s="0" t="s">
        <v>86</v>
      </c>
      <c r="C4949" s="17" t="n">
        <v>-0.208263978281182</v>
      </c>
      <c r="D4949" s="17" t="n">
        <f aca="false">(C4949-$B$4)/($B$6/SQRT($B$7))</f>
        <v>-1.04131989140591</v>
      </c>
      <c r="E4949" s="0" t="str">
        <f aca="false">IF(OR(AND($B$9="superior",D4949&gt;$B$10),AND($B$9="inferior",D4949&lt;-$B$10)),"Rechazar H0","No rechazar H0")</f>
        <v>No rechazar H0</v>
      </c>
      <c r="F4949" s="0" t="str">
        <f aca="false">IF(AND(B4949="H0 verdadera",E4949="Rechazar H0"),"Error tipo I",IF(AND(B4949="Ha verdadera",E4949="No rechazar H0"),"Error tipo II","Decisión correcta"))</f>
        <v>Error tipo II</v>
      </c>
    </row>
    <row r="4950" customFormat="false" ht="15" hidden="false" customHeight="false" outlineLevel="0" collapsed="false">
      <c r="A4950" s="0" t="n">
        <v>4929</v>
      </c>
      <c r="B4950" s="0" t="s">
        <v>86</v>
      </c>
      <c r="C4950" s="17" t="n">
        <v>-0.530050343686233</v>
      </c>
      <c r="D4950" s="17" t="n">
        <f aca="false">(C4950-$B$4)/($B$6/SQRT($B$7))</f>
        <v>-2.65025171843116</v>
      </c>
      <c r="E4950" s="0" t="str">
        <f aca="false">IF(OR(AND($B$9="superior",D4950&gt;$B$10),AND($B$9="inferior",D4950&lt;-$B$10)),"Rechazar H0","No rechazar H0")</f>
        <v>Rechazar H0</v>
      </c>
      <c r="F4950" s="0" t="str">
        <f aca="false">IF(AND(B4950="H0 verdadera",E4950="Rechazar H0"),"Error tipo I",IF(AND(B4950="Ha verdadera",E4950="No rechazar H0"),"Error tipo II","Decisión correcta"))</f>
        <v>Decisión correcta</v>
      </c>
    </row>
    <row r="4951" customFormat="false" ht="15" hidden="false" customHeight="false" outlineLevel="0" collapsed="false">
      <c r="A4951" s="0" t="n">
        <v>4930</v>
      </c>
      <c r="B4951" s="0" t="s">
        <v>86</v>
      </c>
      <c r="C4951" s="17" t="n">
        <v>-0.410896364989912</v>
      </c>
      <c r="D4951" s="17" t="n">
        <f aca="false">(C4951-$B$4)/($B$6/SQRT($B$7))</f>
        <v>-2.05448182494956</v>
      </c>
      <c r="E4951" s="0" t="str">
        <f aca="false">IF(OR(AND($B$9="superior",D4951&gt;$B$10),AND($B$9="inferior",D4951&lt;-$B$10)),"Rechazar H0","No rechazar H0")</f>
        <v>Rechazar H0</v>
      </c>
      <c r="F4951" s="0" t="str">
        <f aca="false">IF(AND(B4951="H0 verdadera",E4951="Rechazar H0"),"Error tipo I",IF(AND(B4951="Ha verdadera",E4951="No rechazar H0"),"Error tipo II","Decisión correcta"))</f>
        <v>Decisión correcta</v>
      </c>
    </row>
    <row r="4952" customFormat="false" ht="15" hidden="false" customHeight="false" outlineLevel="0" collapsed="false">
      <c r="A4952" s="0" t="n">
        <v>4931</v>
      </c>
      <c r="B4952" s="0" t="s">
        <v>85</v>
      </c>
      <c r="C4952" s="17" t="n">
        <v>0.042417790994669</v>
      </c>
      <c r="D4952" s="17" t="n">
        <f aca="false">(C4952-$B$4)/($B$6/SQRT($B$7))</f>
        <v>0.212088954973345</v>
      </c>
      <c r="E4952" s="0" t="str">
        <f aca="false">IF(OR(AND($B$9="superior",D4952&gt;$B$10),AND($B$9="inferior",D4952&lt;-$B$10)),"Rechazar H0","No rechazar H0")</f>
        <v>No rechazar H0</v>
      </c>
      <c r="F4952" s="0" t="str">
        <f aca="false">IF(AND(B4952="H0 verdadera",E4952="Rechazar H0"),"Error tipo I",IF(AND(B4952="Ha verdadera",E4952="No rechazar H0"),"Error tipo II","Decisión correcta"))</f>
        <v>Decisión correcta</v>
      </c>
    </row>
    <row r="4953" customFormat="false" ht="15" hidden="false" customHeight="false" outlineLevel="0" collapsed="false">
      <c r="A4953" s="0" t="n">
        <v>4932</v>
      </c>
      <c r="B4953" s="0" t="s">
        <v>85</v>
      </c>
      <c r="C4953" s="17" t="n">
        <v>-0.107163593456586</v>
      </c>
      <c r="D4953" s="17" t="n">
        <f aca="false">(C4953-$B$4)/($B$6/SQRT($B$7))</f>
        <v>-0.535817967282931</v>
      </c>
      <c r="E4953" s="0" t="str">
        <f aca="false">IF(OR(AND($B$9="superior",D4953&gt;$B$10),AND($B$9="inferior",D4953&lt;-$B$10)),"Rechazar H0","No rechazar H0")</f>
        <v>No rechazar H0</v>
      </c>
      <c r="F4953" s="0" t="str">
        <f aca="false">IF(AND(B4953="H0 verdadera",E4953="Rechazar H0"),"Error tipo I",IF(AND(B4953="Ha verdadera",E4953="No rechazar H0"),"Error tipo II","Decisión correcta"))</f>
        <v>Decisión correcta</v>
      </c>
    </row>
    <row r="4954" customFormat="false" ht="15" hidden="false" customHeight="false" outlineLevel="0" collapsed="false">
      <c r="A4954" s="0" t="n">
        <v>4933</v>
      </c>
      <c r="B4954" s="0" t="s">
        <v>85</v>
      </c>
      <c r="C4954" s="17" t="n">
        <v>-0.270154576972038</v>
      </c>
      <c r="D4954" s="17" t="n">
        <f aca="false">(C4954-$B$4)/($B$6/SQRT($B$7))</f>
        <v>-1.35077288486019</v>
      </c>
      <c r="E4954" s="0" t="str">
        <f aca="false">IF(OR(AND($B$9="superior",D4954&gt;$B$10),AND($B$9="inferior",D4954&lt;-$B$10)),"Rechazar H0","No rechazar H0")</f>
        <v>No rechazar H0</v>
      </c>
      <c r="F4954" s="0" t="str">
        <f aca="false">IF(AND(B4954="H0 verdadera",E4954="Rechazar H0"),"Error tipo I",IF(AND(B4954="Ha verdadera",E4954="No rechazar H0"),"Error tipo II","Decisión correcta"))</f>
        <v>Decisión correcta</v>
      </c>
    </row>
    <row r="4955" customFormat="false" ht="15" hidden="false" customHeight="false" outlineLevel="0" collapsed="false">
      <c r="A4955" s="0" t="n">
        <v>4934</v>
      </c>
      <c r="B4955" s="0" t="s">
        <v>86</v>
      </c>
      <c r="C4955" s="17" t="n">
        <v>-0.506075274956626</v>
      </c>
      <c r="D4955" s="17" t="n">
        <f aca="false">(C4955-$B$4)/($B$6/SQRT($B$7))</f>
        <v>-2.53037637478313</v>
      </c>
      <c r="E4955" s="0" t="str">
        <f aca="false">IF(OR(AND($B$9="superior",D4955&gt;$B$10),AND($B$9="inferior",D4955&lt;-$B$10)),"Rechazar H0","No rechazar H0")</f>
        <v>Rechazar H0</v>
      </c>
      <c r="F4955" s="0" t="str">
        <f aca="false">IF(AND(B4955="H0 verdadera",E4955="Rechazar H0"),"Error tipo I",IF(AND(B4955="Ha verdadera",E4955="No rechazar H0"),"Error tipo II","Decisión correcta"))</f>
        <v>Decisión correcta</v>
      </c>
    </row>
    <row r="4956" customFormat="false" ht="15" hidden="false" customHeight="false" outlineLevel="0" collapsed="false">
      <c r="A4956" s="0" t="n">
        <v>4935</v>
      </c>
      <c r="B4956" s="0" t="s">
        <v>85</v>
      </c>
      <c r="C4956" s="17" t="n">
        <v>-0.474461351060049</v>
      </c>
      <c r="D4956" s="17" t="n">
        <f aca="false">(C4956-$B$4)/($B$6/SQRT($B$7))</f>
        <v>-2.37230675530024</v>
      </c>
      <c r="E4956" s="0" t="str">
        <f aca="false">IF(OR(AND($B$9="superior",D4956&gt;$B$10),AND($B$9="inferior",D4956&lt;-$B$10)),"Rechazar H0","No rechazar H0")</f>
        <v>Rechazar H0</v>
      </c>
      <c r="F4956" s="0" t="str">
        <f aca="false">IF(AND(B4956="H0 verdadera",E4956="Rechazar H0"),"Error tipo I",IF(AND(B4956="Ha verdadera",E4956="No rechazar H0"),"Error tipo II","Decisión correcta"))</f>
        <v>Error tipo I</v>
      </c>
    </row>
    <row r="4957" customFormat="false" ht="15" hidden="false" customHeight="false" outlineLevel="0" collapsed="false">
      <c r="A4957" s="0" t="n">
        <v>4936</v>
      </c>
      <c r="B4957" s="0" t="s">
        <v>85</v>
      </c>
      <c r="C4957" s="17" t="n">
        <v>-0.0239170119589396</v>
      </c>
      <c r="D4957" s="17" t="n">
        <f aca="false">(C4957-$B$4)/($B$6/SQRT($B$7))</f>
        <v>-0.119585059794698</v>
      </c>
      <c r="E4957" s="0" t="str">
        <f aca="false">IF(OR(AND($B$9="superior",D4957&gt;$B$10),AND($B$9="inferior",D4957&lt;-$B$10)),"Rechazar H0","No rechazar H0")</f>
        <v>No rechazar H0</v>
      </c>
      <c r="F4957" s="0" t="str">
        <f aca="false">IF(AND(B4957="H0 verdadera",E4957="Rechazar H0"),"Error tipo I",IF(AND(B4957="Ha verdadera",E4957="No rechazar H0"),"Error tipo II","Decisión correcta"))</f>
        <v>Decisión correcta</v>
      </c>
    </row>
    <row r="4958" customFormat="false" ht="15" hidden="false" customHeight="false" outlineLevel="0" collapsed="false">
      <c r="A4958" s="0" t="n">
        <v>4937</v>
      </c>
      <c r="B4958" s="0" t="s">
        <v>85</v>
      </c>
      <c r="C4958" s="17" t="n">
        <v>0.0938168392090376</v>
      </c>
      <c r="D4958" s="17" t="n">
        <f aca="false">(C4958-$B$4)/($B$6/SQRT($B$7))</f>
        <v>0.469084196045188</v>
      </c>
      <c r="E4958" s="0" t="str">
        <f aca="false">IF(OR(AND($B$9="superior",D4958&gt;$B$10),AND($B$9="inferior",D4958&lt;-$B$10)),"Rechazar H0","No rechazar H0")</f>
        <v>No rechazar H0</v>
      </c>
      <c r="F4958" s="0" t="str">
        <f aca="false">IF(AND(B4958="H0 verdadera",E4958="Rechazar H0"),"Error tipo I",IF(AND(B4958="Ha verdadera",E4958="No rechazar H0"),"Error tipo II","Decisión correcta"))</f>
        <v>Decisión correcta</v>
      </c>
    </row>
    <row r="4959" customFormat="false" ht="15" hidden="false" customHeight="false" outlineLevel="0" collapsed="false">
      <c r="A4959" s="0" t="n">
        <v>4938</v>
      </c>
      <c r="B4959" s="0" t="s">
        <v>86</v>
      </c>
      <c r="C4959" s="17" t="n">
        <v>-0.281774652176926</v>
      </c>
      <c r="D4959" s="17" t="n">
        <f aca="false">(C4959-$B$4)/($B$6/SQRT($B$7))</f>
        <v>-1.40887326088463</v>
      </c>
      <c r="E4959" s="0" t="str">
        <f aca="false">IF(OR(AND($B$9="superior",D4959&gt;$B$10),AND($B$9="inferior",D4959&lt;-$B$10)),"Rechazar H0","No rechazar H0")</f>
        <v>No rechazar H0</v>
      </c>
      <c r="F4959" s="0" t="str">
        <f aca="false">IF(AND(B4959="H0 verdadera",E4959="Rechazar H0"),"Error tipo I",IF(AND(B4959="Ha verdadera",E4959="No rechazar H0"),"Error tipo II","Decisión correcta"))</f>
        <v>Error tipo II</v>
      </c>
    </row>
    <row r="4960" customFormat="false" ht="15" hidden="false" customHeight="false" outlineLevel="0" collapsed="false">
      <c r="A4960" s="0" t="n">
        <v>4939</v>
      </c>
      <c r="B4960" s="0" t="s">
        <v>85</v>
      </c>
      <c r="C4960" s="17" t="n">
        <v>-0.241498206868085</v>
      </c>
      <c r="D4960" s="17" t="n">
        <f aca="false">(C4960-$B$4)/($B$6/SQRT($B$7))</f>
        <v>-1.20749103434043</v>
      </c>
      <c r="E4960" s="0" t="str">
        <f aca="false">IF(OR(AND($B$9="superior",D4960&gt;$B$10),AND($B$9="inferior",D4960&lt;-$B$10)),"Rechazar H0","No rechazar H0")</f>
        <v>No rechazar H0</v>
      </c>
      <c r="F4960" s="0" t="str">
        <f aca="false">IF(AND(B4960="H0 verdadera",E4960="Rechazar H0"),"Error tipo I",IF(AND(B4960="Ha verdadera",E4960="No rechazar H0"),"Error tipo II","Decisión correcta"))</f>
        <v>Decisión correcta</v>
      </c>
    </row>
    <row r="4961" customFormat="false" ht="15" hidden="false" customHeight="false" outlineLevel="0" collapsed="false">
      <c r="A4961" s="0" t="n">
        <v>4940</v>
      </c>
      <c r="B4961" s="0" t="s">
        <v>85</v>
      </c>
      <c r="C4961" s="17" t="n">
        <v>0.0932884780840461</v>
      </c>
      <c r="D4961" s="17" t="n">
        <f aca="false">(C4961-$B$4)/($B$6/SQRT($B$7))</f>
        <v>0.466442390420231</v>
      </c>
      <c r="E4961" s="0" t="str">
        <f aca="false">IF(OR(AND($B$9="superior",D4961&gt;$B$10),AND($B$9="inferior",D4961&lt;-$B$10)),"Rechazar H0","No rechazar H0")</f>
        <v>No rechazar H0</v>
      </c>
      <c r="F4961" s="0" t="str">
        <f aca="false">IF(AND(B4961="H0 verdadera",E4961="Rechazar H0"),"Error tipo I",IF(AND(B4961="Ha verdadera",E4961="No rechazar H0"),"Error tipo II","Decisión correcta"))</f>
        <v>Decisión correcta</v>
      </c>
    </row>
    <row r="4962" customFormat="false" ht="15" hidden="false" customHeight="false" outlineLevel="0" collapsed="false">
      <c r="A4962" s="0" t="n">
        <v>4941</v>
      </c>
      <c r="B4962" s="0" t="s">
        <v>85</v>
      </c>
      <c r="C4962" s="17" t="n">
        <v>0.105012631509071</v>
      </c>
      <c r="D4962" s="17" t="n">
        <f aca="false">(C4962-$B$4)/($B$6/SQRT($B$7))</f>
        <v>0.525063157545353</v>
      </c>
      <c r="E4962" s="0" t="str">
        <f aca="false">IF(OR(AND($B$9="superior",D4962&gt;$B$10),AND($B$9="inferior",D4962&lt;-$B$10)),"Rechazar H0","No rechazar H0")</f>
        <v>No rechazar H0</v>
      </c>
      <c r="F4962" s="0" t="str">
        <f aca="false">IF(AND(B4962="H0 verdadera",E4962="Rechazar H0"),"Error tipo I",IF(AND(B4962="Ha verdadera",E4962="No rechazar H0"),"Error tipo II","Decisión correcta"))</f>
        <v>Decisión correcta</v>
      </c>
    </row>
    <row r="4963" customFormat="false" ht="15" hidden="false" customHeight="false" outlineLevel="0" collapsed="false">
      <c r="A4963" s="0" t="n">
        <v>4942</v>
      </c>
      <c r="B4963" s="0" t="s">
        <v>85</v>
      </c>
      <c r="C4963" s="17" t="n">
        <v>-0.011999732836055</v>
      </c>
      <c r="D4963" s="17" t="n">
        <f aca="false">(C4963-$B$4)/($B$6/SQRT($B$7))</f>
        <v>-0.059998664180275</v>
      </c>
      <c r="E4963" s="0" t="str">
        <f aca="false">IF(OR(AND($B$9="superior",D4963&gt;$B$10),AND($B$9="inferior",D4963&lt;-$B$10)),"Rechazar H0","No rechazar H0")</f>
        <v>No rechazar H0</v>
      </c>
      <c r="F4963" s="0" t="str">
        <f aca="false">IF(AND(B4963="H0 verdadera",E4963="Rechazar H0"),"Error tipo I",IF(AND(B4963="Ha verdadera",E4963="No rechazar H0"),"Error tipo II","Decisión correcta"))</f>
        <v>Decisión correcta</v>
      </c>
    </row>
    <row r="4964" customFormat="false" ht="15" hidden="false" customHeight="false" outlineLevel="0" collapsed="false">
      <c r="A4964" s="0" t="n">
        <v>4943</v>
      </c>
      <c r="B4964" s="0" t="s">
        <v>85</v>
      </c>
      <c r="C4964" s="17" t="n">
        <v>-0.279053811691855</v>
      </c>
      <c r="D4964" s="17" t="n">
        <f aca="false">(C4964-$B$4)/($B$6/SQRT($B$7))</f>
        <v>-1.39526905845927</v>
      </c>
      <c r="E4964" s="0" t="str">
        <f aca="false">IF(OR(AND($B$9="superior",D4964&gt;$B$10),AND($B$9="inferior",D4964&lt;-$B$10)),"Rechazar H0","No rechazar H0")</f>
        <v>No rechazar H0</v>
      </c>
      <c r="F4964" s="0" t="str">
        <f aca="false">IF(AND(B4964="H0 verdadera",E4964="Rechazar H0"),"Error tipo I",IF(AND(B4964="Ha verdadera",E4964="No rechazar H0"),"Error tipo II","Decisión correcta"))</f>
        <v>Decisión correcta</v>
      </c>
    </row>
    <row r="4965" customFormat="false" ht="15" hidden="false" customHeight="false" outlineLevel="0" collapsed="false">
      <c r="A4965" s="0" t="n">
        <v>4944</v>
      </c>
      <c r="B4965" s="0" t="s">
        <v>85</v>
      </c>
      <c r="C4965" s="17" t="n">
        <v>-0.0511679593964969</v>
      </c>
      <c r="D4965" s="17" t="n">
        <f aca="false">(C4965-$B$4)/($B$6/SQRT($B$7))</f>
        <v>-0.255839796982485</v>
      </c>
      <c r="E4965" s="0" t="str">
        <f aca="false">IF(OR(AND($B$9="superior",D4965&gt;$B$10),AND($B$9="inferior",D4965&lt;-$B$10)),"Rechazar H0","No rechazar H0")</f>
        <v>No rechazar H0</v>
      </c>
      <c r="F4965" s="0" t="str">
        <f aca="false">IF(AND(B4965="H0 verdadera",E4965="Rechazar H0"),"Error tipo I",IF(AND(B4965="Ha verdadera",E4965="No rechazar H0"),"Error tipo II","Decisión correcta"))</f>
        <v>Decisión correcta</v>
      </c>
    </row>
    <row r="4966" customFormat="false" ht="15" hidden="false" customHeight="false" outlineLevel="0" collapsed="false">
      <c r="A4966" s="0" t="n">
        <v>4945</v>
      </c>
      <c r="B4966" s="0" t="s">
        <v>86</v>
      </c>
      <c r="C4966" s="17" t="n">
        <v>-0.430191743593902</v>
      </c>
      <c r="D4966" s="17" t="n">
        <f aca="false">(C4966-$B$4)/($B$6/SQRT($B$7))</f>
        <v>-2.15095871796951</v>
      </c>
      <c r="E4966" s="0" t="str">
        <f aca="false">IF(OR(AND($B$9="superior",D4966&gt;$B$10),AND($B$9="inferior",D4966&lt;-$B$10)),"Rechazar H0","No rechazar H0")</f>
        <v>Rechazar H0</v>
      </c>
      <c r="F4966" s="0" t="str">
        <f aca="false">IF(AND(B4966="H0 verdadera",E4966="Rechazar H0"),"Error tipo I",IF(AND(B4966="Ha verdadera",E4966="No rechazar H0"),"Error tipo II","Decisión correcta"))</f>
        <v>Decisión correcta</v>
      </c>
    </row>
    <row r="4967" customFormat="false" ht="15" hidden="false" customHeight="false" outlineLevel="0" collapsed="false">
      <c r="A4967" s="0" t="n">
        <v>4946</v>
      </c>
      <c r="B4967" s="0" t="s">
        <v>86</v>
      </c>
      <c r="C4967" s="17" t="n">
        <v>-0.191797536642652</v>
      </c>
      <c r="D4967" s="17" t="n">
        <f aca="false">(C4967-$B$4)/($B$6/SQRT($B$7))</f>
        <v>-0.958987683213258</v>
      </c>
      <c r="E4967" s="0" t="str">
        <f aca="false">IF(OR(AND($B$9="superior",D4967&gt;$B$10),AND($B$9="inferior",D4967&lt;-$B$10)),"Rechazar H0","No rechazar H0")</f>
        <v>No rechazar H0</v>
      </c>
      <c r="F4967" s="0" t="str">
        <f aca="false">IF(AND(B4967="H0 verdadera",E4967="Rechazar H0"),"Error tipo I",IF(AND(B4967="Ha verdadera",E4967="No rechazar H0"),"Error tipo II","Decisión correcta"))</f>
        <v>Error tipo II</v>
      </c>
    </row>
    <row r="4968" customFormat="false" ht="15" hidden="false" customHeight="false" outlineLevel="0" collapsed="false">
      <c r="A4968" s="0" t="n">
        <v>4947</v>
      </c>
      <c r="B4968" s="0" t="s">
        <v>86</v>
      </c>
      <c r="C4968" s="17" t="n">
        <v>-0.227552780269721</v>
      </c>
      <c r="D4968" s="17" t="n">
        <f aca="false">(C4968-$B$4)/($B$6/SQRT($B$7))</f>
        <v>-1.13776390134861</v>
      </c>
      <c r="E4968" s="0" t="str">
        <f aca="false">IF(OR(AND($B$9="superior",D4968&gt;$B$10),AND($B$9="inferior",D4968&lt;-$B$10)),"Rechazar H0","No rechazar H0")</f>
        <v>No rechazar H0</v>
      </c>
      <c r="F4968" s="0" t="str">
        <f aca="false">IF(AND(B4968="H0 verdadera",E4968="Rechazar H0"),"Error tipo I",IF(AND(B4968="Ha verdadera",E4968="No rechazar H0"),"Error tipo II","Decisión correcta"))</f>
        <v>Error tipo II</v>
      </c>
    </row>
    <row r="4969" customFormat="false" ht="15" hidden="false" customHeight="false" outlineLevel="0" collapsed="false">
      <c r="A4969" s="0" t="n">
        <v>4948</v>
      </c>
      <c r="B4969" s="0" t="s">
        <v>86</v>
      </c>
      <c r="C4969" s="17" t="n">
        <v>-0.375027934347562</v>
      </c>
      <c r="D4969" s="17" t="n">
        <f aca="false">(C4969-$B$4)/($B$6/SQRT($B$7))</f>
        <v>-1.87513967173781</v>
      </c>
      <c r="E4969" s="0" t="str">
        <f aca="false">IF(OR(AND($B$9="superior",D4969&gt;$B$10),AND($B$9="inferior",D4969&lt;-$B$10)),"Rechazar H0","No rechazar H0")</f>
        <v>Rechazar H0</v>
      </c>
      <c r="F4969" s="0" t="str">
        <f aca="false">IF(AND(B4969="H0 verdadera",E4969="Rechazar H0"),"Error tipo I",IF(AND(B4969="Ha verdadera",E4969="No rechazar H0"),"Error tipo II","Decisión correcta"))</f>
        <v>Decisión correcta</v>
      </c>
    </row>
    <row r="4970" customFormat="false" ht="15" hidden="false" customHeight="false" outlineLevel="0" collapsed="false">
      <c r="A4970" s="0" t="n">
        <v>4949</v>
      </c>
      <c r="B4970" s="0" t="s">
        <v>86</v>
      </c>
      <c r="C4970" s="17" t="n">
        <v>-0.554331472515101</v>
      </c>
      <c r="D4970" s="17" t="n">
        <f aca="false">(C4970-$B$4)/($B$6/SQRT($B$7))</f>
        <v>-2.7716573625755</v>
      </c>
      <c r="E4970" s="0" t="str">
        <f aca="false">IF(OR(AND($B$9="superior",D4970&gt;$B$10),AND($B$9="inferior",D4970&lt;-$B$10)),"Rechazar H0","No rechazar H0")</f>
        <v>Rechazar H0</v>
      </c>
      <c r="F4970" s="0" t="str">
        <f aca="false">IF(AND(B4970="H0 verdadera",E4970="Rechazar H0"),"Error tipo I",IF(AND(B4970="Ha verdadera",E4970="No rechazar H0"),"Error tipo II","Decisión correcta"))</f>
        <v>Decisión correcta</v>
      </c>
    </row>
    <row r="4971" customFormat="false" ht="15" hidden="false" customHeight="false" outlineLevel="0" collapsed="false">
      <c r="A4971" s="0" t="n">
        <v>4950</v>
      </c>
      <c r="B4971" s="0" t="s">
        <v>85</v>
      </c>
      <c r="C4971" s="17" t="n">
        <v>0.171079953078</v>
      </c>
      <c r="D4971" s="17" t="n">
        <f aca="false">(C4971-$B$4)/($B$6/SQRT($B$7))</f>
        <v>0.855399765389998</v>
      </c>
      <c r="E4971" s="0" t="str">
        <f aca="false">IF(OR(AND($B$9="superior",D4971&gt;$B$10),AND($B$9="inferior",D4971&lt;-$B$10)),"Rechazar H0","No rechazar H0")</f>
        <v>No rechazar H0</v>
      </c>
      <c r="F4971" s="0" t="str">
        <f aca="false">IF(AND(B4971="H0 verdadera",E4971="Rechazar H0"),"Error tipo I",IF(AND(B4971="Ha verdadera",E4971="No rechazar H0"),"Error tipo II","Decisión correcta"))</f>
        <v>Decisión correcta</v>
      </c>
    </row>
    <row r="4972" customFormat="false" ht="15" hidden="false" customHeight="false" outlineLevel="0" collapsed="false">
      <c r="A4972" s="0" t="n">
        <v>4951</v>
      </c>
      <c r="B4972" s="0" t="s">
        <v>86</v>
      </c>
      <c r="C4972" s="17" t="n">
        <v>-0.325832781989303</v>
      </c>
      <c r="D4972" s="17" t="n">
        <f aca="false">(C4972-$B$4)/($B$6/SQRT($B$7))</f>
        <v>-1.62916390994651</v>
      </c>
      <c r="E4972" s="0" t="str">
        <f aca="false">IF(OR(AND($B$9="superior",D4972&gt;$B$10),AND($B$9="inferior",D4972&lt;-$B$10)),"Rechazar H0","No rechazar H0")</f>
        <v>No rechazar H0</v>
      </c>
      <c r="F4972" s="0" t="str">
        <f aca="false">IF(AND(B4972="H0 verdadera",E4972="Rechazar H0"),"Error tipo I",IF(AND(B4972="Ha verdadera",E4972="No rechazar H0"),"Error tipo II","Decisión correcta"))</f>
        <v>Error tipo II</v>
      </c>
    </row>
    <row r="4973" customFormat="false" ht="15" hidden="false" customHeight="false" outlineLevel="0" collapsed="false">
      <c r="A4973" s="0" t="n">
        <v>4952</v>
      </c>
      <c r="B4973" s="0" t="s">
        <v>86</v>
      </c>
      <c r="C4973" s="17" t="n">
        <v>-0.342367694397089</v>
      </c>
      <c r="D4973" s="17" t="n">
        <f aca="false">(C4973-$B$4)/($B$6/SQRT($B$7))</f>
        <v>-1.71183847198544</v>
      </c>
      <c r="E4973" s="0" t="str">
        <f aca="false">IF(OR(AND($B$9="superior",D4973&gt;$B$10),AND($B$9="inferior",D4973&lt;-$B$10)),"Rechazar H0","No rechazar H0")</f>
        <v>Rechazar H0</v>
      </c>
      <c r="F4973" s="0" t="str">
        <f aca="false">IF(AND(B4973="H0 verdadera",E4973="Rechazar H0"),"Error tipo I",IF(AND(B4973="Ha verdadera",E4973="No rechazar H0"),"Error tipo II","Decisión correcta"))</f>
        <v>Decisión correcta</v>
      </c>
    </row>
    <row r="4974" customFormat="false" ht="15" hidden="false" customHeight="false" outlineLevel="0" collapsed="false">
      <c r="A4974" s="0" t="n">
        <v>4953</v>
      </c>
      <c r="B4974" s="0" t="s">
        <v>86</v>
      </c>
      <c r="C4974" s="17" t="n">
        <v>-0.78833155086853</v>
      </c>
      <c r="D4974" s="17" t="n">
        <f aca="false">(C4974-$B$4)/($B$6/SQRT($B$7))</f>
        <v>-3.94165775434265</v>
      </c>
      <c r="E4974" s="0" t="str">
        <f aca="false">IF(OR(AND($B$9="superior",D4974&gt;$B$10),AND($B$9="inferior",D4974&lt;-$B$10)),"Rechazar H0","No rechazar H0")</f>
        <v>Rechazar H0</v>
      </c>
      <c r="F4974" s="0" t="str">
        <f aca="false">IF(AND(B4974="H0 verdadera",E4974="Rechazar H0"),"Error tipo I",IF(AND(B4974="Ha verdadera",E4974="No rechazar H0"),"Error tipo II","Decisión correcta"))</f>
        <v>Decisión correcta</v>
      </c>
    </row>
    <row r="4975" customFormat="false" ht="15" hidden="false" customHeight="false" outlineLevel="0" collapsed="false">
      <c r="A4975" s="0" t="n">
        <v>4954</v>
      </c>
      <c r="B4975" s="0" t="s">
        <v>85</v>
      </c>
      <c r="C4975" s="17" t="n">
        <v>0.00860241456571446</v>
      </c>
      <c r="D4975" s="17" t="n">
        <f aca="false">(C4975-$B$4)/($B$6/SQRT($B$7))</f>
        <v>0.0430120728285723</v>
      </c>
      <c r="E4975" s="0" t="str">
        <f aca="false">IF(OR(AND($B$9="superior",D4975&gt;$B$10),AND($B$9="inferior",D4975&lt;-$B$10)),"Rechazar H0","No rechazar H0")</f>
        <v>No rechazar H0</v>
      </c>
      <c r="F4975" s="0" t="str">
        <f aca="false">IF(AND(B4975="H0 verdadera",E4975="Rechazar H0"),"Error tipo I",IF(AND(B4975="Ha verdadera",E4975="No rechazar H0"),"Error tipo II","Decisión correcta"))</f>
        <v>Decisión correcta</v>
      </c>
    </row>
    <row r="4976" customFormat="false" ht="15" hidden="false" customHeight="false" outlineLevel="0" collapsed="false">
      <c r="A4976" s="0" t="n">
        <v>4955</v>
      </c>
      <c r="B4976" s="0" t="s">
        <v>86</v>
      </c>
      <c r="C4976" s="17" t="n">
        <v>-0.336872194338715</v>
      </c>
      <c r="D4976" s="17" t="n">
        <f aca="false">(C4976-$B$4)/($B$6/SQRT($B$7))</f>
        <v>-1.68436097169357</v>
      </c>
      <c r="E4976" s="0" t="str">
        <f aca="false">IF(OR(AND($B$9="superior",D4976&gt;$B$10),AND($B$9="inferior",D4976&lt;-$B$10)),"Rechazar H0","No rechazar H0")</f>
        <v>Rechazar H0</v>
      </c>
      <c r="F4976" s="0" t="str">
        <f aca="false">IF(AND(B4976="H0 verdadera",E4976="Rechazar H0"),"Error tipo I",IF(AND(B4976="Ha verdadera",E4976="No rechazar H0"),"Error tipo II","Decisión correcta"))</f>
        <v>Decisión correcta</v>
      </c>
    </row>
    <row r="4977" customFormat="false" ht="15" hidden="false" customHeight="false" outlineLevel="0" collapsed="false">
      <c r="A4977" s="0" t="n">
        <v>4956</v>
      </c>
      <c r="B4977" s="0" t="s">
        <v>85</v>
      </c>
      <c r="C4977" s="17" t="n">
        <v>-0.114754710013243</v>
      </c>
      <c r="D4977" s="17" t="n">
        <f aca="false">(C4977-$B$4)/($B$6/SQRT($B$7))</f>
        <v>-0.573773550066214</v>
      </c>
      <c r="E4977" s="0" t="str">
        <f aca="false">IF(OR(AND($B$9="superior",D4977&gt;$B$10),AND($B$9="inferior",D4977&lt;-$B$10)),"Rechazar H0","No rechazar H0")</f>
        <v>No rechazar H0</v>
      </c>
      <c r="F4977" s="0" t="str">
        <f aca="false">IF(AND(B4977="H0 verdadera",E4977="Rechazar H0"),"Error tipo I",IF(AND(B4977="Ha verdadera",E4977="No rechazar H0"),"Error tipo II","Decisión correcta"))</f>
        <v>Decisión correcta</v>
      </c>
    </row>
    <row r="4978" customFormat="false" ht="15" hidden="false" customHeight="false" outlineLevel="0" collapsed="false">
      <c r="A4978" s="0" t="n">
        <v>4957</v>
      </c>
      <c r="B4978" s="0" t="s">
        <v>86</v>
      </c>
      <c r="C4978" s="17" t="n">
        <v>-0.487610312225868</v>
      </c>
      <c r="D4978" s="17" t="n">
        <f aca="false">(C4978-$B$4)/($B$6/SQRT($B$7))</f>
        <v>-2.43805156112934</v>
      </c>
      <c r="E4978" s="0" t="str">
        <f aca="false">IF(OR(AND($B$9="superior",D4978&gt;$B$10),AND($B$9="inferior",D4978&lt;-$B$10)),"Rechazar H0","No rechazar H0")</f>
        <v>Rechazar H0</v>
      </c>
      <c r="F4978" s="0" t="str">
        <f aca="false">IF(AND(B4978="H0 verdadera",E4978="Rechazar H0"),"Error tipo I",IF(AND(B4978="Ha verdadera",E4978="No rechazar H0"),"Error tipo II","Decisión correcta"))</f>
        <v>Decisión correcta</v>
      </c>
    </row>
    <row r="4979" customFormat="false" ht="15" hidden="false" customHeight="false" outlineLevel="0" collapsed="false">
      <c r="A4979" s="0" t="n">
        <v>4958</v>
      </c>
      <c r="B4979" s="0" t="s">
        <v>85</v>
      </c>
      <c r="C4979" s="17" t="n">
        <v>0.313126152917017</v>
      </c>
      <c r="D4979" s="17" t="n">
        <f aca="false">(C4979-$B$4)/($B$6/SQRT($B$7))</f>
        <v>1.56563076458508</v>
      </c>
      <c r="E4979" s="0" t="str">
        <f aca="false">IF(OR(AND($B$9="superior",D4979&gt;$B$10),AND($B$9="inferior",D4979&lt;-$B$10)),"Rechazar H0","No rechazar H0")</f>
        <v>No rechazar H0</v>
      </c>
      <c r="F4979" s="0" t="str">
        <f aca="false">IF(AND(B4979="H0 verdadera",E4979="Rechazar H0"),"Error tipo I",IF(AND(B4979="Ha verdadera",E4979="No rechazar H0"),"Error tipo II","Decisión correcta"))</f>
        <v>Decisión correcta</v>
      </c>
    </row>
    <row r="4980" customFormat="false" ht="15" hidden="false" customHeight="false" outlineLevel="0" collapsed="false">
      <c r="A4980" s="0" t="n">
        <v>4959</v>
      </c>
      <c r="B4980" s="0" t="s">
        <v>86</v>
      </c>
      <c r="C4980" s="17" t="n">
        <v>-0.79098054135374</v>
      </c>
      <c r="D4980" s="17" t="n">
        <f aca="false">(C4980-$B$4)/($B$6/SQRT($B$7))</f>
        <v>-3.9549027067687</v>
      </c>
      <c r="E4980" s="0" t="str">
        <f aca="false">IF(OR(AND($B$9="superior",D4980&gt;$B$10),AND($B$9="inferior",D4980&lt;-$B$10)),"Rechazar H0","No rechazar H0")</f>
        <v>Rechazar H0</v>
      </c>
      <c r="F4980" s="0" t="str">
        <f aca="false">IF(AND(B4980="H0 verdadera",E4980="Rechazar H0"),"Error tipo I",IF(AND(B4980="Ha verdadera",E4980="No rechazar H0"),"Error tipo II","Decisión correcta"))</f>
        <v>Decisión correcta</v>
      </c>
    </row>
    <row r="4981" customFormat="false" ht="15" hidden="false" customHeight="false" outlineLevel="0" collapsed="false">
      <c r="A4981" s="0" t="n">
        <v>4960</v>
      </c>
      <c r="B4981" s="0" t="s">
        <v>85</v>
      </c>
      <c r="C4981" s="17" t="n">
        <v>0.0369262749842957</v>
      </c>
      <c r="D4981" s="17" t="n">
        <f aca="false">(C4981-$B$4)/($B$6/SQRT($B$7))</f>
        <v>0.184631374921479</v>
      </c>
      <c r="E4981" s="0" t="str">
        <f aca="false">IF(OR(AND($B$9="superior",D4981&gt;$B$10),AND($B$9="inferior",D4981&lt;-$B$10)),"Rechazar H0","No rechazar H0")</f>
        <v>No rechazar H0</v>
      </c>
      <c r="F4981" s="0" t="str">
        <f aca="false">IF(AND(B4981="H0 verdadera",E4981="Rechazar H0"),"Error tipo I",IF(AND(B4981="Ha verdadera",E4981="No rechazar H0"),"Error tipo II","Decisión correcta"))</f>
        <v>Decisión correcta</v>
      </c>
    </row>
    <row r="4982" customFormat="false" ht="15" hidden="false" customHeight="false" outlineLevel="0" collapsed="false">
      <c r="A4982" s="0" t="n">
        <v>4961</v>
      </c>
      <c r="B4982" s="0" t="s">
        <v>85</v>
      </c>
      <c r="C4982" s="17" t="n">
        <v>0.104725047891036</v>
      </c>
      <c r="D4982" s="17" t="n">
        <f aca="false">(C4982-$B$4)/($B$6/SQRT($B$7))</f>
        <v>0.523625239455182</v>
      </c>
      <c r="E4982" s="0" t="str">
        <f aca="false">IF(OR(AND($B$9="superior",D4982&gt;$B$10),AND($B$9="inferior",D4982&lt;-$B$10)),"Rechazar H0","No rechazar H0")</f>
        <v>No rechazar H0</v>
      </c>
      <c r="F4982" s="0" t="str">
        <f aca="false">IF(AND(B4982="H0 verdadera",E4982="Rechazar H0"),"Error tipo I",IF(AND(B4982="Ha verdadera",E4982="No rechazar H0"),"Error tipo II","Decisión correcta"))</f>
        <v>Decisión correcta</v>
      </c>
    </row>
    <row r="4983" customFormat="false" ht="15" hidden="false" customHeight="false" outlineLevel="0" collapsed="false">
      <c r="A4983" s="0" t="n">
        <v>4962</v>
      </c>
      <c r="B4983" s="0" t="s">
        <v>86</v>
      </c>
      <c r="C4983" s="17" t="n">
        <v>-0.298798276905741</v>
      </c>
      <c r="D4983" s="17" t="n">
        <f aca="false">(C4983-$B$4)/($B$6/SQRT($B$7))</f>
        <v>-1.49399138452871</v>
      </c>
      <c r="E4983" s="0" t="str">
        <f aca="false">IF(OR(AND($B$9="superior",D4983&gt;$B$10),AND($B$9="inferior",D4983&lt;-$B$10)),"Rechazar H0","No rechazar H0")</f>
        <v>No rechazar H0</v>
      </c>
      <c r="F4983" s="0" t="str">
        <f aca="false">IF(AND(B4983="H0 verdadera",E4983="Rechazar H0"),"Error tipo I",IF(AND(B4983="Ha verdadera",E4983="No rechazar H0"),"Error tipo II","Decisión correcta"))</f>
        <v>Error tipo II</v>
      </c>
    </row>
    <row r="4984" customFormat="false" ht="15" hidden="false" customHeight="false" outlineLevel="0" collapsed="false">
      <c r="A4984" s="0" t="n">
        <v>4963</v>
      </c>
      <c r="B4984" s="0" t="s">
        <v>86</v>
      </c>
      <c r="C4984" s="17" t="n">
        <v>-0.301112373861195</v>
      </c>
      <c r="D4984" s="17" t="n">
        <f aca="false">(C4984-$B$4)/($B$6/SQRT($B$7))</f>
        <v>-1.50556186930597</v>
      </c>
      <c r="E4984" s="0" t="str">
        <f aca="false">IF(OR(AND($B$9="superior",D4984&gt;$B$10),AND($B$9="inferior",D4984&lt;-$B$10)),"Rechazar H0","No rechazar H0")</f>
        <v>No rechazar H0</v>
      </c>
      <c r="F4984" s="0" t="str">
        <f aca="false">IF(AND(B4984="H0 verdadera",E4984="Rechazar H0"),"Error tipo I",IF(AND(B4984="Ha verdadera",E4984="No rechazar H0"),"Error tipo II","Decisión correcta"))</f>
        <v>Error tipo II</v>
      </c>
    </row>
    <row r="4985" customFormat="false" ht="15" hidden="false" customHeight="false" outlineLevel="0" collapsed="false">
      <c r="A4985" s="0" t="n">
        <v>4964</v>
      </c>
      <c r="B4985" s="0" t="s">
        <v>86</v>
      </c>
      <c r="C4985" s="17" t="n">
        <v>-0.182559859386896</v>
      </c>
      <c r="D4985" s="17" t="n">
        <f aca="false">(C4985-$B$4)/($B$6/SQRT($B$7))</f>
        <v>-0.912799296934478</v>
      </c>
      <c r="E4985" s="0" t="str">
        <f aca="false">IF(OR(AND($B$9="superior",D4985&gt;$B$10),AND($B$9="inferior",D4985&lt;-$B$10)),"Rechazar H0","No rechazar H0")</f>
        <v>No rechazar H0</v>
      </c>
      <c r="F4985" s="0" t="str">
        <f aca="false">IF(AND(B4985="H0 verdadera",E4985="Rechazar H0"),"Error tipo I",IF(AND(B4985="Ha verdadera",E4985="No rechazar H0"),"Error tipo II","Decisión correcta"))</f>
        <v>Error tipo II</v>
      </c>
    </row>
    <row r="4986" customFormat="false" ht="15" hidden="false" customHeight="false" outlineLevel="0" collapsed="false">
      <c r="A4986" s="0" t="n">
        <v>4965</v>
      </c>
      <c r="B4986" s="0" t="s">
        <v>86</v>
      </c>
      <c r="C4986" s="17" t="n">
        <v>-0.383239557317547</v>
      </c>
      <c r="D4986" s="17" t="n">
        <f aca="false">(C4986-$B$4)/($B$6/SQRT($B$7))</f>
        <v>-1.91619778658774</v>
      </c>
      <c r="E4986" s="0" t="str">
        <f aca="false">IF(OR(AND($B$9="superior",D4986&gt;$B$10),AND($B$9="inferior",D4986&lt;-$B$10)),"Rechazar H0","No rechazar H0")</f>
        <v>Rechazar H0</v>
      </c>
      <c r="F4986" s="0" t="str">
        <f aca="false">IF(AND(B4986="H0 verdadera",E4986="Rechazar H0"),"Error tipo I",IF(AND(B4986="Ha verdadera",E4986="No rechazar H0"),"Error tipo II","Decisión correcta"))</f>
        <v>Decisión correcta</v>
      </c>
    </row>
    <row r="4987" customFormat="false" ht="15" hidden="false" customHeight="false" outlineLevel="0" collapsed="false">
      <c r="A4987" s="0" t="n">
        <v>4966</v>
      </c>
      <c r="B4987" s="0" t="s">
        <v>85</v>
      </c>
      <c r="C4987" s="17" t="n">
        <v>0.168075775019043</v>
      </c>
      <c r="D4987" s="17" t="n">
        <f aca="false">(C4987-$B$4)/($B$6/SQRT($B$7))</f>
        <v>0.840378875095216</v>
      </c>
      <c r="E4987" s="0" t="str">
        <f aca="false">IF(OR(AND($B$9="superior",D4987&gt;$B$10),AND($B$9="inferior",D4987&lt;-$B$10)),"Rechazar H0","No rechazar H0")</f>
        <v>No rechazar H0</v>
      </c>
      <c r="F4987" s="0" t="str">
        <f aca="false">IF(AND(B4987="H0 verdadera",E4987="Rechazar H0"),"Error tipo I",IF(AND(B4987="Ha verdadera",E4987="No rechazar H0"),"Error tipo II","Decisión correcta"))</f>
        <v>Decisión correcta</v>
      </c>
    </row>
    <row r="4988" customFormat="false" ht="15" hidden="false" customHeight="false" outlineLevel="0" collapsed="false">
      <c r="A4988" s="0" t="n">
        <v>4967</v>
      </c>
      <c r="B4988" s="0" t="s">
        <v>86</v>
      </c>
      <c r="C4988" s="17" t="n">
        <v>-0.406254270239593</v>
      </c>
      <c r="D4988" s="17" t="n">
        <f aca="false">(C4988-$B$4)/($B$6/SQRT($B$7))</f>
        <v>-2.03127135119796</v>
      </c>
      <c r="E4988" s="0" t="str">
        <f aca="false">IF(OR(AND($B$9="superior",D4988&gt;$B$10),AND($B$9="inferior",D4988&lt;-$B$10)),"Rechazar H0","No rechazar H0")</f>
        <v>Rechazar H0</v>
      </c>
      <c r="F4988" s="0" t="str">
        <f aca="false">IF(AND(B4988="H0 verdadera",E4988="Rechazar H0"),"Error tipo I",IF(AND(B4988="Ha verdadera",E4988="No rechazar H0"),"Error tipo II","Decisión correcta"))</f>
        <v>Decisión correcta</v>
      </c>
    </row>
    <row r="4989" customFormat="false" ht="15" hidden="false" customHeight="false" outlineLevel="0" collapsed="false">
      <c r="A4989" s="0" t="n">
        <v>4968</v>
      </c>
      <c r="B4989" s="0" t="s">
        <v>86</v>
      </c>
      <c r="C4989" s="17" t="n">
        <v>-0.411983408161357</v>
      </c>
      <c r="D4989" s="17" t="n">
        <f aca="false">(C4989-$B$4)/($B$6/SQRT($B$7))</f>
        <v>-2.05991704080679</v>
      </c>
      <c r="E4989" s="0" t="str">
        <f aca="false">IF(OR(AND($B$9="superior",D4989&gt;$B$10),AND($B$9="inferior",D4989&lt;-$B$10)),"Rechazar H0","No rechazar H0")</f>
        <v>Rechazar H0</v>
      </c>
      <c r="F4989" s="0" t="str">
        <f aca="false">IF(AND(B4989="H0 verdadera",E4989="Rechazar H0"),"Error tipo I",IF(AND(B4989="Ha verdadera",E4989="No rechazar H0"),"Error tipo II","Decisión correcta"))</f>
        <v>Decisión correcta</v>
      </c>
    </row>
    <row r="4990" customFormat="false" ht="15" hidden="false" customHeight="false" outlineLevel="0" collapsed="false">
      <c r="A4990" s="0" t="n">
        <v>4969</v>
      </c>
      <c r="B4990" s="0" t="s">
        <v>86</v>
      </c>
      <c r="C4990" s="17" t="n">
        <v>-0.610808769291857</v>
      </c>
      <c r="D4990" s="17" t="n">
        <f aca="false">(C4990-$B$4)/($B$6/SQRT($B$7))</f>
        <v>-3.05404384645928</v>
      </c>
      <c r="E4990" s="0" t="str">
        <f aca="false">IF(OR(AND($B$9="superior",D4990&gt;$B$10),AND($B$9="inferior",D4990&lt;-$B$10)),"Rechazar H0","No rechazar H0")</f>
        <v>Rechazar H0</v>
      </c>
      <c r="F4990" s="0" t="str">
        <f aca="false">IF(AND(B4990="H0 verdadera",E4990="Rechazar H0"),"Error tipo I",IF(AND(B4990="Ha verdadera",E4990="No rechazar H0"),"Error tipo II","Decisión correcta"))</f>
        <v>Decisión correcta</v>
      </c>
    </row>
    <row r="4991" customFormat="false" ht="15" hidden="false" customHeight="false" outlineLevel="0" collapsed="false">
      <c r="A4991" s="0" t="n">
        <v>4970</v>
      </c>
      <c r="B4991" s="0" t="s">
        <v>85</v>
      </c>
      <c r="C4991" s="17" t="n">
        <v>0.00688644479757635</v>
      </c>
      <c r="D4991" s="17" t="n">
        <f aca="false">(C4991-$B$4)/($B$6/SQRT($B$7))</f>
        <v>0.0344322239878817</v>
      </c>
      <c r="E4991" s="0" t="str">
        <f aca="false">IF(OR(AND($B$9="superior",D4991&gt;$B$10),AND($B$9="inferior",D4991&lt;-$B$10)),"Rechazar H0","No rechazar H0")</f>
        <v>No rechazar H0</v>
      </c>
      <c r="F4991" s="0" t="str">
        <f aca="false">IF(AND(B4991="H0 verdadera",E4991="Rechazar H0"),"Error tipo I",IF(AND(B4991="Ha verdadera",E4991="No rechazar H0"),"Error tipo II","Decisión correcta"))</f>
        <v>Decisión correcta</v>
      </c>
    </row>
    <row r="4992" customFormat="false" ht="15" hidden="false" customHeight="false" outlineLevel="0" collapsed="false">
      <c r="A4992" s="0" t="n">
        <v>4971</v>
      </c>
      <c r="B4992" s="0" t="s">
        <v>85</v>
      </c>
      <c r="C4992" s="17" t="n">
        <v>0.169204103680567</v>
      </c>
      <c r="D4992" s="17" t="n">
        <f aca="false">(C4992-$B$4)/($B$6/SQRT($B$7))</f>
        <v>0.846020518402835</v>
      </c>
      <c r="E4992" s="0" t="str">
        <f aca="false">IF(OR(AND($B$9="superior",D4992&gt;$B$10),AND($B$9="inferior",D4992&lt;-$B$10)),"Rechazar H0","No rechazar H0")</f>
        <v>No rechazar H0</v>
      </c>
      <c r="F4992" s="0" t="str">
        <f aca="false">IF(AND(B4992="H0 verdadera",E4992="Rechazar H0"),"Error tipo I",IF(AND(B4992="Ha verdadera",E4992="No rechazar H0"),"Error tipo II","Decisión correcta"))</f>
        <v>Decisión correcta</v>
      </c>
    </row>
    <row r="4993" customFormat="false" ht="15" hidden="false" customHeight="false" outlineLevel="0" collapsed="false">
      <c r="A4993" s="0" t="n">
        <v>4972</v>
      </c>
      <c r="B4993" s="0" t="s">
        <v>85</v>
      </c>
      <c r="C4993" s="17" t="n">
        <v>0.132738647910768</v>
      </c>
      <c r="D4993" s="17" t="n">
        <f aca="false">(C4993-$B$4)/($B$6/SQRT($B$7))</f>
        <v>0.663693239553839</v>
      </c>
      <c r="E4993" s="0" t="str">
        <f aca="false">IF(OR(AND($B$9="superior",D4993&gt;$B$10),AND($B$9="inferior",D4993&lt;-$B$10)),"Rechazar H0","No rechazar H0")</f>
        <v>No rechazar H0</v>
      </c>
      <c r="F4993" s="0" t="str">
        <f aca="false">IF(AND(B4993="H0 verdadera",E4993="Rechazar H0"),"Error tipo I",IF(AND(B4993="Ha verdadera",E4993="No rechazar H0"),"Error tipo II","Decisión correcta"))</f>
        <v>Decisión correcta</v>
      </c>
    </row>
    <row r="4994" customFormat="false" ht="15" hidden="false" customHeight="false" outlineLevel="0" collapsed="false">
      <c r="A4994" s="0" t="n">
        <v>4973</v>
      </c>
      <c r="B4994" s="0" t="s">
        <v>85</v>
      </c>
      <c r="C4994" s="17" t="n">
        <v>-0.283614690061981</v>
      </c>
      <c r="D4994" s="17" t="n">
        <f aca="false">(C4994-$B$4)/($B$6/SQRT($B$7))</f>
        <v>-1.41807345030991</v>
      </c>
      <c r="E4994" s="0" t="str">
        <f aca="false">IF(OR(AND($B$9="superior",D4994&gt;$B$10),AND($B$9="inferior",D4994&lt;-$B$10)),"Rechazar H0","No rechazar H0")</f>
        <v>No rechazar H0</v>
      </c>
      <c r="F4994" s="0" t="str">
        <f aca="false">IF(AND(B4994="H0 verdadera",E4994="Rechazar H0"),"Error tipo I",IF(AND(B4994="Ha verdadera",E4994="No rechazar H0"),"Error tipo II","Decisión correcta"))</f>
        <v>Decisión correcta</v>
      </c>
    </row>
    <row r="4995" customFormat="false" ht="15" hidden="false" customHeight="false" outlineLevel="0" collapsed="false">
      <c r="A4995" s="0" t="n">
        <v>4974</v>
      </c>
      <c r="B4995" s="0" t="s">
        <v>85</v>
      </c>
      <c r="C4995" s="17" t="n">
        <v>0.0600791715056253</v>
      </c>
      <c r="D4995" s="17" t="n">
        <f aca="false">(C4995-$B$4)/($B$6/SQRT($B$7))</f>
        <v>0.300395857528126</v>
      </c>
      <c r="E4995" s="0" t="str">
        <f aca="false">IF(OR(AND($B$9="superior",D4995&gt;$B$10),AND($B$9="inferior",D4995&lt;-$B$10)),"Rechazar H0","No rechazar H0")</f>
        <v>No rechazar H0</v>
      </c>
      <c r="F4995" s="0" t="str">
        <f aca="false">IF(AND(B4995="H0 verdadera",E4995="Rechazar H0"),"Error tipo I",IF(AND(B4995="Ha verdadera",E4995="No rechazar H0"),"Error tipo II","Decisión correcta"))</f>
        <v>Decisión correcta</v>
      </c>
    </row>
    <row r="4996" customFormat="false" ht="15" hidden="false" customHeight="false" outlineLevel="0" collapsed="false">
      <c r="A4996" s="0" t="n">
        <v>4975</v>
      </c>
      <c r="B4996" s="0" t="s">
        <v>86</v>
      </c>
      <c r="C4996" s="17" t="n">
        <v>-0.218675333798728</v>
      </c>
      <c r="D4996" s="17" t="n">
        <f aca="false">(C4996-$B$4)/($B$6/SQRT($B$7))</f>
        <v>-1.09337666899364</v>
      </c>
      <c r="E4996" s="0" t="str">
        <f aca="false">IF(OR(AND($B$9="superior",D4996&gt;$B$10),AND($B$9="inferior",D4996&lt;-$B$10)),"Rechazar H0","No rechazar H0")</f>
        <v>No rechazar H0</v>
      </c>
      <c r="F4996" s="0" t="str">
        <f aca="false">IF(AND(B4996="H0 verdadera",E4996="Rechazar H0"),"Error tipo I",IF(AND(B4996="Ha verdadera",E4996="No rechazar H0"),"Error tipo II","Decisión correcta"))</f>
        <v>Error tipo II</v>
      </c>
    </row>
    <row r="4997" customFormat="false" ht="15" hidden="false" customHeight="false" outlineLevel="0" collapsed="false">
      <c r="A4997" s="0" t="n">
        <v>4976</v>
      </c>
      <c r="B4997" s="0" t="s">
        <v>86</v>
      </c>
      <c r="C4997" s="17" t="n">
        <v>-0.321035826480862</v>
      </c>
      <c r="D4997" s="17" t="n">
        <f aca="false">(C4997-$B$4)/($B$6/SQRT($B$7))</f>
        <v>-1.60517913240431</v>
      </c>
      <c r="E4997" s="0" t="str">
        <f aca="false">IF(OR(AND($B$9="superior",D4997&gt;$B$10),AND($B$9="inferior",D4997&lt;-$B$10)),"Rechazar H0","No rechazar H0")</f>
        <v>No rechazar H0</v>
      </c>
      <c r="F4997" s="0" t="str">
        <f aca="false">IF(AND(B4997="H0 verdadera",E4997="Rechazar H0"),"Error tipo I",IF(AND(B4997="Ha verdadera",E4997="No rechazar H0"),"Error tipo II","Decisión correcta"))</f>
        <v>Error tipo II</v>
      </c>
    </row>
    <row r="4998" customFormat="false" ht="15" hidden="false" customHeight="false" outlineLevel="0" collapsed="false">
      <c r="A4998" s="0" t="n">
        <v>4977</v>
      </c>
      <c r="B4998" s="0" t="s">
        <v>85</v>
      </c>
      <c r="C4998" s="17" t="n">
        <v>-0.208958286376872</v>
      </c>
      <c r="D4998" s="17" t="n">
        <f aca="false">(C4998-$B$4)/($B$6/SQRT($B$7))</f>
        <v>-1.04479143188436</v>
      </c>
      <c r="E4998" s="0" t="str">
        <f aca="false">IF(OR(AND($B$9="superior",D4998&gt;$B$10),AND($B$9="inferior",D4998&lt;-$B$10)),"Rechazar H0","No rechazar H0")</f>
        <v>No rechazar H0</v>
      </c>
      <c r="F4998" s="0" t="str">
        <f aca="false">IF(AND(B4998="H0 verdadera",E4998="Rechazar H0"),"Error tipo I",IF(AND(B4998="Ha verdadera",E4998="No rechazar H0"),"Error tipo II","Decisión correcta"))</f>
        <v>Decisión correcta</v>
      </c>
    </row>
    <row r="4999" customFormat="false" ht="15" hidden="false" customHeight="false" outlineLevel="0" collapsed="false">
      <c r="A4999" s="0" t="n">
        <v>4978</v>
      </c>
      <c r="B4999" s="0" t="s">
        <v>86</v>
      </c>
      <c r="C4999" s="17" t="n">
        <v>-0.417355702522488</v>
      </c>
      <c r="D4999" s="17" t="n">
        <f aca="false">(C4999-$B$4)/($B$6/SQRT($B$7))</f>
        <v>-2.08677851261244</v>
      </c>
      <c r="E4999" s="0" t="str">
        <f aca="false">IF(OR(AND($B$9="superior",D4999&gt;$B$10),AND($B$9="inferior",D4999&lt;-$B$10)),"Rechazar H0","No rechazar H0")</f>
        <v>Rechazar H0</v>
      </c>
      <c r="F4999" s="0" t="str">
        <f aca="false">IF(AND(B4999="H0 verdadera",E4999="Rechazar H0"),"Error tipo I",IF(AND(B4999="Ha verdadera",E4999="No rechazar H0"),"Error tipo II","Decisión correcta"))</f>
        <v>Decisión correcta</v>
      </c>
    </row>
    <row r="5000" customFormat="false" ht="15" hidden="false" customHeight="false" outlineLevel="0" collapsed="false">
      <c r="A5000" s="0" t="n">
        <v>4979</v>
      </c>
      <c r="B5000" s="0" t="s">
        <v>86</v>
      </c>
      <c r="C5000" s="17" t="n">
        <v>-0.366766936407258</v>
      </c>
      <c r="D5000" s="17" t="n">
        <f aca="false">(C5000-$B$4)/($B$6/SQRT($B$7))</f>
        <v>-1.83383468203629</v>
      </c>
      <c r="E5000" s="0" t="str">
        <f aca="false">IF(OR(AND($B$9="superior",D5000&gt;$B$10),AND($B$9="inferior",D5000&lt;-$B$10)),"Rechazar H0","No rechazar H0")</f>
        <v>Rechazar H0</v>
      </c>
      <c r="F5000" s="0" t="str">
        <f aca="false">IF(AND(B5000="H0 verdadera",E5000="Rechazar H0"),"Error tipo I",IF(AND(B5000="Ha verdadera",E5000="No rechazar H0"),"Error tipo II","Decisión correcta"))</f>
        <v>Decisión correcta</v>
      </c>
    </row>
    <row r="5001" customFormat="false" ht="15" hidden="false" customHeight="false" outlineLevel="0" collapsed="false">
      <c r="A5001" s="0" t="n">
        <v>4980</v>
      </c>
      <c r="B5001" s="0" t="s">
        <v>86</v>
      </c>
      <c r="C5001" s="17" t="n">
        <v>-0.211827804801735</v>
      </c>
      <c r="D5001" s="17" t="n">
        <f aca="false">(C5001-$B$4)/($B$6/SQRT($B$7))</f>
        <v>-1.05913902400867</v>
      </c>
      <c r="E5001" s="0" t="str">
        <f aca="false">IF(OR(AND($B$9="superior",D5001&gt;$B$10),AND($B$9="inferior",D5001&lt;-$B$10)),"Rechazar H0","No rechazar H0")</f>
        <v>No rechazar H0</v>
      </c>
      <c r="F5001" s="0" t="str">
        <f aca="false">IF(AND(B5001="H0 verdadera",E5001="Rechazar H0"),"Error tipo I",IF(AND(B5001="Ha verdadera",E5001="No rechazar H0"),"Error tipo II","Decisión correcta"))</f>
        <v>Error tipo II</v>
      </c>
    </row>
    <row r="5002" customFormat="false" ht="15" hidden="false" customHeight="false" outlineLevel="0" collapsed="false">
      <c r="A5002" s="0" t="n">
        <v>4981</v>
      </c>
      <c r="B5002" s="0" t="s">
        <v>86</v>
      </c>
      <c r="C5002" s="17" t="n">
        <v>-0.400008311737213</v>
      </c>
      <c r="D5002" s="17" t="n">
        <f aca="false">(C5002-$B$4)/($B$6/SQRT($B$7))</f>
        <v>-2.00004155868607</v>
      </c>
      <c r="E5002" s="0" t="str">
        <f aca="false">IF(OR(AND($B$9="superior",D5002&gt;$B$10),AND($B$9="inferior",D5002&lt;-$B$10)),"Rechazar H0","No rechazar H0")</f>
        <v>Rechazar H0</v>
      </c>
      <c r="F5002" s="0" t="str">
        <f aca="false">IF(AND(B5002="H0 verdadera",E5002="Rechazar H0"),"Error tipo I",IF(AND(B5002="Ha verdadera",E5002="No rechazar H0"),"Error tipo II","Decisión correcta"))</f>
        <v>Decisión correcta</v>
      </c>
    </row>
    <row r="5003" customFormat="false" ht="15" hidden="false" customHeight="false" outlineLevel="0" collapsed="false">
      <c r="A5003" s="0" t="n">
        <v>4982</v>
      </c>
      <c r="B5003" s="0" t="s">
        <v>86</v>
      </c>
      <c r="C5003" s="17" t="n">
        <v>-0.381806677694056</v>
      </c>
      <c r="D5003" s="17" t="n">
        <f aca="false">(C5003-$B$4)/($B$6/SQRT($B$7))</f>
        <v>-1.90903338847028</v>
      </c>
      <c r="E5003" s="0" t="str">
        <f aca="false">IF(OR(AND($B$9="superior",D5003&gt;$B$10),AND($B$9="inferior",D5003&lt;-$B$10)),"Rechazar H0","No rechazar H0")</f>
        <v>Rechazar H0</v>
      </c>
      <c r="F5003" s="0" t="str">
        <f aca="false">IF(AND(B5003="H0 verdadera",E5003="Rechazar H0"),"Error tipo I",IF(AND(B5003="Ha verdadera",E5003="No rechazar H0"),"Error tipo II","Decisión correcta"))</f>
        <v>Decisión correcta</v>
      </c>
    </row>
    <row r="5004" customFormat="false" ht="15" hidden="false" customHeight="false" outlineLevel="0" collapsed="false">
      <c r="A5004" s="0" t="n">
        <v>4983</v>
      </c>
      <c r="B5004" s="0" t="s">
        <v>85</v>
      </c>
      <c r="C5004" s="17" t="n">
        <v>0.0993025430006447</v>
      </c>
      <c r="D5004" s="17" t="n">
        <f aca="false">(C5004-$B$4)/($B$6/SQRT($B$7))</f>
        <v>0.496512715003223</v>
      </c>
      <c r="E5004" s="0" t="str">
        <f aca="false">IF(OR(AND($B$9="superior",D5004&gt;$B$10),AND($B$9="inferior",D5004&lt;-$B$10)),"Rechazar H0","No rechazar H0")</f>
        <v>No rechazar H0</v>
      </c>
      <c r="F5004" s="0" t="str">
        <f aca="false">IF(AND(B5004="H0 verdadera",E5004="Rechazar H0"),"Error tipo I",IF(AND(B5004="Ha verdadera",E5004="No rechazar H0"),"Error tipo II","Decisión correcta"))</f>
        <v>Decisión correcta</v>
      </c>
    </row>
    <row r="5005" customFormat="false" ht="15" hidden="false" customHeight="false" outlineLevel="0" collapsed="false">
      <c r="A5005" s="0" t="n">
        <v>4984</v>
      </c>
      <c r="B5005" s="0" t="s">
        <v>86</v>
      </c>
      <c r="C5005" s="17" t="n">
        <v>-0.571256847027879</v>
      </c>
      <c r="D5005" s="17" t="n">
        <f aca="false">(C5005-$B$4)/($B$6/SQRT($B$7))</f>
        <v>-2.85628423513939</v>
      </c>
      <c r="E5005" s="0" t="str">
        <f aca="false">IF(OR(AND($B$9="superior",D5005&gt;$B$10),AND($B$9="inferior",D5005&lt;-$B$10)),"Rechazar H0","No rechazar H0")</f>
        <v>Rechazar H0</v>
      </c>
      <c r="F5005" s="0" t="str">
        <f aca="false">IF(AND(B5005="H0 verdadera",E5005="Rechazar H0"),"Error tipo I",IF(AND(B5005="Ha verdadera",E5005="No rechazar H0"),"Error tipo II","Decisión correcta"))</f>
        <v>Decisión correcta</v>
      </c>
    </row>
    <row r="5006" customFormat="false" ht="15" hidden="false" customHeight="false" outlineLevel="0" collapsed="false">
      <c r="A5006" s="0" t="n">
        <v>4985</v>
      </c>
      <c r="B5006" s="0" t="s">
        <v>86</v>
      </c>
      <c r="C5006" s="17" t="n">
        <v>-0.142155542709349</v>
      </c>
      <c r="D5006" s="17" t="n">
        <f aca="false">(C5006-$B$4)/($B$6/SQRT($B$7))</f>
        <v>-0.710777713546747</v>
      </c>
      <c r="E5006" s="0" t="str">
        <f aca="false">IF(OR(AND($B$9="superior",D5006&gt;$B$10),AND($B$9="inferior",D5006&lt;-$B$10)),"Rechazar H0","No rechazar H0")</f>
        <v>No rechazar H0</v>
      </c>
      <c r="F5006" s="0" t="str">
        <f aca="false">IF(AND(B5006="H0 verdadera",E5006="Rechazar H0"),"Error tipo I",IF(AND(B5006="Ha verdadera",E5006="No rechazar H0"),"Error tipo II","Decisión correcta"))</f>
        <v>Error tipo II</v>
      </c>
    </row>
    <row r="5007" customFormat="false" ht="15" hidden="false" customHeight="false" outlineLevel="0" collapsed="false">
      <c r="A5007" s="0" t="n">
        <v>4986</v>
      </c>
      <c r="B5007" s="0" t="s">
        <v>86</v>
      </c>
      <c r="C5007" s="17" t="n">
        <v>-0.602362525721485</v>
      </c>
      <c r="D5007" s="17" t="n">
        <f aca="false">(C5007-$B$4)/($B$6/SQRT($B$7))</f>
        <v>-3.01181262860743</v>
      </c>
      <c r="E5007" s="0" t="str">
        <f aca="false">IF(OR(AND($B$9="superior",D5007&gt;$B$10),AND($B$9="inferior",D5007&lt;-$B$10)),"Rechazar H0","No rechazar H0")</f>
        <v>Rechazar H0</v>
      </c>
      <c r="F5007" s="0" t="str">
        <f aca="false">IF(AND(B5007="H0 verdadera",E5007="Rechazar H0"),"Error tipo I",IF(AND(B5007="Ha verdadera",E5007="No rechazar H0"),"Error tipo II","Decisión correcta"))</f>
        <v>Decisión correcta</v>
      </c>
    </row>
    <row r="5008" customFormat="false" ht="15" hidden="false" customHeight="false" outlineLevel="0" collapsed="false">
      <c r="A5008" s="0" t="n">
        <v>4987</v>
      </c>
      <c r="B5008" s="0" t="s">
        <v>85</v>
      </c>
      <c r="C5008" s="17" t="n">
        <v>-0.0607163393202378</v>
      </c>
      <c r="D5008" s="17" t="n">
        <f aca="false">(C5008-$B$4)/($B$6/SQRT($B$7))</f>
        <v>-0.303581696601189</v>
      </c>
      <c r="E5008" s="0" t="str">
        <f aca="false">IF(OR(AND($B$9="superior",D5008&gt;$B$10),AND($B$9="inferior",D5008&lt;-$B$10)),"Rechazar H0","No rechazar H0")</f>
        <v>No rechazar H0</v>
      </c>
      <c r="F5008" s="0" t="str">
        <f aca="false">IF(AND(B5008="H0 verdadera",E5008="Rechazar H0"),"Error tipo I",IF(AND(B5008="Ha verdadera",E5008="No rechazar H0"),"Error tipo II","Decisión correcta"))</f>
        <v>Decisión correcta</v>
      </c>
    </row>
    <row r="5009" customFormat="false" ht="15" hidden="false" customHeight="false" outlineLevel="0" collapsed="false">
      <c r="A5009" s="0" t="n">
        <v>4988</v>
      </c>
      <c r="B5009" s="0" t="s">
        <v>86</v>
      </c>
      <c r="C5009" s="17" t="n">
        <v>-0.195435778660443</v>
      </c>
      <c r="D5009" s="17" t="n">
        <f aca="false">(C5009-$B$4)/($B$6/SQRT($B$7))</f>
        <v>-0.977178893302213</v>
      </c>
      <c r="E5009" s="0" t="str">
        <f aca="false">IF(OR(AND($B$9="superior",D5009&gt;$B$10),AND($B$9="inferior",D5009&lt;-$B$10)),"Rechazar H0","No rechazar H0")</f>
        <v>No rechazar H0</v>
      </c>
      <c r="F5009" s="0" t="str">
        <f aca="false">IF(AND(B5009="H0 verdadera",E5009="Rechazar H0"),"Error tipo I",IF(AND(B5009="Ha verdadera",E5009="No rechazar H0"),"Error tipo II","Decisión correcta"))</f>
        <v>Error tipo II</v>
      </c>
    </row>
    <row r="5010" customFormat="false" ht="15" hidden="false" customHeight="false" outlineLevel="0" collapsed="false">
      <c r="A5010" s="0" t="n">
        <v>4989</v>
      </c>
      <c r="B5010" s="0" t="s">
        <v>85</v>
      </c>
      <c r="C5010" s="17" t="n">
        <v>0.0690560201194793</v>
      </c>
      <c r="D5010" s="17" t="n">
        <f aca="false">(C5010-$B$4)/($B$6/SQRT($B$7))</f>
        <v>0.345280100597396</v>
      </c>
      <c r="E5010" s="0" t="str">
        <f aca="false">IF(OR(AND($B$9="superior",D5010&gt;$B$10),AND($B$9="inferior",D5010&lt;-$B$10)),"Rechazar H0","No rechazar H0")</f>
        <v>No rechazar H0</v>
      </c>
      <c r="F5010" s="0" t="str">
        <f aca="false">IF(AND(B5010="H0 verdadera",E5010="Rechazar H0"),"Error tipo I",IF(AND(B5010="Ha verdadera",E5010="No rechazar H0"),"Error tipo II","Decisión correcta"))</f>
        <v>Decisión correcta</v>
      </c>
    </row>
    <row r="5011" customFormat="false" ht="15" hidden="false" customHeight="false" outlineLevel="0" collapsed="false">
      <c r="A5011" s="0" t="n">
        <v>4990</v>
      </c>
      <c r="B5011" s="0" t="s">
        <v>85</v>
      </c>
      <c r="C5011" s="17" t="n">
        <v>-0.00415264655917227</v>
      </c>
      <c r="D5011" s="17" t="n">
        <f aca="false">(C5011-$B$4)/($B$6/SQRT($B$7))</f>
        <v>-0.0207632327958613</v>
      </c>
      <c r="E5011" s="0" t="str">
        <f aca="false">IF(OR(AND($B$9="superior",D5011&gt;$B$10),AND($B$9="inferior",D5011&lt;-$B$10)),"Rechazar H0","No rechazar H0")</f>
        <v>No rechazar H0</v>
      </c>
      <c r="F5011" s="0" t="str">
        <f aca="false">IF(AND(B5011="H0 verdadera",E5011="Rechazar H0"),"Error tipo I",IF(AND(B5011="Ha verdadera",E5011="No rechazar H0"),"Error tipo II","Decisión correcta"))</f>
        <v>Decisión correcta</v>
      </c>
    </row>
    <row r="5012" customFormat="false" ht="15" hidden="false" customHeight="false" outlineLevel="0" collapsed="false">
      <c r="A5012" s="0" t="n">
        <v>4991</v>
      </c>
      <c r="B5012" s="0" t="s">
        <v>86</v>
      </c>
      <c r="C5012" s="17" t="n">
        <v>-0.509483898014155</v>
      </c>
      <c r="D5012" s="17" t="n">
        <f aca="false">(C5012-$B$4)/($B$6/SQRT($B$7))</f>
        <v>-2.54741949007078</v>
      </c>
      <c r="E5012" s="0" t="str">
        <f aca="false">IF(OR(AND($B$9="superior",D5012&gt;$B$10),AND($B$9="inferior",D5012&lt;-$B$10)),"Rechazar H0","No rechazar H0")</f>
        <v>Rechazar H0</v>
      </c>
      <c r="F5012" s="0" t="str">
        <f aca="false">IF(AND(B5012="H0 verdadera",E5012="Rechazar H0"),"Error tipo I",IF(AND(B5012="Ha verdadera",E5012="No rechazar H0"),"Error tipo II","Decisión correcta"))</f>
        <v>Decisión correcta</v>
      </c>
    </row>
    <row r="5013" customFormat="false" ht="15" hidden="false" customHeight="false" outlineLevel="0" collapsed="false">
      <c r="A5013" s="0" t="n">
        <v>4992</v>
      </c>
      <c r="B5013" s="0" t="s">
        <v>85</v>
      </c>
      <c r="C5013" s="17" t="n">
        <v>0.400561602593197</v>
      </c>
      <c r="D5013" s="17" t="n">
        <f aca="false">(C5013-$B$4)/($B$6/SQRT($B$7))</f>
        <v>2.00280801296598</v>
      </c>
      <c r="E5013" s="0" t="str">
        <f aca="false">IF(OR(AND($B$9="superior",D5013&gt;$B$10),AND($B$9="inferior",D5013&lt;-$B$10)),"Rechazar H0","No rechazar H0")</f>
        <v>No rechazar H0</v>
      </c>
      <c r="F5013" s="0" t="str">
        <f aca="false">IF(AND(B5013="H0 verdadera",E5013="Rechazar H0"),"Error tipo I",IF(AND(B5013="Ha verdadera",E5013="No rechazar H0"),"Error tipo II","Decisión correcta"))</f>
        <v>Decisión correcta</v>
      </c>
    </row>
    <row r="5014" customFormat="false" ht="15" hidden="false" customHeight="false" outlineLevel="0" collapsed="false">
      <c r="A5014" s="0" t="n">
        <v>4993</v>
      </c>
      <c r="B5014" s="0" t="s">
        <v>86</v>
      </c>
      <c r="C5014" s="17" t="n">
        <v>0.114195463238582</v>
      </c>
      <c r="D5014" s="17" t="n">
        <f aca="false">(C5014-$B$4)/($B$6/SQRT($B$7))</f>
        <v>0.570977316192912</v>
      </c>
      <c r="E5014" s="0" t="str">
        <f aca="false">IF(OR(AND($B$9="superior",D5014&gt;$B$10),AND($B$9="inferior",D5014&lt;-$B$10)),"Rechazar H0","No rechazar H0")</f>
        <v>No rechazar H0</v>
      </c>
      <c r="F5014" s="0" t="str">
        <f aca="false">IF(AND(B5014="H0 verdadera",E5014="Rechazar H0"),"Error tipo I",IF(AND(B5014="Ha verdadera",E5014="No rechazar H0"),"Error tipo II","Decisión correcta"))</f>
        <v>Error tipo II</v>
      </c>
    </row>
    <row r="5015" customFormat="false" ht="15" hidden="false" customHeight="false" outlineLevel="0" collapsed="false">
      <c r="A5015" s="0" t="n">
        <v>4994</v>
      </c>
      <c r="B5015" s="0" t="s">
        <v>85</v>
      </c>
      <c r="C5015" s="17" t="n">
        <v>-0.264888248319591</v>
      </c>
      <c r="D5015" s="17" t="n">
        <f aca="false">(C5015-$B$4)/($B$6/SQRT($B$7))</f>
        <v>-1.32444124159795</v>
      </c>
      <c r="E5015" s="0" t="str">
        <f aca="false">IF(OR(AND($B$9="superior",D5015&gt;$B$10),AND($B$9="inferior",D5015&lt;-$B$10)),"Rechazar H0","No rechazar H0")</f>
        <v>No rechazar H0</v>
      </c>
      <c r="F5015" s="0" t="str">
        <f aca="false">IF(AND(B5015="H0 verdadera",E5015="Rechazar H0"),"Error tipo I",IF(AND(B5015="Ha verdadera",E5015="No rechazar H0"),"Error tipo II","Decisión correcta"))</f>
        <v>Decisión correcta</v>
      </c>
    </row>
    <row r="5016" customFormat="false" ht="15" hidden="false" customHeight="false" outlineLevel="0" collapsed="false">
      <c r="A5016" s="0" t="n">
        <v>4995</v>
      </c>
      <c r="B5016" s="0" t="s">
        <v>85</v>
      </c>
      <c r="C5016" s="17" t="n">
        <v>-0.304021127070043</v>
      </c>
      <c r="D5016" s="17" t="n">
        <f aca="false">(C5016-$B$4)/($B$6/SQRT($B$7))</f>
        <v>-1.52010563535022</v>
      </c>
      <c r="E5016" s="0" t="str">
        <f aca="false">IF(OR(AND($B$9="superior",D5016&gt;$B$10),AND($B$9="inferior",D5016&lt;-$B$10)),"Rechazar H0","No rechazar H0")</f>
        <v>No rechazar H0</v>
      </c>
      <c r="F5016" s="0" t="str">
        <f aca="false">IF(AND(B5016="H0 verdadera",E5016="Rechazar H0"),"Error tipo I",IF(AND(B5016="Ha verdadera",E5016="No rechazar H0"),"Error tipo II","Decisión correcta"))</f>
        <v>Decisión correcta</v>
      </c>
    </row>
    <row r="5017" customFormat="false" ht="15" hidden="false" customHeight="false" outlineLevel="0" collapsed="false">
      <c r="A5017" s="0" t="n">
        <v>4996</v>
      </c>
      <c r="B5017" s="0" t="s">
        <v>85</v>
      </c>
      <c r="C5017" s="17" t="n">
        <v>-0.392826302972873</v>
      </c>
      <c r="D5017" s="17" t="n">
        <f aca="false">(C5017-$B$4)/($B$6/SQRT($B$7))</f>
        <v>-1.96413151486437</v>
      </c>
      <c r="E5017" s="0" t="str">
        <f aca="false">IF(OR(AND($B$9="superior",D5017&gt;$B$10),AND($B$9="inferior",D5017&lt;-$B$10)),"Rechazar H0","No rechazar H0")</f>
        <v>Rechazar H0</v>
      </c>
      <c r="F5017" s="0" t="str">
        <f aca="false">IF(AND(B5017="H0 verdadera",E5017="Rechazar H0"),"Error tipo I",IF(AND(B5017="Ha verdadera",E5017="No rechazar H0"),"Error tipo II","Decisión correcta"))</f>
        <v>Error tipo I</v>
      </c>
    </row>
    <row r="5018" customFormat="false" ht="15" hidden="false" customHeight="false" outlineLevel="0" collapsed="false">
      <c r="A5018" s="0" t="n">
        <v>4997</v>
      </c>
      <c r="B5018" s="0" t="s">
        <v>85</v>
      </c>
      <c r="C5018" s="17" t="n">
        <v>0.216160431860085</v>
      </c>
      <c r="D5018" s="17" t="n">
        <f aca="false">(C5018-$B$4)/($B$6/SQRT($B$7))</f>
        <v>1.08080215930042</v>
      </c>
      <c r="E5018" s="0" t="str">
        <f aca="false">IF(OR(AND($B$9="superior",D5018&gt;$B$10),AND($B$9="inferior",D5018&lt;-$B$10)),"Rechazar H0","No rechazar H0")</f>
        <v>No rechazar H0</v>
      </c>
      <c r="F5018" s="0" t="str">
        <f aca="false">IF(AND(B5018="H0 verdadera",E5018="Rechazar H0"),"Error tipo I",IF(AND(B5018="Ha verdadera",E5018="No rechazar H0"),"Error tipo II","Decisión correcta"))</f>
        <v>Decisión correcta</v>
      </c>
    </row>
    <row r="5019" customFormat="false" ht="15" hidden="false" customHeight="false" outlineLevel="0" collapsed="false">
      <c r="A5019" s="0" t="n">
        <v>4998</v>
      </c>
      <c r="B5019" s="0" t="s">
        <v>86</v>
      </c>
      <c r="C5019" s="17" t="n">
        <v>-0.270059759399251</v>
      </c>
      <c r="D5019" s="17" t="n">
        <f aca="false">(C5019-$B$4)/($B$6/SQRT($B$7))</f>
        <v>-1.35029879699625</v>
      </c>
      <c r="E5019" s="0" t="str">
        <f aca="false">IF(OR(AND($B$9="superior",D5019&gt;$B$10),AND($B$9="inferior",D5019&lt;-$B$10)),"Rechazar H0","No rechazar H0")</f>
        <v>No rechazar H0</v>
      </c>
      <c r="F5019" s="0" t="str">
        <f aca="false">IF(AND(B5019="H0 verdadera",E5019="Rechazar H0"),"Error tipo I",IF(AND(B5019="Ha verdadera",E5019="No rechazar H0"),"Error tipo II","Decisión correcta"))</f>
        <v>Error tipo II</v>
      </c>
    </row>
    <row r="5020" customFormat="false" ht="15" hidden="false" customHeight="false" outlineLevel="0" collapsed="false">
      <c r="A5020" s="0" t="n">
        <v>4999</v>
      </c>
      <c r="B5020" s="0" t="s">
        <v>86</v>
      </c>
      <c r="C5020" s="17" t="n">
        <v>-0.482363735715418</v>
      </c>
      <c r="D5020" s="17" t="n">
        <f aca="false">(C5020-$B$4)/($B$6/SQRT($B$7))</f>
        <v>-2.41181867857709</v>
      </c>
      <c r="E5020" s="0" t="str">
        <f aca="false">IF(OR(AND($B$9="superior",D5020&gt;$B$10),AND($B$9="inferior",D5020&lt;-$B$10)),"Rechazar H0","No rechazar H0")</f>
        <v>Rechazar H0</v>
      </c>
      <c r="F5020" s="0" t="str">
        <f aca="false">IF(AND(B5020="H0 verdadera",E5020="Rechazar H0"),"Error tipo I",IF(AND(B5020="Ha verdadera",E5020="No rechazar H0"),"Error tipo II","Decisión correcta"))</f>
        <v>Decisión correcta</v>
      </c>
    </row>
    <row r="5021" customFormat="false" ht="15" hidden="false" customHeight="false" outlineLevel="0" collapsed="false">
      <c r="A5021" s="0" t="n">
        <v>5000</v>
      </c>
      <c r="B5021" s="0" t="s">
        <v>86</v>
      </c>
      <c r="C5021" s="17" t="n">
        <v>-0.3763603175283</v>
      </c>
      <c r="D5021" s="17" t="n">
        <f aca="false">(C5021-$B$4)/($B$6/SQRT($B$7))</f>
        <v>-1.8818015876415</v>
      </c>
      <c r="E5021" s="0" t="str">
        <f aca="false">IF(OR(AND($B$9="superior",D5021&gt;$B$10),AND($B$9="inferior",D5021&lt;-$B$10)),"Rechazar H0","No rechazar H0")</f>
        <v>Rechazar H0</v>
      </c>
      <c r="F5021" s="0" t="str">
        <f aca="false">IF(AND(B5021="H0 verdadera",E5021="Rechazar H0"),"Error tipo I",IF(AND(B5021="Ha verdadera",E5021="No rechazar H0"),"Error tipo II","Decisión correcta"))</f>
        <v>Decisión correcta</v>
      </c>
    </row>
  </sheetData>
  <dataValidations count="1">
    <dataValidation allowBlank="false" errorStyle="stop" operator="between" showDropDown="false" showErrorMessage="false" showInputMessage="false" sqref="B9" type="list">
      <formula1>"superior,inferior"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8" t="s">
        <v>87</v>
      </c>
      <c r="C1" s="5" t="s">
        <v>88</v>
      </c>
    </row>
    <row r="2" customFormat="false" ht="15" hidden="false" customHeight="false" outlineLevel="0" collapsed="false">
      <c r="A2" s="19" t="n">
        <v>-0.652</v>
      </c>
      <c r="C2" s="2" t="s">
        <v>89</v>
      </c>
    </row>
    <row r="3" customFormat="false" ht="15" hidden="false" customHeight="false" outlineLevel="0" collapsed="false">
      <c r="A3" s="19" t="n">
        <v>-0.175</v>
      </c>
    </row>
    <row r="4" customFormat="false" ht="15" hidden="false" customHeight="false" outlineLevel="0" collapsed="false">
      <c r="A4" s="19" t="n">
        <v>1.664</v>
      </c>
      <c r="C4" s="4" t="s">
        <v>44</v>
      </c>
      <c r="D4" s="7" t="n">
        <v>0</v>
      </c>
    </row>
    <row r="5" customFormat="false" ht="15" hidden="false" customHeight="false" outlineLevel="0" collapsed="false">
      <c r="A5" s="19" t="n">
        <v>0.659</v>
      </c>
      <c r="C5" s="4" t="s">
        <v>48</v>
      </c>
      <c r="D5" s="7" t="n">
        <v>1</v>
      </c>
    </row>
    <row r="6" customFormat="false" ht="15" hidden="false" customHeight="false" outlineLevel="0" collapsed="false">
      <c r="A6" s="19" t="n">
        <v>-1.641</v>
      </c>
      <c r="C6" s="4" t="s">
        <v>51</v>
      </c>
      <c r="D6" s="7" t="n">
        <v>0.05</v>
      </c>
    </row>
    <row r="7" customFormat="false" ht="15" hidden="false" customHeight="false" outlineLevel="0" collapsed="false">
      <c r="A7" s="19" t="n">
        <v>-0.005</v>
      </c>
      <c r="C7" s="4" t="s">
        <v>24</v>
      </c>
      <c r="D7" s="8" t="s">
        <v>25</v>
      </c>
    </row>
    <row r="8" customFormat="false" ht="15" hidden="false" customHeight="false" outlineLevel="0" collapsed="false">
      <c r="A8" s="19" t="n">
        <v>-0.623</v>
      </c>
    </row>
    <row r="9" customFormat="false" ht="15" hidden="false" customHeight="false" outlineLevel="0" collapsed="false">
      <c r="A9" s="19" t="n">
        <v>0.149</v>
      </c>
      <c r="C9" s="5" t="s">
        <v>90</v>
      </c>
    </row>
    <row r="10" customFormat="false" ht="15" hidden="false" customHeight="false" outlineLevel="0" collapsed="false">
      <c r="A10" s="19" t="n">
        <v>-1.608</v>
      </c>
      <c r="C10" s="4" t="s">
        <v>50</v>
      </c>
      <c r="D10" s="20" t="n">
        <f aca="false">COUNT(A2:A5001)</f>
        <v>25</v>
      </c>
    </row>
    <row r="11" customFormat="false" ht="15" hidden="false" customHeight="false" outlineLevel="0" collapsed="false">
      <c r="A11" s="19" t="n">
        <v>0.242</v>
      </c>
      <c r="C11" s="4" t="s">
        <v>91</v>
      </c>
      <c r="D11" s="14" t="n">
        <f aca="false">IF(D10=0,"",AVERAGE(A2:A5001))</f>
        <v>-0.00764</v>
      </c>
    </row>
    <row r="12" customFormat="false" ht="15" hidden="false" customHeight="false" outlineLevel="0" collapsed="false">
      <c r="A12" s="19" t="n">
        <v>0.235</v>
      </c>
      <c r="C12" s="4" t="s">
        <v>53</v>
      </c>
      <c r="D12" s="14" t="n">
        <f aca="false">IF(D10=0,"",D5/SQRT(D10))</f>
        <v>0.2</v>
      </c>
    </row>
    <row r="13" customFormat="false" ht="15" hidden="false" customHeight="false" outlineLevel="0" collapsed="false">
      <c r="A13" s="19" t="n">
        <v>1.576</v>
      </c>
      <c r="C13" s="4" t="s">
        <v>92</v>
      </c>
      <c r="D13" s="14" t="n">
        <f aca="false">IF(D10=0,"",(D11-D4)/D12)</f>
        <v>-0.0382</v>
      </c>
    </row>
    <row r="14" customFormat="false" ht="15" hidden="false" customHeight="false" outlineLevel="0" collapsed="false">
      <c r="A14" s="19" t="n">
        <v>0.317</v>
      </c>
      <c r="C14" s="4" t="s">
        <v>78</v>
      </c>
      <c r="D14" s="14" t="n">
        <f aca="false">NORMSINV(1-D6)</f>
        <v>1.64485362695147</v>
      </c>
    </row>
    <row r="15" customFormat="false" ht="15" hidden="false" customHeight="false" outlineLevel="0" collapsed="false">
      <c r="A15" s="19" t="n">
        <v>0.511</v>
      </c>
      <c r="C15" s="4" t="s">
        <v>83</v>
      </c>
      <c r="D15" s="5" t="str">
        <f aca="false">IF(D10=0,"",IF(OR(AND(D7="superior",D13&gt;D14),AND(D7="inferior",D13&lt;-D14)),"Rechazar H0","No rechazar H0"))</f>
        <v>No rechazar H0</v>
      </c>
    </row>
    <row r="16" customFormat="false" ht="15" hidden="false" customHeight="false" outlineLevel="0" collapsed="false">
      <c r="A16" s="19" t="n">
        <v>-1.493</v>
      </c>
      <c r="C16" s="4" t="s">
        <v>93</v>
      </c>
      <c r="D16" s="9" t="n">
        <f aca="false">IF(D10=0,"",IF(D7="superior",1-NORMSDIST(D13),NORMSDIST(D13)))</f>
        <v>0.484764110448662</v>
      </c>
    </row>
    <row r="17" customFormat="false" ht="15" hidden="false" customHeight="false" outlineLevel="0" collapsed="false">
      <c r="A17" s="19" t="n">
        <v>2.253</v>
      </c>
    </row>
    <row r="18" customFormat="false" ht="15" hidden="false" customHeight="false" outlineLevel="0" collapsed="false">
      <c r="A18" s="19" t="n">
        <v>-1.916</v>
      </c>
    </row>
    <row r="19" customFormat="false" ht="15" hidden="false" customHeight="false" outlineLevel="0" collapsed="false">
      <c r="A19" s="19" t="n">
        <v>1.102</v>
      </c>
    </row>
    <row r="20" customFormat="false" ht="15" hidden="false" customHeight="false" outlineLevel="0" collapsed="false">
      <c r="A20" s="19" t="n">
        <v>-0.33</v>
      </c>
    </row>
    <row r="21" customFormat="false" ht="15" hidden="false" customHeight="false" outlineLevel="0" collapsed="false">
      <c r="A21" s="19" t="n">
        <v>-0.881</v>
      </c>
    </row>
    <row r="22" customFormat="false" ht="15" hidden="false" customHeight="false" outlineLevel="0" collapsed="false">
      <c r="A22" s="19" t="n">
        <v>-0.656</v>
      </c>
    </row>
    <row r="23" customFormat="false" ht="15" hidden="false" customHeight="false" outlineLevel="0" collapsed="false">
      <c r="A23" s="19" t="n">
        <v>-0.672</v>
      </c>
    </row>
    <row r="24" customFormat="false" ht="15" hidden="false" customHeight="false" outlineLevel="0" collapsed="false">
      <c r="A24" s="19" t="n">
        <v>0.38</v>
      </c>
    </row>
    <row r="25" customFormat="false" ht="15" hidden="false" customHeight="false" outlineLevel="0" collapsed="false">
      <c r="A25" s="19" t="n">
        <v>-0.11</v>
      </c>
    </row>
    <row r="26" customFormat="false" ht="15" hidden="false" customHeight="false" outlineLevel="0" collapsed="false">
      <c r="A26" s="19" t="n">
        <v>1.483</v>
      </c>
    </row>
  </sheetData>
  <dataValidations count="1">
    <dataValidation allowBlank="false" errorStyle="stop" operator="between" showDropDown="false" showErrorMessage="false" showInputMessage="false" sqref="D7" type="list">
      <formula1>"superior,inferior"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2026-10-22T13:22:48Z</dcterms:created>
  <dc:creator>openpyxl</dc:creator>
  <dc:description/>
  <dc:language>en-US</dc:language>
  <cp:lastModifiedBy/>
  <dcterms:modified xsi:type="dcterms:W3CDTF">2026-10-22T08:22:51Z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